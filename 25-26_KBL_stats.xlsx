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A2EF7234-F695-4B31-8A6C-E522A253C8F0}" xr6:coauthVersionLast="47" xr6:coauthVersionMax="47" xr10:uidLastSave="{00000000-0000-0000-0000-000000000000}"/>
  <bookViews>
    <workbookView xWindow="-28920" yWindow="1785" windowWidth="29040" windowHeight="15720" xr2:uid="{C857A6F3-DAC3-47BF-9FFB-2634F9EBE6C3}"/>
  </bookViews>
  <sheets>
    <sheet name="Sheet1" sheetId="1" r:id="rId1"/>
  </sheets>
  <definedNames>
    <definedName name="_xlnm._FilterDatabase" localSheetId="0" hidden="1">Sheet1!$A$1:$BO$194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6" i="1" l="1"/>
  <c r="AB96" i="1"/>
  <c r="AA96" i="1"/>
  <c r="AC20" i="1"/>
  <c r="AB20" i="1"/>
  <c r="AA20" i="1"/>
  <c r="AC175" i="1"/>
  <c r="AB175" i="1"/>
  <c r="AA175" i="1"/>
  <c r="AC58" i="1"/>
  <c r="AB58" i="1"/>
  <c r="AA58" i="1"/>
  <c r="AC194" i="1"/>
  <c r="AB194" i="1"/>
  <c r="AA194" i="1"/>
  <c r="AC57" i="1"/>
  <c r="AB57" i="1"/>
  <c r="AA57" i="1"/>
  <c r="AC157" i="1"/>
  <c r="AB157" i="1"/>
  <c r="AA157" i="1"/>
  <c r="AC116" i="1"/>
  <c r="AB116" i="1"/>
  <c r="AA116" i="1"/>
  <c r="AC95" i="1"/>
  <c r="AB95" i="1"/>
  <c r="AA95" i="1"/>
  <c r="AC135" i="1"/>
  <c r="AB135" i="1"/>
  <c r="AA135" i="1"/>
  <c r="AC193" i="1"/>
  <c r="AB193" i="1"/>
  <c r="AA193" i="1"/>
  <c r="AC115" i="1"/>
  <c r="AB115" i="1"/>
  <c r="AA115" i="1"/>
  <c r="AC77" i="1"/>
  <c r="AB77" i="1"/>
  <c r="AA77" i="1"/>
  <c r="AC134" i="1"/>
  <c r="AB134" i="1"/>
  <c r="AA134" i="1"/>
  <c r="AC19" i="1"/>
  <c r="AB19" i="1"/>
  <c r="AA19" i="1"/>
  <c r="AC94" i="1"/>
  <c r="AB94" i="1"/>
  <c r="AA94" i="1"/>
  <c r="AC192" i="1"/>
  <c r="AB192" i="1"/>
  <c r="AA192" i="1"/>
  <c r="AC191" i="1"/>
  <c r="AB191" i="1"/>
  <c r="AA191" i="1"/>
  <c r="AC190" i="1"/>
  <c r="AB190" i="1"/>
  <c r="AA190" i="1"/>
  <c r="AC93" i="1"/>
  <c r="AB93" i="1"/>
  <c r="AA93" i="1"/>
  <c r="AC40" i="1"/>
  <c r="AB40" i="1"/>
  <c r="AA40" i="1"/>
  <c r="AC39" i="1"/>
  <c r="AB39" i="1"/>
  <c r="AA39" i="1"/>
  <c r="AC56" i="1"/>
  <c r="AB56" i="1"/>
  <c r="AA56" i="1"/>
  <c r="AC55" i="1"/>
  <c r="AB55" i="1"/>
  <c r="AA55" i="1"/>
  <c r="AC76" i="1"/>
  <c r="AB76" i="1"/>
  <c r="AA76" i="1"/>
  <c r="AC18" i="1"/>
  <c r="AB18" i="1"/>
  <c r="AA18" i="1"/>
  <c r="AC174" i="1"/>
  <c r="AB174" i="1"/>
  <c r="AA174" i="1"/>
  <c r="AC173" i="1"/>
  <c r="AB173" i="1"/>
  <c r="AA173" i="1"/>
  <c r="AC92" i="1"/>
  <c r="AB92" i="1"/>
  <c r="AA92" i="1"/>
  <c r="AC75" i="1"/>
  <c r="AB75" i="1"/>
  <c r="AA75" i="1"/>
  <c r="AC156" i="1"/>
  <c r="AB156" i="1"/>
  <c r="AA156" i="1"/>
  <c r="AC38" i="1"/>
  <c r="AB38" i="1"/>
  <c r="AA38" i="1"/>
  <c r="AC133" i="1"/>
  <c r="AB133" i="1"/>
  <c r="AA133" i="1"/>
  <c r="AC155" i="1"/>
  <c r="AB155" i="1"/>
  <c r="AA155" i="1"/>
  <c r="AC154" i="1"/>
  <c r="AB154" i="1"/>
  <c r="AA154" i="1"/>
  <c r="AC153" i="1"/>
  <c r="AB153" i="1"/>
  <c r="AA153" i="1"/>
  <c r="AC17" i="1"/>
  <c r="AB17" i="1"/>
  <c r="AA17" i="1"/>
  <c r="AC114" i="1"/>
  <c r="AB114" i="1"/>
  <c r="AA114" i="1"/>
  <c r="AC16" i="1"/>
  <c r="AB16" i="1"/>
  <c r="AA16" i="1"/>
  <c r="AC132" i="1"/>
  <c r="AB132" i="1"/>
  <c r="AA132" i="1"/>
  <c r="AC113" i="1"/>
  <c r="AB113" i="1"/>
  <c r="AA113" i="1"/>
  <c r="AC15" i="1"/>
  <c r="AB15" i="1"/>
  <c r="AA15" i="1"/>
  <c r="AC14" i="1"/>
  <c r="AB14" i="1"/>
  <c r="AA14" i="1"/>
  <c r="AC172" i="1"/>
  <c r="AB172" i="1"/>
  <c r="AA172" i="1"/>
  <c r="AC171" i="1"/>
  <c r="AB171" i="1"/>
  <c r="AA171" i="1"/>
  <c r="AC112" i="1"/>
  <c r="AB112" i="1"/>
  <c r="AA112" i="1"/>
  <c r="AC152" i="1"/>
  <c r="AB152" i="1"/>
  <c r="AA152" i="1"/>
  <c r="AC189" i="1"/>
  <c r="AB189" i="1"/>
  <c r="AA189" i="1"/>
  <c r="AC91" i="1"/>
  <c r="AB91" i="1"/>
  <c r="AA91" i="1"/>
  <c r="AC37" i="1"/>
  <c r="AB37" i="1"/>
  <c r="AA37" i="1"/>
  <c r="AC36" i="1"/>
  <c r="AB36" i="1"/>
  <c r="AA36" i="1"/>
  <c r="AC151" i="1"/>
  <c r="AB151" i="1"/>
  <c r="AA151" i="1"/>
  <c r="AC131" i="1"/>
  <c r="AB131" i="1"/>
  <c r="AA131" i="1"/>
  <c r="AC90" i="1"/>
  <c r="AB90" i="1"/>
  <c r="AA90" i="1"/>
  <c r="AC54" i="1"/>
  <c r="AB54" i="1"/>
  <c r="AA54" i="1"/>
  <c r="AC188" i="1"/>
  <c r="AB188" i="1"/>
  <c r="AA188" i="1"/>
  <c r="AC74" i="1"/>
  <c r="AB74" i="1"/>
  <c r="AA74" i="1"/>
  <c r="AC187" i="1"/>
  <c r="AB187" i="1"/>
  <c r="AA187" i="1"/>
  <c r="AC89" i="1"/>
  <c r="AB89" i="1"/>
  <c r="AA89" i="1"/>
  <c r="AC13" i="1"/>
  <c r="AB13" i="1"/>
  <c r="AA13" i="1"/>
  <c r="AC170" i="1"/>
  <c r="AB170" i="1"/>
  <c r="AA170" i="1"/>
  <c r="AC53" i="1"/>
  <c r="AB53" i="1"/>
  <c r="AA53" i="1"/>
  <c r="AC52" i="1"/>
  <c r="AB52" i="1"/>
  <c r="AA52" i="1"/>
  <c r="AC111" i="1"/>
  <c r="AB111" i="1"/>
  <c r="AA111" i="1"/>
  <c r="AC51" i="1"/>
  <c r="AB51" i="1"/>
  <c r="AA51" i="1"/>
  <c r="AC12" i="1"/>
  <c r="AB12" i="1"/>
  <c r="AA12" i="1"/>
  <c r="AC169" i="1"/>
  <c r="AB169" i="1"/>
  <c r="AA169" i="1"/>
  <c r="AC11" i="1"/>
  <c r="AB11" i="1"/>
  <c r="AA11" i="1"/>
  <c r="AC168" i="1"/>
  <c r="AB168" i="1"/>
  <c r="AA168" i="1"/>
  <c r="AC110" i="1"/>
  <c r="AB110" i="1"/>
  <c r="AA110" i="1"/>
  <c r="AC167" i="1"/>
  <c r="AB167" i="1"/>
  <c r="AA167" i="1"/>
  <c r="AC88" i="1"/>
  <c r="AB88" i="1"/>
  <c r="AA88" i="1"/>
  <c r="AC166" i="1"/>
  <c r="AB166" i="1"/>
  <c r="AA166" i="1"/>
  <c r="AC150" i="1"/>
  <c r="AB150" i="1"/>
  <c r="AA150" i="1"/>
  <c r="AC149" i="1"/>
  <c r="AB149" i="1"/>
  <c r="AA149" i="1"/>
  <c r="AC165" i="1"/>
  <c r="AB165" i="1"/>
  <c r="AA165" i="1"/>
  <c r="AC73" i="1"/>
  <c r="AB73" i="1"/>
  <c r="AA73" i="1"/>
  <c r="AC109" i="1"/>
  <c r="AB109" i="1"/>
  <c r="AA109" i="1"/>
  <c r="AC10" i="1"/>
  <c r="AB10" i="1"/>
  <c r="AA10" i="1"/>
  <c r="AC148" i="1"/>
  <c r="AB148" i="1"/>
  <c r="AA148" i="1"/>
  <c r="AC147" i="1"/>
  <c r="AB147" i="1"/>
  <c r="AA147" i="1"/>
  <c r="AC87" i="1"/>
  <c r="AB87" i="1"/>
  <c r="AA87" i="1"/>
  <c r="AC146" i="1"/>
  <c r="AB146" i="1"/>
  <c r="AA146" i="1"/>
  <c r="AC9" i="1"/>
  <c r="AB9" i="1"/>
  <c r="AA9" i="1"/>
  <c r="AC86" i="1"/>
  <c r="AB86" i="1"/>
  <c r="AA86" i="1"/>
  <c r="AC8" i="1"/>
  <c r="AB8" i="1"/>
  <c r="AA8" i="1"/>
  <c r="AC85" i="1"/>
  <c r="AB85" i="1"/>
  <c r="AA85" i="1"/>
  <c r="AC84" i="1"/>
  <c r="AB84" i="1"/>
  <c r="AA84" i="1"/>
  <c r="AC186" i="1"/>
  <c r="AB186" i="1"/>
  <c r="AA186" i="1"/>
  <c r="AC83" i="1"/>
  <c r="AB83" i="1"/>
  <c r="AA83" i="1"/>
  <c r="AC50" i="1"/>
  <c r="AB50" i="1"/>
  <c r="AA50" i="1"/>
  <c r="AC185" i="1"/>
  <c r="AB185" i="1"/>
  <c r="AA185" i="1"/>
  <c r="AC49" i="1"/>
  <c r="AB49" i="1"/>
  <c r="AA49" i="1"/>
  <c r="AC35" i="1"/>
  <c r="AB35" i="1"/>
  <c r="AA35" i="1"/>
  <c r="AC72" i="1"/>
  <c r="AB72" i="1"/>
  <c r="AA72" i="1"/>
  <c r="AC71" i="1"/>
  <c r="AB71" i="1"/>
  <c r="AA71" i="1"/>
  <c r="AC48" i="1"/>
  <c r="AB48" i="1"/>
  <c r="AA48" i="1"/>
  <c r="AC164" i="1"/>
  <c r="AB164" i="1"/>
  <c r="AA164" i="1"/>
  <c r="AC145" i="1"/>
  <c r="AB145" i="1"/>
  <c r="AA145" i="1"/>
  <c r="AC70" i="1"/>
  <c r="AB70" i="1"/>
  <c r="AA70" i="1"/>
  <c r="AC184" i="1"/>
  <c r="AB184" i="1"/>
  <c r="AA184" i="1"/>
  <c r="AC183" i="1"/>
  <c r="AB183" i="1"/>
  <c r="AA183" i="1"/>
  <c r="AC34" i="1"/>
  <c r="AB34" i="1"/>
  <c r="AA34" i="1"/>
  <c r="AC33" i="1"/>
  <c r="AB33" i="1"/>
  <c r="AA33" i="1"/>
  <c r="AC82" i="1"/>
  <c r="AB82" i="1"/>
  <c r="AA82" i="1"/>
  <c r="AC69" i="1"/>
  <c r="AB69" i="1"/>
  <c r="AA69" i="1"/>
  <c r="AC68" i="1"/>
  <c r="AB68" i="1"/>
  <c r="AA68" i="1"/>
  <c r="AC67" i="1"/>
  <c r="AB67" i="1"/>
  <c r="AA67" i="1"/>
  <c r="AC108" i="1"/>
  <c r="AB108" i="1"/>
  <c r="AA108" i="1"/>
  <c r="AC182" i="1"/>
  <c r="AB182" i="1"/>
  <c r="AA182" i="1"/>
  <c r="AC7" i="1"/>
  <c r="AB7" i="1"/>
  <c r="AA7" i="1"/>
  <c r="AC32" i="1"/>
  <c r="AB32" i="1"/>
  <c r="AA32" i="1"/>
  <c r="AC31" i="1"/>
  <c r="AB31" i="1"/>
  <c r="AA31" i="1"/>
  <c r="AC81" i="1"/>
  <c r="AB81" i="1"/>
  <c r="AA81" i="1"/>
  <c r="AC47" i="1"/>
  <c r="AB47" i="1"/>
  <c r="AA47" i="1"/>
  <c r="AC130" i="1"/>
  <c r="AB130" i="1"/>
  <c r="AA130" i="1"/>
  <c r="AC46" i="1"/>
  <c r="AB46" i="1"/>
  <c r="AA46" i="1"/>
  <c r="AC30" i="1"/>
  <c r="AB30" i="1"/>
  <c r="AA30" i="1"/>
  <c r="AC129" i="1"/>
  <c r="AB129" i="1"/>
  <c r="AA129" i="1"/>
  <c r="AC163" i="1"/>
  <c r="AB163" i="1"/>
  <c r="AA163" i="1"/>
  <c r="AC144" i="1"/>
  <c r="AB144" i="1"/>
  <c r="AA144" i="1"/>
  <c r="AC6" i="1"/>
  <c r="AB6" i="1"/>
  <c r="AA6" i="1"/>
  <c r="AC29" i="1"/>
  <c r="AB29" i="1"/>
  <c r="AA29" i="1"/>
  <c r="AC128" i="1"/>
  <c r="AB128" i="1"/>
  <c r="AA128" i="1"/>
  <c r="AC127" i="1"/>
  <c r="AB127" i="1"/>
  <c r="AA127" i="1"/>
  <c r="AC28" i="1"/>
  <c r="AB28" i="1"/>
  <c r="AA28" i="1"/>
  <c r="AC162" i="1"/>
  <c r="AB162" i="1"/>
  <c r="AA162" i="1"/>
  <c r="AC181" i="1"/>
  <c r="AB181" i="1"/>
  <c r="AA181" i="1"/>
  <c r="AC126" i="1"/>
  <c r="AB126" i="1"/>
  <c r="AA126" i="1"/>
  <c r="AC80" i="1"/>
  <c r="AB80" i="1"/>
  <c r="AA80" i="1"/>
  <c r="AC125" i="1"/>
  <c r="AB125" i="1"/>
  <c r="AA125" i="1"/>
  <c r="AC27" i="1"/>
  <c r="AB27" i="1"/>
  <c r="AA27" i="1"/>
  <c r="AC107" i="1"/>
  <c r="AB107" i="1"/>
  <c r="AA107" i="1"/>
  <c r="AC143" i="1"/>
  <c r="AB143" i="1"/>
  <c r="AA143" i="1"/>
  <c r="AC106" i="1"/>
  <c r="AB106" i="1"/>
  <c r="AA106" i="1"/>
  <c r="AC5" i="1"/>
  <c r="AB5" i="1"/>
  <c r="AA5" i="1"/>
  <c r="AC142" i="1"/>
  <c r="AB142" i="1"/>
  <c r="AA142" i="1"/>
  <c r="AC180" i="1"/>
  <c r="AB180" i="1"/>
  <c r="AA180" i="1"/>
  <c r="AC124" i="1"/>
  <c r="AB124" i="1"/>
  <c r="AA124" i="1"/>
  <c r="AC161" i="1"/>
  <c r="AB161" i="1"/>
  <c r="AA161" i="1"/>
  <c r="AC79" i="1"/>
  <c r="AB79" i="1"/>
  <c r="AA79" i="1"/>
  <c r="AC105" i="1"/>
  <c r="AB105" i="1"/>
  <c r="AA105" i="1"/>
  <c r="AC104" i="1"/>
  <c r="AB104" i="1"/>
  <c r="AA104" i="1"/>
  <c r="AC141" i="1"/>
  <c r="AB141" i="1"/>
  <c r="AA141" i="1"/>
  <c r="AC140" i="1"/>
  <c r="AB140" i="1"/>
  <c r="AA140" i="1"/>
  <c r="AC103" i="1"/>
  <c r="AB103" i="1"/>
  <c r="AA103" i="1"/>
  <c r="AC123" i="1"/>
  <c r="AB123" i="1"/>
  <c r="AA123" i="1"/>
  <c r="AC102" i="1"/>
  <c r="AB102" i="1"/>
  <c r="AA102" i="1"/>
  <c r="AC66" i="1"/>
  <c r="AB66" i="1"/>
  <c r="AA66" i="1"/>
  <c r="AC26" i="1"/>
  <c r="AB26" i="1"/>
  <c r="AA26" i="1"/>
  <c r="AC179" i="1"/>
  <c r="AB179" i="1"/>
  <c r="AA179" i="1"/>
  <c r="AC122" i="1"/>
  <c r="AB122" i="1"/>
  <c r="AA122" i="1"/>
  <c r="AC139" i="1"/>
  <c r="AB139" i="1"/>
  <c r="AA139" i="1"/>
  <c r="AC25" i="1"/>
  <c r="AB25" i="1"/>
  <c r="AA25" i="1"/>
  <c r="AC45" i="1"/>
  <c r="AB45" i="1"/>
  <c r="AA45" i="1"/>
  <c r="AC101" i="1"/>
  <c r="AB101" i="1"/>
  <c r="AA101" i="1"/>
  <c r="AC65" i="1"/>
  <c r="AB65" i="1"/>
  <c r="AA65" i="1"/>
  <c r="AC24" i="1"/>
  <c r="AB24" i="1"/>
  <c r="AA24" i="1"/>
  <c r="AC4" i="1"/>
  <c r="AB4" i="1"/>
  <c r="AA4" i="1"/>
  <c r="AC178" i="1"/>
  <c r="AB178" i="1"/>
  <c r="AA178" i="1"/>
  <c r="AC160" i="1"/>
  <c r="AB160" i="1"/>
  <c r="AA160" i="1"/>
  <c r="AC44" i="1"/>
  <c r="AB44" i="1"/>
  <c r="AA44" i="1"/>
  <c r="AC64" i="1"/>
  <c r="AB64" i="1"/>
  <c r="AA64" i="1"/>
  <c r="AC78" i="1"/>
  <c r="AB78" i="1"/>
  <c r="AA78" i="1"/>
  <c r="AC63" i="1"/>
  <c r="AB63" i="1"/>
  <c r="AA63" i="1"/>
  <c r="AC138" i="1"/>
  <c r="AB138" i="1"/>
  <c r="AA138" i="1"/>
  <c r="AC3" i="1"/>
  <c r="AB3" i="1"/>
  <c r="AA3" i="1"/>
  <c r="AC100" i="1"/>
  <c r="AB100" i="1"/>
  <c r="AA100" i="1"/>
  <c r="AC121" i="1"/>
  <c r="AB121" i="1"/>
  <c r="AA121" i="1"/>
  <c r="AC23" i="1"/>
  <c r="AB23" i="1"/>
  <c r="AA23" i="1"/>
  <c r="AC177" i="1"/>
  <c r="AB177" i="1"/>
  <c r="AA177" i="1"/>
  <c r="AC120" i="1"/>
  <c r="AB120" i="1"/>
  <c r="AA120" i="1"/>
  <c r="AC43" i="1"/>
  <c r="AB43" i="1"/>
  <c r="AA43" i="1"/>
  <c r="AC119" i="1"/>
  <c r="AB119" i="1"/>
  <c r="AA119" i="1"/>
  <c r="AC118" i="1"/>
  <c r="AB118" i="1"/>
  <c r="AA118" i="1"/>
  <c r="AC99" i="1"/>
  <c r="AB99" i="1"/>
  <c r="AA99" i="1"/>
  <c r="AC176" i="1"/>
  <c r="AB176" i="1"/>
  <c r="AA176" i="1"/>
  <c r="AC159" i="1"/>
  <c r="AB159" i="1"/>
  <c r="AA159" i="1"/>
  <c r="AC22" i="1"/>
  <c r="AB22" i="1"/>
  <c r="AA22" i="1"/>
  <c r="AC62" i="1"/>
  <c r="AB62" i="1"/>
  <c r="AA62" i="1"/>
  <c r="AC42" i="1"/>
  <c r="AB42" i="1"/>
  <c r="AA42" i="1"/>
  <c r="AC137" i="1"/>
  <c r="AB137" i="1"/>
  <c r="AA137" i="1"/>
  <c r="AC61" i="1"/>
  <c r="AB61" i="1"/>
  <c r="AA61" i="1"/>
  <c r="AC21" i="1"/>
  <c r="AB21" i="1"/>
  <c r="AA21" i="1"/>
  <c r="AC117" i="1"/>
  <c r="AB117" i="1"/>
  <c r="AA117" i="1"/>
  <c r="AC136" i="1"/>
  <c r="AB136" i="1"/>
  <c r="AA136" i="1"/>
  <c r="AC60" i="1"/>
  <c r="AB60" i="1"/>
  <c r="AA60" i="1"/>
  <c r="AC98" i="1"/>
  <c r="AB98" i="1"/>
  <c r="AA98" i="1"/>
  <c r="AC41" i="1"/>
  <c r="AB41" i="1"/>
  <c r="AA41" i="1"/>
  <c r="AC2" i="1"/>
  <c r="AB2" i="1"/>
  <c r="AA2" i="1"/>
  <c r="AC59" i="1"/>
  <c r="AB59" i="1"/>
  <c r="AA59" i="1"/>
  <c r="AC97" i="1"/>
  <c r="AB97" i="1"/>
  <c r="AA97" i="1"/>
  <c r="X96" i="1"/>
  <c r="W96" i="1"/>
  <c r="V96" i="1"/>
  <c r="X20" i="1"/>
  <c r="W20" i="1"/>
  <c r="V20" i="1"/>
  <c r="X175" i="1"/>
  <c r="W175" i="1"/>
  <c r="V175" i="1"/>
  <c r="X58" i="1"/>
  <c r="W58" i="1"/>
  <c r="V58" i="1"/>
  <c r="X194" i="1"/>
  <c r="W194" i="1"/>
  <c r="V194" i="1"/>
  <c r="X57" i="1"/>
  <c r="W57" i="1"/>
  <c r="V57" i="1"/>
  <c r="X157" i="1"/>
  <c r="W157" i="1"/>
  <c r="V157" i="1"/>
  <c r="X116" i="1"/>
  <c r="W116" i="1"/>
  <c r="V116" i="1"/>
  <c r="X95" i="1"/>
  <c r="W95" i="1"/>
  <c r="V95" i="1"/>
  <c r="X135" i="1"/>
  <c r="W135" i="1"/>
  <c r="V135" i="1"/>
  <c r="X193" i="1"/>
  <c r="W193" i="1"/>
  <c r="V193" i="1"/>
  <c r="X115" i="1"/>
  <c r="W115" i="1"/>
  <c r="V115" i="1"/>
  <c r="X77" i="1"/>
  <c r="W77" i="1"/>
  <c r="V77" i="1"/>
  <c r="X134" i="1"/>
  <c r="W134" i="1"/>
  <c r="V134" i="1"/>
  <c r="X19" i="1"/>
  <c r="W19" i="1"/>
  <c r="V19" i="1"/>
  <c r="X94" i="1"/>
  <c r="W94" i="1"/>
  <c r="V94" i="1"/>
  <c r="X192" i="1"/>
  <c r="W192" i="1"/>
  <c r="V192" i="1"/>
  <c r="X191" i="1"/>
  <c r="W191" i="1"/>
  <c r="V191" i="1"/>
  <c r="X190" i="1"/>
  <c r="W190" i="1"/>
  <c r="V190" i="1"/>
  <c r="X93" i="1"/>
  <c r="W93" i="1"/>
  <c r="V93" i="1"/>
  <c r="X40" i="1"/>
  <c r="W40" i="1"/>
  <c r="V40" i="1"/>
  <c r="X39" i="1"/>
  <c r="W39" i="1"/>
  <c r="V39" i="1"/>
  <c r="X56" i="1"/>
  <c r="W56" i="1"/>
  <c r="V56" i="1"/>
  <c r="X55" i="1"/>
  <c r="W55" i="1"/>
  <c r="V55" i="1"/>
  <c r="X76" i="1"/>
  <c r="W76" i="1"/>
  <c r="V76" i="1"/>
  <c r="X18" i="1"/>
  <c r="W18" i="1"/>
  <c r="V18" i="1"/>
  <c r="X174" i="1"/>
  <c r="W174" i="1"/>
  <c r="V174" i="1"/>
  <c r="X173" i="1"/>
  <c r="W173" i="1"/>
  <c r="V173" i="1"/>
  <c r="X92" i="1"/>
  <c r="W92" i="1"/>
  <c r="V92" i="1"/>
  <c r="X75" i="1"/>
  <c r="W75" i="1"/>
  <c r="V75" i="1"/>
  <c r="X156" i="1"/>
  <c r="W156" i="1"/>
  <c r="V156" i="1"/>
  <c r="X38" i="1"/>
  <c r="W38" i="1"/>
  <c r="V38" i="1"/>
  <c r="X133" i="1"/>
  <c r="W133" i="1"/>
  <c r="V133" i="1"/>
  <c r="X155" i="1"/>
  <c r="W155" i="1"/>
  <c r="V155" i="1"/>
  <c r="X154" i="1"/>
  <c r="W154" i="1"/>
  <c r="V154" i="1"/>
  <c r="X153" i="1"/>
  <c r="W153" i="1"/>
  <c r="V153" i="1"/>
  <c r="X17" i="1"/>
  <c r="W17" i="1"/>
  <c r="V17" i="1"/>
  <c r="X114" i="1"/>
  <c r="W114" i="1"/>
  <c r="V114" i="1"/>
  <c r="X16" i="1"/>
  <c r="W16" i="1"/>
  <c r="V16" i="1"/>
  <c r="X132" i="1"/>
  <c r="W132" i="1"/>
  <c r="V132" i="1"/>
  <c r="X113" i="1"/>
  <c r="W113" i="1"/>
  <c r="V113" i="1"/>
  <c r="X15" i="1"/>
  <c r="W15" i="1"/>
  <c r="V15" i="1"/>
  <c r="X14" i="1"/>
  <c r="W14" i="1"/>
  <c r="V14" i="1"/>
  <c r="X172" i="1"/>
  <c r="W172" i="1"/>
  <c r="V172" i="1"/>
  <c r="X171" i="1"/>
  <c r="W171" i="1"/>
  <c r="V171" i="1"/>
  <c r="X112" i="1"/>
  <c r="W112" i="1"/>
  <c r="V112" i="1"/>
  <c r="X152" i="1"/>
  <c r="W152" i="1"/>
  <c r="V152" i="1"/>
  <c r="X189" i="1"/>
  <c r="W189" i="1"/>
  <c r="V189" i="1"/>
  <c r="X91" i="1"/>
  <c r="W91" i="1"/>
  <c r="V91" i="1"/>
  <c r="X37" i="1"/>
  <c r="W37" i="1"/>
  <c r="V37" i="1"/>
  <c r="X36" i="1"/>
  <c r="W36" i="1"/>
  <c r="V36" i="1"/>
  <c r="X151" i="1"/>
  <c r="W151" i="1"/>
  <c r="V151" i="1"/>
  <c r="X131" i="1"/>
  <c r="W131" i="1"/>
  <c r="V131" i="1"/>
  <c r="X90" i="1"/>
  <c r="W90" i="1"/>
  <c r="V90" i="1"/>
  <c r="X54" i="1"/>
  <c r="W54" i="1"/>
  <c r="V54" i="1"/>
  <c r="X188" i="1"/>
  <c r="W188" i="1"/>
  <c r="V188" i="1"/>
  <c r="X74" i="1"/>
  <c r="W74" i="1"/>
  <c r="V74" i="1"/>
  <c r="X187" i="1"/>
  <c r="W187" i="1"/>
  <c r="V187" i="1"/>
  <c r="X89" i="1"/>
  <c r="W89" i="1"/>
  <c r="V89" i="1"/>
  <c r="X13" i="1"/>
  <c r="W13" i="1"/>
  <c r="V13" i="1"/>
  <c r="X170" i="1"/>
  <c r="W170" i="1"/>
  <c r="V170" i="1"/>
  <c r="X53" i="1"/>
  <c r="W53" i="1"/>
  <c r="V53" i="1"/>
  <c r="X52" i="1"/>
  <c r="W52" i="1"/>
  <c r="V52" i="1"/>
  <c r="X111" i="1"/>
  <c r="W111" i="1"/>
  <c r="V111" i="1"/>
  <c r="X51" i="1"/>
  <c r="W51" i="1"/>
  <c r="V51" i="1"/>
  <c r="X12" i="1"/>
  <c r="W12" i="1"/>
  <c r="V12" i="1"/>
  <c r="X169" i="1"/>
  <c r="W169" i="1"/>
  <c r="V169" i="1"/>
  <c r="X11" i="1"/>
  <c r="W11" i="1"/>
  <c r="V11" i="1"/>
  <c r="X168" i="1"/>
  <c r="W168" i="1"/>
  <c r="V168" i="1"/>
  <c r="X110" i="1"/>
  <c r="W110" i="1"/>
  <c r="V110" i="1"/>
  <c r="X167" i="1"/>
  <c r="W167" i="1"/>
  <c r="V167" i="1"/>
  <c r="X88" i="1"/>
  <c r="W88" i="1"/>
  <c r="V88" i="1"/>
  <c r="X166" i="1"/>
  <c r="W166" i="1"/>
  <c r="V166" i="1"/>
  <c r="X150" i="1"/>
  <c r="W150" i="1"/>
  <c r="V150" i="1"/>
  <c r="X149" i="1"/>
  <c r="W149" i="1"/>
  <c r="V149" i="1"/>
  <c r="X165" i="1"/>
  <c r="W165" i="1"/>
  <c r="V165" i="1"/>
  <c r="X73" i="1"/>
  <c r="W73" i="1"/>
  <c r="V73" i="1"/>
  <c r="X109" i="1"/>
  <c r="W109" i="1"/>
  <c r="V109" i="1"/>
  <c r="X10" i="1"/>
  <c r="W10" i="1"/>
  <c r="V10" i="1"/>
  <c r="X148" i="1"/>
  <c r="W148" i="1"/>
  <c r="V148" i="1"/>
  <c r="X147" i="1"/>
  <c r="W147" i="1"/>
  <c r="V147" i="1"/>
  <c r="X87" i="1"/>
  <c r="W87" i="1"/>
  <c r="V87" i="1"/>
  <c r="X146" i="1"/>
  <c r="W146" i="1"/>
  <c r="V146" i="1"/>
  <c r="X9" i="1"/>
  <c r="W9" i="1"/>
  <c r="V9" i="1"/>
  <c r="X86" i="1"/>
  <c r="W86" i="1"/>
  <c r="V86" i="1"/>
  <c r="X8" i="1"/>
  <c r="W8" i="1"/>
  <c r="V8" i="1"/>
  <c r="X85" i="1"/>
  <c r="W85" i="1"/>
  <c r="V85" i="1"/>
  <c r="X84" i="1"/>
  <c r="W84" i="1"/>
  <c r="V84" i="1"/>
  <c r="X186" i="1"/>
  <c r="W186" i="1"/>
  <c r="V186" i="1"/>
  <c r="X83" i="1"/>
  <c r="W83" i="1"/>
  <c r="V83" i="1"/>
  <c r="X50" i="1"/>
  <c r="W50" i="1"/>
  <c r="V50" i="1"/>
  <c r="X185" i="1"/>
  <c r="W185" i="1"/>
  <c r="V185" i="1"/>
  <c r="X49" i="1"/>
  <c r="W49" i="1"/>
  <c r="V49" i="1"/>
  <c r="X35" i="1"/>
  <c r="W35" i="1"/>
  <c r="V35" i="1"/>
  <c r="X72" i="1"/>
  <c r="W72" i="1"/>
  <c r="V72" i="1"/>
  <c r="X71" i="1"/>
  <c r="W71" i="1"/>
  <c r="V71" i="1"/>
  <c r="X48" i="1"/>
  <c r="W48" i="1"/>
  <c r="V48" i="1"/>
  <c r="X164" i="1"/>
  <c r="W164" i="1"/>
  <c r="V164" i="1"/>
  <c r="X145" i="1"/>
  <c r="W145" i="1"/>
  <c r="V145" i="1"/>
  <c r="X70" i="1"/>
  <c r="W70" i="1"/>
  <c r="V70" i="1"/>
  <c r="X184" i="1"/>
  <c r="W184" i="1"/>
  <c r="V184" i="1"/>
  <c r="X183" i="1"/>
  <c r="W183" i="1"/>
  <c r="V183" i="1"/>
  <c r="X34" i="1"/>
  <c r="W34" i="1"/>
  <c r="V34" i="1"/>
  <c r="X33" i="1"/>
  <c r="W33" i="1"/>
  <c r="V33" i="1"/>
  <c r="X82" i="1"/>
  <c r="W82" i="1"/>
  <c r="V82" i="1"/>
  <c r="X69" i="1"/>
  <c r="W69" i="1"/>
  <c r="V69" i="1"/>
  <c r="X68" i="1"/>
  <c r="W68" i="1"/>
  <c r="V68" i="1"/>
  <c r="X67" i="1"/>
  <c r="W67" i="1"/>
  <c r="V67" i="1"/>
  <c r="X108" i="1"/>
  <c r="W108" i="1"/>
  <c r="V108" i="1"/>
  <c r="X182" i="1"/>
  <c r="W182" i="1"/>
  <c r="V182" i="1"/>
  <c r="X7" i="1"/>
  <c r="W7" i="1"/>
  <c r="V7" i="1"/>
  <c r="X32" i="1"/>
  <c r="W32" i="1"/>
  <c r="V32" i="1"/>
  <c r="X31" i="1"/>
  <c r="W31" i="1"/>
  <c r="V31" i="1"/>
  <c r="X81" i="1"/>
  <c r="W81" i="1"/>
  <c r="V81" i="1"/>
  <c r="X47" i="1"/>
  <c r="W47" i="1"/>
  <c r="V47" i="1"/>
  <c r="X130" i="1"/>
  <c r="W130" i="1"/>
  <c r="V130" i="1"/>
  <c r="X46" i="1"/>
  <c r="W46" i="1"/>
  <c r="V46" i="1"/>
  <c r="X30" i="1"/>
  <c r="W30" i="1"/>
  <c r="V30" i="1"/>
  <c r="X129" i="1"/>
  <c r="W129" i="1"/>
  <c r="V129" i="1"/>
  <c r="X163" i="1"/>
  <c r="W163" i="1"/>
  <c r="V163" i="1"/>
  <c r="X144" i="1"/>
  <c r="W144" i="1"/>
  <c r="V144" i="1"/>
  <c r="X6" i="1"/>
  <c r="W6" i="1"/>
  <c r="V6" i="1"/>
  <c r="X29" i="1"/>
  <c r="W29" i="1"/>
  <c r="V29" i="1"/>
  <c r="X128" i="1"/>
  <c r="W128" i="1"/>
  <c r="V128" i="1"/>
  <c r="X127" i="1"/>
  <c r="W127" i="1"/>
  <c r="V127" i="1"/>
  <c r="X28" i="1"/>
  <c r="W28" i="1"/>
  <c r="V28" i="1"/>
  <c r="X162" i="1"/>
  <c r="W162" i="1"/>
  <c r="V162" i="1"/>
  <c r="X181" i="1"/>
  <c r="W181" i="1"/>
  <c r="V181" i="1"/>
  <c r="X126" i="1"/>
  <c r="W126" i="1"/>
  <c r="V126" i="1"/>
  <c r="X80" i="1"/>
  <c r="W80" i="1"/>
  <c r="V80" i="1"/>
  <c r="X125" i="1"/>
  <c r="W125" i="1"/>
  <c r="V125" i="1"/>
  <c r="X27" i="1"/>
  <c r="W27" i="1"/>
  <c r="V27" i="1"/>
  <c r="X107" i="1"/>
  <c r="W107" i="1"/>
  <c r="V107" i="1"/>
  <c r="X143" i="1"/>
  <c r="W143" i="1"/>
  <c r="V143" i="1"/>
  <c r="X106" i="1"/>
  <c r="W106" i="1"/>
  <c r="V106" i="1"/>
  <c r="X5" i="1"/>
  <c r="W5" i="1"/>
  <c r="V5" i="1"/>
  <c r="X142" i="1"/>
  <c r="W142" i="1"/>
  <c r="V142" i="1"/>
  <c r="X180" i="1"/>
  <c r="W180" i="1"/>
  <c r="V180" i="1"/>
  <c r="X124" i="1"/>
  <c r="W124" i="1"/>
  <c r="V124" i="1"/>
  <c r="X161" i="1"/>
  <c r="W161" i="1"/>
  <c r="V161" i="1"/>
  <c r="X79" i="1"/>
  <c r="W79" i="1"/>
  <c r="V79" i="1"/>
  <c r="X105" i="1"/>
  <c r="W105" i="1"/>
  <c r="V105" i="1"/>
  <c r="X104" i="1"/>
  <c r="W104" i="1"/>
  <c r="V104" i="1"/>
  <c r="X141" i="1"/>
  <c r="W141" i="1"/>
  <c r="V141" i="1"/>
  <c r="X140" i="1"/>
  <c r="W140" i="1"/>
  <c r="V140" i="1"/>
  <c r="X103" i="1"/>
  <c r="W103" i="1"/>
  <c r="V103" i="1"/>
  <c r="X123" i="1"/>
  <c r="W123" i="1"/>
  <c r="V123" i="1"/>
  <c r="X102" i="1"/>
  <c r="W102" i="1"/>
  <c r="V102" i="1"/>
  <c r="X66" i="1"/>
  <c r="W66" i="1"/>
  <c r="V66" i="1"/>
  <c r="X26" i="1"/>
  <c r="W26" i="1"/>
  <c r="V26" i="1"/>
  <c r="X179" i="1"/>
  <c r="W179" i="1"/>
  <c r="V179" i="1"/>
  <c r="X122" i="1"/>
  <c r="W122" i="1"/>
  <c r="V122" i="1"/>
  <c r="X139" i="1"/>
  <c r="W139" i="1"/>
  <c r="V139" i="1"/>
  <c r="X25" i="1"/>
  <c r="W25" i="1"/>
  <c r="V25" i="1"/>
  <c r="X45" i="1"/>
  <c r="W45" i="1"/>
  <c r="V45" i="1"/>
  <c r="X101" i="1"/>
  <c r="W101" i="1"/>
  <c r="V101" i="1"/>
  <c r="X65" i="1"/>
  <c r="W65" i="1"/>
  <c r="V65" i="1"/>
  <c r="X24" i="1"/>
  <c r="W24" i="1"/>
  <c r="V24" i="1"/>
  <c r="X4" i="1"/>
  <c r="W4" i="1"/>
  <c r="V4" i="1"/>
  <c r="X178" i="1"/>
  <c r="W178" i="1"/>
  <c r="V178" i="1"/>
  <c r="X160" i="1"/>
  <c r="W160" i="1"/>
  <c r="V160" i="1"/>
  <c r="X44" i="1"/>
  <c r="W44" i="1"/>
  <c r="V44" i="1"/>
  <c r="X64" i="1"/>
  <c r="W64" i="1"/>
  <c r="V64" i="1"/>
  <c r="X78" i="1"/>
  <c r="W78" i="1"/>
  <c r="V78" i="1"/>
  <c r="X63" i="1"/>
  <c r="W63" i="1"/>
  <c r="V63" i="1"/>
  <c r="X138" i="1"/>
  <c r="W138" i="1"/>
  <c r="V138" i="1"/>
  <c r="X3" i="1"/>
  <c r="W3" i="1"/>
  <c r="V3" i="1"/>
  <c r="X100" i="1"/>
  <c r="W100" i="1"/>
  <c r="V100" i="1"/>
  <c r="X121" i="1"/>
  <c r="W121" i="1"/>
  <c r="V121" i="1"/>
  <c r="X23" i="1"/>
  <c r="W23" i="1"/>
  <c r="V23" i="1"/>
  <c r="X177" i="1"/>
  <c r="W177" i="1"/>
  <c r="V177" i="1"/>
  <c r="X120" i="1"/>
  <c r="W120" i="1"/>
  <c r="V120" i="1"/>
  <c r="X43" i="1"/>
  <c r="W43" i="1"/>
  <c r="V43" i="1"/>
  <c r="X119" i="1"/>
  <c r="W119" i="1"/>
  <c r="V119" i="1"/>
  <c r="X118" i="1"/>
  <c r="W118" i="1"/>
  <c r="V118" i="1"/>
  <c r="X99" i="1"/>
  <c r="W99" i="1"/>
  <c r="V99" i="1"/>
  <c r="X176" i="1"/>
  <c r="W176" i="1"/>
  <c r="V176" i="1"/>
  <c r="X159" i="1"/>
  <c r="W159" i="1"/>
  <c r="V159" i="1"/>
  <c r="X22" i="1"/>
  <c r="W22" i="1"/>
  <c r="V22" i="1"/>
  <c r="X62" i="1"/>
  <c r="W62" i="1"/>
  <c r="V62" i="1"/>
  <c r="X42" i="1"/>
  <c r="W42" i="1"/>
  <c r="V42" i="1"/>
  <c r="X137" i="1"/>
  <c r="W137" i="1"/>
  <c r="V137" i="1"/>
  <c r="X61" i="1"/>
  <c r="W61" i="1"/>
  <c r="V61" i="1"/>
  <c r="X21" i="1"/>
  <c r="W21" i="1"/>
  <c r="V21" i="1"/>
  <c r="X117" i="1"/>
  <c r="W117" i="1"/>
  <c r="V117" i="1"/>
  <c r="X136" i="1"/>
  <c r="W136" i="1"/>
  <c r="V136" i="1"/>
  <c r="X60" i="1"/>
  <c r="W60" i="1"/>
  <c r="V60" i="1"/>
  <c r="X98" i="1"/>
  <c r="W98" i="1"/>
  <c r="V98" i="1"/>
  <c r="X41" i="1"/>
  <c r="W41" i="1"/>
  <c r="V41" i="1"/>
  <c r="X2" i="1"/>
  <c r="W2" i="1"/>
  <c r="V2" i="1"/>
  <c r="X59" i="1"/>
  <c r="W59" i="1"/>
  <c r="V59" i="1"/>
  <c r="X97" i="1"/>
  <c r="W97" i="1"/>
  <c r="V97" i="1"/>
  <c r="S96" i="1"/>
  <c r="R96" i="1"/>
  <c r="Q96" i="1"/>
  <c r="S20" i="1"/>
  <c r="R20" i="1"/>
  <c r="Q20" i="1"/>
  <c r="S175" i="1"/>
  <c r="R175" i="1"/>
  <c r="Q175" i="1"/>
  <c r="S58" i="1"/>
  <c r="R58" i="1"/>
  <c r="Q58" i="1"/>
  <c r="S194" i="1"/>
  <c r="R194" i="1"/>
  <c r="Q194" i="1"/>
  <c r="S57" i="1"/>
  <c r="R57" i="1"/>
  <c r="Q57" i="1"/>
  <c r="S157" i="1"/>
  <c r="R157" i="1"/>
  <c r="Q157" i="1"/>
  <c r="S116" i="1"/>
  <c r="R116" i="1"/>
  <c r="Q116" i="1"/>
  <c r="S95" i="1"/>
  <c r="R95" i="1"/>
  <c r="Q95" i="1"/>
  <c r="S135" i="1"/>
  <c r="R135" i="1"/>
  <c r="Q135" i="1"/>
  <c r="S193" i="1"/>
  <c r="R193" i="1"/>
  <c r="Q193" i="1"/>
  <c r="S115" i="1"/>
  <c r="R115" i="1"/>
  <c r="Q115" i="1"/>
  <c r="S77" i="1"/>
  <c r="R77" i="1"/>
  <c r="Q77" i="1"/>
  <c r="S134" i="1"/>
  <c r="R134" i="1"/>
  <c r="Q134" i="1"/>
  <c r="S19" i="1"/>
  <c r="R19" i="1"/>
  <c r="Q19" i="1"/>
  <c r="S94" i="1"/>
  <c r="R94" i="1"/>
  <c r="Q94" i="1"/>
  <c r="S192" i="1"/>
  <c r="R192" i="1"/>
  <c r="Q192" i="1"/>
  <c r="S191" i="1"/>
  <c r="R191" i="1"/>
  <c r="Q191" i="1"/>
  <c r="S190" i="1"/>
  <c r="R190" i="1"/>
  <c r="Q190" i="1"/>
  <c r="S93" i="1"/>
  <c r="R93" i="1"/>
  <c r="Q93" i="1"/>
  <c r="S40" i="1"/>
  <c r="R40" i="1"/>
  <c r="Q40" i="1"/>
  <c r="S39" i="1"/>
  <c r="R39" i="1"/>
  <c r="Q39" i="1"/>
  <c r="S56" i="1"/>
  <c r="R56" i="1"/>
  <c r="Q56" i="1"/>
  <c r="S55" i="1"/>
  <c r="R55" i="1"/>
  <c r="Q55" i="1"/>
  <c r="S76" i="1"/>
  <c r="R76" i="1"/>
  <c r="Q76" i="1"/>
  <c r="S18" i="1"/>
  <c r="R18" i="1"/>
  <c r="Q18" i="1"/>
  <c r="S174" i="1"/>
  <c r="R174" i="1"/>
  <c r="Q174" i="1"/>
  <c r="S173" i="1"/>
  <c r="R173" i="1"/>
  <c r="Q173" i="1"/>
  <c r="S92" i="1"/>
  <c r="R92" i="1"/>
  <c r="Q92" i="1"/>
  <c r="S75" i="1"/>
  <c r="R75" i="1"/>
  <c r="Q75" i="1"/>
  <c r="S156" i="1"/>
  <c r="R156" i="1"/>
  <c r="Q156" i="1"/>
  <c r="S38" i="1"/>
  <c r="R38" i="1"/>
  <c r="Q38" i="1"/>
  <c r="S133" i="1"/>
  <c r="R133" i="1"/>
  <c r="Q133" i="1"/>
  <c r="S155" i="1"/>
  <c r="R155" i="1"/>
  <c r="Q155" i="1"/>
  <c r="S154" i="1"/>
  <c r="R154" i="1"/>
  <c r="Q154" i="1"/>
  <c r="S153" i="1"/>
  <c r="R153" i="1"/>
  <c r="Q153" i="1"/>
  <c r="S17" i="1"/>
  <c r="R17" i="1"/>
  <c r="Q17" i="1"/>
  <c r="S114" i="1"/>
  <c r="R114" i="1"/>
  <c r="Q114" i="1"/>
  <c r="S16" i="1"/>
  <c r="R16" i="1"/>
  <c r="Q16" i="1"/>
  <c r="S132" i="1"/>
  <c r="R132" i="1"/>
  <c r="Q132" i="1"/>
  <c r="S113" i="1"/>
  <c r="R113" i="1"/>
  <c r="Q113" i="1"/>
  <c r="S15" i="1"/>
  <c r="R15" i="1"/>
  <c r="Q15" i="1"/>
  <c r="S14" i="1"/>
  <c r="R14" i="1"/>
  <c r="Q14" i="1"/>
  <c r="S172" i="1"/>
  <c r="R172" i="1"/>
  <c r="Q172" i="1"/>
  <c r="S171" i="1"/>
  <c r="R171" i="1"/>
  <c r="Q171" i="1"/>
  <c r="S112" i="1"/>
  <c r="R112" i="1"/>
  <c r="Q112" i="1"/>
  <c r="S152" i="1"/>
  <c r="R152" i="1"/>
  <c r="Q152" i="1"/>
  <c r="S189" i="1"/>
  <c r="R189" i="1"/>
  <c r="Q189" i="1"/>
  <c r="S91" i="1"/>
  <c r="R91" i="1"/>
  <c r="Q91" i="1"/>
  <c r="S37" i="1"/>
  <c r="R37" i="1"/>
  <c r="Q37" i="1"/>
  <c r="S36" i="1"/>
  <c r="R36" i="1"/>
  <c r="Q36" i="1"/>
  <c r="S151" i="1"/>
  <c r="R151" i="1"/>
  <c r="Q151" i="1"/>
  <c r="S131" i="1"/>
  <c r="R131" i="1"/>
  <c r="Q131" i="1"/>
  <c r="S90" i="1"/>
  <c r="R90" i="1"/>
  <c r="Q90" i="1"/>
  <c r="S54" i="1"/>
  <c r="R54" i="1"/>
  <c r="Q54" i="1"/>
  <c r="S188" i="1"/>
  <c r="R188" i="1"/>
  <c r="Q188" i="1"/>
  <c r="S74" i="1"/>
  <c r="R74" i="1"/>
  <c r="Q74" i="1"/>
  <c r="S187" i="1"/>
  <c r="R187" i="1"/>
  <c r="Q187" i="1"/>
  <c r="S89" i="1"/>
  <c r="R89" i="1"/>
  <c r="Q89" i="1"/>
  <c r="S13" i="1"/>
  <c r="R13" i="1"/>
  <c r="Q13" i="1"/>
  <c r="S170" i="1"/>
  <c r="R170" i="1"/>
  <c r="Q170" i="1"/>
  <c r="S53" i="1"/>
  <c r="R53" i="1"/>
  <c r="Q53" i="1"/>
  <c r="S52" i="1"/>
  <c r="R52" i="1"/>
  <c r="Q52" i="1"/>
  <c r="S111" i="1"/>
  <c r="R111" i="1"/>
  <c r="Q111" i="1"/>
  <c r="S51" i="1"/>
  <c r="R51" i="1"/>
  <c r="Q51" i="1"/>
  <c r="S12" i="1"/>
  <c r="R12" i="1"/>
  <c r="Q12" i="1"/>
  <c r="S169" i="1"/>
  <c r="R169" i="1"/>
  <c r="Q169" i="1"/>
  <c r="S11" i="1"/>
  <c r="R11" i="1"/>
  <c r="Q11" i="1"/>
  <c r="S168" i="1"/>
  <c r="R168" i="1"/>
  <c r="Q168" i="1"/>
  <c r="S110" i="1"/>
  <c r="R110" i="1"/>
  <c r="Q110" i="1"/>
  <c r="S167" i="1"/>
  <c r="R167" i="1"/>
  <c r="Q167" i="1"/>
  <c r="S88" i="1"/>
  <c r="R88" i="1"/>
  <c r="Q88" i="1"/>
  <c r="S166" i="1"/>
  <c r="R166" i="1"/>
  <c r="Q166" i="1"/>
  <c r="S150" i="1"/>
  <c r="R150" i="1"/>
  <c r="Q150" i="1"/>
  <c r="S149" i="1"/>
  <c r="R149" i="1"/>
  <c r="Q149" i="1"/>
  <c r="S165" i="1"/>
  <c r="R165" i="1"/>
  <c r="Q165" i="1"/>
  <c r="S73" i="1"/>
  <c r="R73" i="1"/>
  <c r="Q73" i="1"/>
  <c r="S109" i="1"/>
  <c r="R109" i="1"/>
  <c r="Q109" i="1"/>
  <c r="S10" i="1"/>
  <c r="R10" i="1"/>
  <c r="Q10" i="1"/>
  <c r="S148" i="1"/>
  <c r="R148" i="1"/>
  <c r="Q148" i="1"/>
  <c r="S147" i="1"/>
  <c r="R147" i="1"/>
  <c r="Q147" i="1"/>
  <c r="S87" i="1"/>
  <c r="R87" i="1"/>
  <c r="Q87" i="1"/>
  <c r="S146" i="1"/>
  <c r="R146" i="1"/>
  <c r="Q146" i="1"/>
  <c r="S9" i="1"/>
  <c r="R9" i="1"/>
  <c r="Q9" i="1"/>
  <c r="S86" i="1"/>
  <c r="R86" i="1"/>
  <c r="Q86" i="1"/>
  <c r="S8" i="1"/>
  <c r="R8" i="1"/>
  <c r="Q8" i="1"/>
  <c r="S85" i="1"/>
  <c r="R85" i="1"/>
  <c r="Q85" i="1"/>
  <c r="S84" i="1"/>
  <c r="R84" i="1"/>
  <c r="Q84" i="1"/>
  <c r="S186" i="1"/>
  <c r="R186" i="1"/>
  <c r="Q186" i="1"/>
  <c r="S83" i="1"/>
  <c r="R83" i="1"/>
  <c r="Q83" i="1"/>
  <c r="S50" i="1"/>
  <c r="R50" i="1"/>
  <c r="Q50" i="1"/>
  <c r="S185" i="1"/>
  <c r="R185" i="1"/>
  <c r="Q185" i="1"/>
  <c r="S49" i="1"/>
  <c r="R49" i="1"/>
  <c r="Q49" i="1"/>
  <c r="S35" i="1"/>
  <c r="R35" i="1"/>
  <c r="Q35" i="1"/>
  <c r="S72" i="1"/>
  <c r="R72" i="1"/>
  <c r="Q72" i="1"/>
  <c r="S71" i="1"/>
  <c r="R71" i="1"/>
  <c r="Q71" i="1"/>
  <c r="S48" i="1"/>
  <c r="R48" i="1"/>
  <c r="Q48" i="1"/>
  <c r="S164" i="1"/>
  <c r="R164" i="1"/>
  <c r="Q164" i="1"/>
  <c r="S145" i="1"/>
  <c r="R145" i="1"/>
  <c r="Q145" i="1"/>
  <c r="S70" i="1"/>
  <c r="R70" i="1"/>
  <c r="Q70" i="1"/>
  <c r="S184" i="1"/>
  <c r="R184" i="1"/>
  <c r="Q184" i="1"/>
  <c r="S183" i="1"/>
  <c r="R183" i="1"/>
  <c r="Q183" i="1"/>
  <c r="S34" i="1"/>
  <c r="R34" i="1"/>
  <c r="Q34" i="1"/>
  <c r="S33" i="1"/>
  <c r="R33" i="1"/>
  <c r="Q33" i="1"/>
  <c r="S82" i="1"/>
  <c r="R82" i="1"/>
  <c r="Q82" i="1"/>
  <c r="S69" i="1"/>
  <c r="R69" i="1"/>
  <c r="Q69" i="1"/>
  <c r="S68" i="1"/>
  <c r="R68" i="1"/>
  <c r="Q68" i="1"/>
  <c r="S67" i="1"/>
  <c r="R67" i="1"/>
  <c r="Q67" i="1"/>
  <c r="S108" i="1"/>
  <c r="R108" i="1"/>
  <c r="Q108" i="1"/>
  <c r="S182" i="1"/>
  <c r="R182" i="1"/>
  <c r="Q182" i="1"/>
  <c r="S7" i="1"/>
  <c r="R7" i="1"/>
  <c r="Q7" i="1"/>
  <c r="S32" i="1"/>
  <c r="R32" i="1"/>
  <c r="Q32" i="1"/>
  <c r="S31" i="1"/>
  <c r="R31" i="1"/>
  <c r="Q31" i="1"/>
  <c r="S81" i="1"/>
  <c r="R81" i="1"/>
  <c r="Q81" i="1"/>
  <c r="S47" i="1"/>
  <c r="R47" i="1"/>
  <c r="Q47" i="1"/>
  <c r="S130" i="1"/>
  <c r="R130" i="1"/>
  <c r="Q130" i="1"/>
  <c r="S46" i="1"/>
  <c r="R46" i="1"/>
  <c r="Q46" i="1"/>
  <c r="S30" i="1"/>
  <c r="R30" i="1"/>
  <c r="Q30" i="1"/>
  <c r="S129" i="1"/>
  <c r="R129" i="1"/>
  <c r="Q129" i="1"/>
  <c r="S163" i="1"/>
  <c r="R163" i="1"/>
  <c r="Q163" i="1"/>
  <c r="S144" i="1"/>
  <c r="R144" i="1"/>
  <c r="Q144" i="1"/>
  <c r="S6" i="1"/>
  <c r="R6" i="1"/>
  <c r="Q6" i="1"/>
  <c r="S29" i="1"/>
  <c r="R29" i="1"/>
  <c r="Q29" i="1"/>
  <c r="S128" i="1"/>
  <c r="R128" i="1"/>
  <c r="Q128" i="1"/>
  <c r="S127" i="1"/>
  <c r="R127" i="1"/>
  <c r="Q127" i="1"/>
  <c r="S28" i="1"/>
  <c r="R28" i="1"/>
  <c r="Q28" i="1"/>
  <c r="S162" i="1"/>
  <c r="R162" i="1"/>
  <c r="Q162" i="1"/>
  <c r="S181" i="1"/>
  <c r="R181" i="1"/>
  <c r="Q181" i="1"/>
  <c r="S126" i="1"/>
  <c r="R126" i="1"/>
  <c r="Q126" i="1"/>
  <c r="S80" i="1"/>
  <c r="R80" i="1"/>
  <c r="Q80" i="1"/>
  <c r="S125" i="1"/>
  <c r="R125" i="1"/>
  <c r="Q125" i="1"/>
  <c r="S27" i="1"/>
  <c r="R27" i="1"/>
  <c r="Q27" i="1"/>
  <c r="S107" i="1"/>
  <c r="R107" i="1"/>
  <c r="Q107" i="1"/>
  <c r="S143" i="1"/>
  <c r="R143" i="1"/>
  <c r="Q143" i="1"/>
  <c r="S106" i="1"/>
  <c r="R106" i="1"/>
  <c r="Q106" i="1"/>
  <c r="S5" i="1"/>
  <c r="R5" i="1"/>
  <c r="Q5" i="1"/>
  <c r="S142" i="1"/>
  <c r="R142" i="1"/>
  <c r="Q142" i="1"/>
  <c r="S180" i="1"/>
  <c r="R180" i="1"/>
  <c r="Q180" i="1"/>
  <c r="S124" i="1"/>
  <c r="R124" i="1"/>
  <c r="Q124" i="1"/>
  <c r="S161" i="1"/>
  <c r="R161" i="1"/>
  <c r="Q161" i="1"/>
  <c r="S79" i="1"/>
  <c r="R79" i="1"/>
  <c r="Q79" i="1"/>
  <c r="S105" i="1"/>
  <c r="R105" i="1"/>
  <c r="Q105" i="1"/>
  <c r="S104" i="1"/>
  <c r="R104" i="1"/>
  <c r="Q104" i="1"/>
  <c r="S141" i="1"/>
  <c r="R141" i="1"/>
  <c r="Q141" i="1"/>
  <c r="S140" i="1"/>
  <c r="R140" i="1"/>
  <c r="Q140" i="1"/>
  <c r="S103" i="1"/>
  <c r="R103" i="1"/>
  <c r="Q103" i="1"/>
  <c r="S123" i="1"/>
  <c r="R123" i="1"/>
  <c r="Q123" i="1"/>
  <c r="S102" i="1"/>
  <c r="R102" i="1"/>
  <c r="Q102" i="1"/>
  <c r="S66" i="1"/>
  <c r="R66" i="1"/>
  <c r="Q66" i="1"/>
  <c r="S26" i="1"/>
  <c r="R26" i="1"/>
  <c r="Q26" i="1"/>
  <c r="S179" i="1"/>
  <c r="R179" i="1"/>
  <c r="Q179" i="1"/>
  <c r="S122" i="1"/>
  <c r="R122" i="1"/>
  <c r="Q122" i="1"/>
  <c r="S139" i="1"/>
  <c r="R139" i="1"/>
  <c r="Q139" i="1"/>
  <c r="S25" i="1"/>
  <c r="R25" i="1"/>
  <c r="Q25" i="1"/>
  <c r="S45" i="1"/>
  <c r="R45" i="1"/>
  <c r="Q45" i="1"/>
  <c r="S101" i="1"/>
  <c r="R101" i="1"/>
  <c r="Q101" i="1"/>
  <c r="S65" i="1"/>
  <c r="R65" i="1"/>
  <c r="Q65" i="1"/>
  <c r="S24" i="1"/>
  <c r="R24" i="1"/>
  <c r="Q24" i="1"/>
  <c r="S4" i="1"/>
  <c r="R4" i="1"/>
  <c r="Q4" i="1"/>
  <c r="S178" i="1"/>
  <c r="R178" i="1"/>
  <c r="Q178" i="1"/>
  <c r="S160" i="1"/>
  <c r="R160" i="1"/>
  <c r="Q160" i="1"/>
  <c r="S44" i="1"/>
  <c r="R44" i="1"/>
  <c r="Q44" i="1"/>
  <c r="S64" i="1"/>
  <c r="R64" i="1"/>
  <c r="Q64" i="1"/>
  <c r="S78" i="1"/>
  <c r="R78" i="1"/>
  <c r="Q78" i="1"/>
  <c r="S63" i="1"/>
  <c r="R63" i="1"/>
  <c r="Q63" i="1"/>
  <c r="S138" i="1"/>
  <c r="R138" i="1"/>
  <c r="Q138" i="1"/>
  <c r="S3" i="1"/>
  <c r="R3" i="1"/>
  <c r="Q3" i="1"/>
  <c r="S100" i="1"/>
  <c r="R100" i="1"/>
  <c r="Q100" i="1"/>
  <c r="S121" i="1"/>
  <c r="R121" i="1"/>
  <c r="Q121" i="1"/>
  <c r="S23" i="1"/>
  <c r="R23" i="1"/>
  <c r="Q23" i="1"/>
  <c r="S177" i="1"/>
  <c r="R177" i="1"/>
  <c r="Q177" i="1"/>
  <c r="S120" i="1"/>
  <c r="R120" i="1"/>
  <c r="Q120" i="1"/>
  <c r="S43" i="1"/>
  <c r="R43" i="1"/>
  <c r="Q43" i="1"/>
  <c r="S119" i="1"/>
  <c r="R119" i="1"/>
  <c r="Q119" i="1"/>
  <c r="S118" i="1"/>
  <c r="R118" i="1"/>
  <c r="Q118" i="1"/>
  <c r="S99" i="1"/>
  <c r="R99" i="1"/>
  <c r="Q99" i="1"/>
  <c r="S176" i="1"/>
  <c r="R176" i="1"/>
  <c r="Q176" i="1"/>
  <c r="S159" i="1"/>
  <c r="R159" i="1"/>
  <c r="Q159" i="1"/>
  <c r="S22" i="1"/>
  <c r="R22" i="1"/>
  <c r="Q22" i="1"/>
  <c r="S62" i="1"/>
  <c r="R62" i="1"/>
  <c r="Q62" i="1"/>
  <c r="S42" i="1"/>
  <c r="R42" i="1"/>
  <c r="Q42" i="1"/>
  <c r="S137" i="1"/>
  <c r="R137" i="1"/>
  <c r="Q137" i="1"/>
  <c r="S61" i="1"/>
  <c r="R61" i="1"/>
  <c r="Q61" i="1"/>
  <c r="S21" i="1"/>
  <c r="R21" i="1"/>
  <c r="Q21" i="1"/>
  <c r="S117" i="1"/>
  <c r="R117" i="1"/>
  <c r="Q117" i="1"/>
  <c r="S136" i="1"/>
  <c r="R136" i="1"/>
  <c r="Q136" i="1"/>
  <c r="S60" i="1"/>
  <c r="R60" i="1"/>
  <c r="Q60" i="1"/>
  <c r="S98" i="1"/>
  <c r="R98" i="1"/>
  <c r="Q98" i="1"/>
  <c r="S41" i="1"/>
  <c r="R41" i="1"/>
  <c r="Q41" i="1"/>
  <c r="S2" i="1"/>
  <c r="R2" i="1"/>
  <c r="Q2" i="1"/>
  <c r="S59" i="1"/>
  <c r="R59" i="1"/>
  <c r="Q59" i="1"/>
  <c r="S97" i="1"/>
  <c r="R97" i="1"/>
  <c r="Q97" i="1"/>
  <c r="N96" i="1"/>
  <c r="M96" i="1"/>
  <c r="L96" i="1"/>
  <c r="N20" i="1"/>
  <c r="M20" i="1"/>
  <c r="L20" i="1"/>
  <c r="N175" i="1"/>
  <c r="M175" i="1"/>
  <c r="L175" i="1"/>
  <c r="N58" i="1"/>
  <c r="M58" i="1"/>
  <c r="L58" i="1"/>
  <c r="N194" i="1"/>
  <c r="M194" i="1"/>
  <c r="L194" i="1"/>
  <c r="N57" i="1"/>
  <c r="M57" i="1"/>
  <c r="L57" i="1"/>
  <c r="N157" i="1"/>
  <c r="M157" i="1"/>
  <c r="L157" i="1"/>
  <c r="N116" i="1"/>
  <c r="M116" i="1"/>
  <c r="L116" i="1"/>
  <c r="N95" i="1"/>
  <c r="M95" i="1"/>
  <c r="L95" i="1"/>
  <c r="N135" i="1"/>
  <c r="M135" i="1"/>
  <c r="L135" i="1"/>
  <c r="N193" i="1"/>
  <c r="M193" i="1"/>
  <c r="L193" i="1"/>
  <c r="N115" i="1"/>
  <c r="M115" i="1"/>
  <c r="L115" i="1"/>
  <c r="N77" i="1"/>
  <c r="M77" i="1"/>
  <c r="L77" i="1"/>
  <c r="N134" i="1"/>
  <c r="M134" i="1"/>
  <c r="L134" i="1"/>
  <c r="N19" i="1"/>
  <c r="M19" i="1"/>
  <c r="L19" i="1"/>
  <c r="N94" i="1"/>
  <c r="M94" i="1"/>
  <c r="L94" i="1"/>
  <c r="N192" i="1"/>
  <c r="M192" i="1"/>
  <c r="L192" i="1"/>
  <c r="N191" i="1"/>
  <c r="M191" i="1"/>
  <c r="L191" i="1"/>
  <c r="N190" i="1"/>
  <c r="M190" i="1"/>
  <c r="L190" i="1"/>
  <c r="N93" i="1"/>
  <c r="M93" i="1"/>
  <c r="L93" i="1"/>
  <c r="N40" i="1"/>
  <c r="M40" i="1"/>
  <c r="L40" i="1"/>
  <c r="N39" i="1"/>
  <c r="M39" i="1"/>
  <c r="L39" i="1"/>
  <c r="N56" i="1"/>
  <c r="M56" i="1"/>
  <c r="L56" i="1"/>
  <c r="N55" i="1"/>
  <c r="M55" i="1"/>
  <c r="L55" i="1"/>
  <c r="N76" i="1"/>
  <c r="M76" i="1"/>
  <c r="L76" i="1"/>
  <c r="N18" i="1"/>
  <c r="M18" i="1"/>
  <c r="L18" i="1"/>
  <c r="N174" i="1"/>
  <c r="M174" i="1"/>
  <c r="L174" i="1"/>
  <c r="N173" i="1"/>
  <c r="M173" i="1"/>
  <c r="L173" i="1"/>
  <c r="N92" i="1"/>
  <c r="M92" i="1"/>
  <c r="L92" i="1"/>
  <c r="N75" i="1"/>
  <c r="M75" i="1"/>
  <c r="L75" i="1"/>
  <c r="N156" i="1"/>
  <c r="M156" i="1"/>
  <c r="L156" i="1"/>
  <c r="N38" i="1"/>
  <c r="M38" i="1"/>
  <c r="L38" i="1"/>
  <c r="N133" i="1"/>
  <c r="M133" i="1"/>
  <c r="L133" i="1"/>
  <c r="N155" i="1"/>
  <c r="M155" i="1"/>
  <c r="L155" i="1"/>
  <c r="N154" i="1"/>
  <c r="M154" i="1"/>
  <c r="L154" i="1"/>
  <c r="N153" i="1"/>
  <c r="M153" i="1"/>
  <c r="L153" i="1"/>
  <c r="N17" i="1"/>
  <c r="M17" i="1"/>
  <c r="L17" i="1"/>
  <c r="N114" i="1"/>
  <c r="M114" i="1"/>
  <c r="L114" i="1"/>
  <c r="N16" i="1"/>
  <c r="M16" i="1"/>
  <c r="L16" i="1"/>
  <c r="N132" i="1"/>
  <c r="M132" i="1"/>
  <c r="L132" i="1"/>
  <c r="N113" i="1"/>
  <c r="M113" i="1"/>
  <c r="L113" i="1"/>
  <c r="N15" i="1"/>
  <c r="M15" i="1"/>
  <c r="L15" i="1"/>
  <c r="N14" i="1"/>
  <c r="M14" i="1"/>
  <c r="L14" i="1"/>
  <c r="N172" i="1"/>
  <c r="M172" i="1"/>
  <c r="L172" i="1"/>
  <c r="N171" i="1"/>
  <c r="M171" i="1"/>
  <c r="L171" i="1"/>
  <c r="N112" i="1"/>
  <c r="M112" i="1"/>
  <c r="L112" i="1"/>
  <c r="N152" i="1"/>
  <c r="M152" i="1"/>
  <c r="L152" i="1"/>
  <c r="N189" i="1"/>
  <c r="M189" i="1"/>
  <c r="L189" i="1"/>
  <c r="N91" i="1"/>
  <c r="M91" i="1"/>
  <c r="L91" i="1"/>
  <c r="N37" i="1"/>
  <c r="M37" i="1"/>
  <c r="L37" i="1"/>
  <c r="N36" i="1"/>
  <c r="M36" i="1"/>
  <c r="L36" i="1"/>
  <c r="N151" i="1"/>
  <c r="M151" i="1"/>
  <c r="L151" i="1"/>
  <c r="N131" i="1"/>
  <c r="M131" i="1"/>
  <c r="L131" i="1"/>
  <c r="N90" i="1"/>
  <c r="M90" i="1"/>
  <c r="L90" i="1"/>
  <c r="N54" i="1"/>
  <c r="M54" i="1"/>
  <c r="L54" i="1"/>
  <c r="N188" i="1"/>
  <c r="M188" i="1"/>
  <c r="L188" i="1"/>
  <c r="N74" i="1"/>
  <c r="M74" i="1"/>
  <c r="L74" i="1"/>
  <c r="N187" i="1"/>
  <c r="M187" i="1"/>
  <c r="L187" i="1"/>
  <c r="N89" i="1"/>
  <c r="M89" i="1"/>
  <c r="L89" i="1"/>
  <c r="N13" i="1"/>
  <c r="M13" i="1"/>
  <c r="L13" i="1"/>
  <c r="N170" i="1"/>
  <c r="M170" i="1"/>
  <c r="L170" i="1"/>
  <c r="N53" i="1"/>
  <c r="M53" i="1"/>
  <c r="L53" i="1"/>
  <c r="N52" i="1"/>
  <c r="M52" i="1"/>
  <c r="L52" i="1"/>
  <c r="N111" i="1"/>
  <c r="M111" i="1"/>
  <c r="L111" i="1"/>
  <c r="N51" i="1"/>
  <c r="M51" i="1"/>
  <c r="L51" i="1"/>
  <c r="N12" i="1"/>
  <c r="M12" i="1"/>
  <c r="L12" i="1"/>
  <c r="N169" i="1"/>
  <c r="M169" i="1"/>
  <c r="L169" i="1"/>
  <c r="N11" i="1"/>
  <c r="M11" i="1"/>
  <c r="L11" i="1"/>
  <c r="N168" i="1"/>
  <c r="M168" i="1"/>
  <c r="L168" i="1"/>
  <c r="N110" i="1"/>
  <c r="M110" i="1"/>
  <c r="L110" i="1"/>
  <c r="N167" i="1"/>
  <c r="M167" i="1"/>
  <c r="L167" i="1"/>
  <c r="N88" i="1"/>
  <c r="M88" i="1"/>
  <c r="L88" i="1"/>
  <c r="N166" i="1"/>
  <c r="M166" i="1"/>
  <c r="L166" i="1"/>
  <c r="N150" i="1"/>
  <c r="M150" i="1"/>
  <c r="L150" i="1"/>
  <c r="N149" i="1"/>
  <c r="M149" i="1"/>
  <c r="L149" i="1"/>
  <c r="N165" i="1"/>
  <c r="M165" i="1"/>
  <c r="L165" i="1"/>
  <c r="N73" i="1"/>
  <c r="M73" i="1"/>
  <c r="L73" i="1"/>
  <c r="N109" i="1"/>
  <c r="M109" i="1"/>
  <c r="L109" i="1"/>
  <c r="N10" i="1"/>
  <c r="M10" i="1"/>
  <c r="L10" i="1"/>
  <c r="N148" i="1"/>
  <c r="M148" i="1"/>
  <c r="L148" i="1"/>
  <c r="N147" i="1"/>
  <c r="M147" i="1"/>
  <c r="L147" i="1"/>
  <c r="N87" i="1"/>
  <c r="M87" i="1"/>
  <c r="L87" i="1"/>
  <c r="N146" i="1"/>
  <c r="M146" i="1"/>
  <c r="L146" i="1"/>
  <c r="N9" i="1"/>
  <c r="M9" i="1"/>
  <c r="L9" i="1"/>
  <c r="N86" i="1"/>
  <c r="M86" i="1"/>
  <c r="L86" i="1"/>
  <c r="N8" i="1"/>
  <c r="M8" i="1"/>
  <c r="L8" i="1"/>
  <c r="N85" i="1"/>
  <c r="M85" i="1"/>
  <c r="L85" i="1"/>
  <c r="N84" i="1"/>
  <c r="M84" i="1"/>
  <c r="L84" i="1"/>
  <c r="N186" i="1"/>
  <c r="M186" i="1"/>
  <c r="L186" i="1"/>
  <c r="N83" i="1"/>
  <c r="M83" i="1"/>
  <c r="L83" i="1"/>
  <c r="N50" i="1"/>
  <c r="M50" i="1"/>
  <c r="L50" i="1"/>
  <c r="N185" i="1"/>
  <c r="M185" i="1"/>
  <c r="L185" i="1"/>
  <c r="N49" i="1"/>
  <c r="M49" i="1"/>
  <c r="L49" i="1"/>
  <c r="N35" i="1"/>
  <c r="M35" i="1"/>
  <c r="L35" i="1"/>
  <c r="N72" i="1"/>
  <c r="M72" i="1"/>
  <c r="L72" i="1"/>
  <c r="N71" i="1"/>
  <c r="M71" i="1"/>
  <c r="L71" i="1"/>
  <c r="N48" i="1"/>
  <c r="M48" i="1"/>
  <c r="L48" i="1"/>
  <c r="N164" i="1"/>
  <c r="M164" i="1"/>
  <c r="L164" i="1"/>
  <c r="N145" i="1"/>
  <c r="M145" i="1"/>
  <c r="L145" i="1"/>
  <c r="N70" i="1"/>
  <c r="M70" i="1"/>
  <c r="L70" i="1"/>
  <c r="N184" i="1"/>
  <c r="M184" i="1"/>
  <c r="L184" i="1"/>
  <c r="N183" i="1"/>
  <c r="M183" i="1"/>
  <c r="L183" i="1"/>
  <c r="N34" i="1"/>
  <c r="M34" i="1"/>
  <c r="L34" i="1"/>
  <c r="N33" i="1"/>
  <c r="M33" i="1"/>
  <c r="L33" i="1"/>
  <c r="N82" i="1"/>
  <c r="M82" i="1"/>
  <c r="L82" i="1"/>
  <c r="N69" i="1"/>
  <c r="M69" i="1"/>
  <c r="L69" i="1"/>
  <c r="N68" i="1"/>
  <c r="M68" i="1"/>
  <c r="L68" i="1"/>
  <c r="N67" i="1"/>
  <c r="M67" i="1"/>
  <c r="L67" i="1"/>
  <c r="N108" i="1"/>
  <c r="M108" i="1"/>
  <c r="L108" i="1"/>
  <c r="N182" i="1"/>
  <c r="M182" i="1"/>
  <c r="L182" i="1"/>
  <c r="N7" i="1"/>
  <c r="M7" i="1"/>
  <c r="L7" i="1"/>
  <c r="N32" i="1"/>
  <c r="M32" i="1"/>
  <c r="L32" i="1"/>
  <c r="N31" i="1"/>
  <c r="M31" i="1"/>
  <c r="L31" i="1"/>
  <c r="N81" i="1"/>
  <c r="M81" i="1"/>
  <c r="L81" i="1"/>
  <c r="N47" i="1"/>
  <c r="M47" i="1"/>
  <c r="L47" i="1"/>
  <c r="N130" i="1"/>
  <c r="M130" i="1"/>
  <c r="L130" i="1"/>
  <c r="N46" i="1"/>
  <c r="M46" i="1"/>
  <c r="L46" i="1"/>
  <c r="N30" i="1"/>
  <c r="M30" i="1"/>
  <c r="L30" i="1"/>
  <c r="N129" i="1"/>
  <c r="M129" i="1"/>
  <c r="L129" i="1"/>
  <c r="N163" i="1"/>
  <c r="M163" i="1"/>
  <c r="L163" i="1"/>
  <c r="N144" i="1"/>
  <c r="M144" i="1"/>
  <c r="L144" i="1"/>
  <c r="N6" i="1"/>
  <c r="M6" i="1"/>
  <c r="L6" i="1"/>
  <c r="N29" i="1"/>
  <c r="M29" i="1"/>
  <c r="L29" i="1"/>
  <c r="N128" i="1"/>
  <c r="M128" i="1"/>
  <c r="L128" i="1"/>
  <c r="N127" i="1"/>
  <c r="M127" i="1"/>
  <c r="L127" i="1"/>
  <c r="N28" i="1"/>
  <c r="M28" i="1"/>
  <c r="L28" i="1"/>
  <c r="N162" i="1"/>
  <c r="M162" i="1"/>
  <c r="L162" i="1"/>
  <c r="N181" i="1"/>
  <c r="M181" i="1"/>
  <c r="L181" i="1"/>
  <c r="N126" i="1"/>
  <c r="M126" i="1"/>
  <c r="L126" i="1"/>
  <c r="N80" i="1"/>
  <c r="M80" i="1"/>
  <c r="L80" i="1"/>
  <c r="N125" i="1"/>
  <c r="M125" i="1"/>
  <c r="L125" i="1"/>
  <c r="N27" i="1"/>
  <c r="M27" i="1"/>
  <c r="L27" i="1"/>
  <c r="N107" i="1"/>
  <c r="M107" i="1"/>
  <c r="L107" i="1"/>
  <c r="N143" i="1"/>
  <c r="M143" i="1"/>
  <c r="L143" i="1"/>
  <c r="N106" i="1"/>
  <c r="M106" i="1"/>
  <c r="L106" i="1"/>
  <c r="N5" i="1"/>
  <c r="M5" i="1"/>
  <c r="L5" i="1"/>
  <c r="N142" i="1"/>
  <c r="M142" i="1"/>
  <c r="L142" i="1"/>
  <c r="N180" i="1"/>
  <c r="M180" i="1"/>
  <c r="L180" i="1"/>
  <c r="N124" i="1"/>
  <c r="M124" i="1"/>
  <c r="L124" i="1"/>
  <c r="N161" i="1"/>
  <c r="M161" i="1"/>
  <c r="L161" i="1"/>
  <c r="N79" i="1"/>
  <c r="M79" i="1"/>
  <c r="L79" i="1"/>
  <c r="N105" i="1"/>
  <c r="M105" i="1"/>
  <c r="L105" i="1"/>
  <c r="N104" i="1"/>
  <c r="M104" i="1"/>
  <c r="L104" i="1"/>
  <c r="N141" i="1"/>
  <c r="M141" i="1"/>
  <c r="L141" i="1"/>
  <c r="N140" i="1"/>
  <c r="M140" i="1"/>
  <c r="L140" i="1"/>
  <c r="N103" i="1"/>
  <c r="M103" i="1"/>
  <c r="L103" i="1"/>
  <c r="N123" i="1"/>
  <c r="M123" i="1"/>
  <c r="L123" i="1"/>
  <c r="N102" i="1"/>
  <c r="M102" i="1"/>
  <c r="L102" i="1"/>
  <c r="N66" i="1"/>
  <c r="M66" i="1"/>
  <c r="L66" i="1"/>
  <c r="N26" i="1"/>
  <c r="M26" i="1"/>
  <c r="L26" i="1"/>
  <c r="N179" i="1"/>
  <c r="M179" i="1"/>
  <c r="L179" i="1"/>
  <c r="N122" i="1"/>
  <c r="M122" i="1"/>
  <c r="L122" i="1"/>
  <c r="N139" i="1"/>
  <c r="M139" i="1"/>
  <c r="L139" i="1"/>
  <c r="N25" i="1"/>
  <c r="M25" i="1"/>
  <c r="L25" i="1"/>
  <c r="N45" i="1"/>
  <c r="M45" i="1"/>
  <c r="L45" i="1"/>
  <c r="N101" i="1"/>
  <c r="M101" i="1"/>
  <c r="L101" i="1"/>
  <c r="N65" i="1"/>
  <c r="M65" i="1"/>
  <c r="L65" i="1"/>
  <c r="N24" i="1"/>
  <c r="M24" i="1"/>
  <c r="L24" i="1"/>
  <c r="N4" i="1"/>
  <c r="M4" i="1"/>
  <c r="L4" i="1"/>
  <c r="N178" i="1"/>
  <c r="M178" i="1"/>
  <c r="L178" i="1"/>
  <c r="N160" i="1"/>
  <c r="M160" i="1"/>
  <c r="L160" i="1"/>
  <c r="N44" i="1"/>
  <c r="M44" i="1"/>
  <c r="L44" i="1"/>
  <c r="N64" i="1"/>
  <c r="M64" i="1"/>
  <c r="L64" i="1"/>
  <c r="N78" i="1"/>
  <c r="M78" i="1"/>
  <c r="L78" i="1"/>
  <c r="N63" i="1"/>
  <c r="M63" i="1"/>
  <c r="L63" i="1"/>
  <c r="N138" i="1"/>
  <c r="M138" i="1"/>
  <c r="L138" i="1"/>
  <c r="N3" i="1"/>
  <c r="M3" i="1"/>
  <c r="L3" i="1"/>
  <c r="N100" i="1"/>
  <c r="M100" i="1"/>
  <c r="L100" i="1"/>
  <c r="N121" i="1"/>
  <c r="M121" i="1"/>
  <c r="L121" i="1"/>
  <c r="N23" i="1"/>
  <c r="M23" i="1"/>
  <c r="L23" i="1"/>
  <c r="N177" i="1"/>
  <c r="M177" i="1"/>
  <c r="L177" i="1"/>
  <c r="N120" i="1"/>
  <c r="M120" i="1"/>
  <c r="L120" i="1"/>
  <c r="N43" i="1"/>
  <c r="M43" i="1"/>
  <c r="L43" i="1"/>
  <c r="N119" i="1"/>
  <c r="M119" i="1"/>
  <c r="L119" i="1"/>
  <c r="N118" i="1"/>
  <c r="M118" i="1"/>
  <c r="L118" i="1"/>
  <c r="N99" i="1"/>
  <c r="M99" i="1"/>
  <c r="L99" i="1"/>
  <c r="N176" i="1"/>
  <c r="M176" i="1"/>
  <c r="L176" i="1"/>
  <c r="N159" i="1"/>
  <c r="M159" i="1"/>
  <c r="L159" i="1"/>
  <c r="N22" i="1"/>
  <c r="M22" i="1"/>
  <c r="L22" i="1"/>
  <c r="N62" i="1"/>
  <c r="M62" i="1"/>
  <c r="L62" i="1"/>
  <c r="N42" i="1"/>
  <c r="M42" i="1"/>
  <c r="L42" i="1"/>
  <c r="N137" i="1"/>
  <c r="M137" i="1"/>
  <c r="L137" i="1"/>
  <c r="N61" i="1"/>
  <c r="M61" i="1"/>
  <c r="L61" i="1"/>
  <c r="N21" i="1"/>
  <c r="M21" i="1"/>
  <c r="L21" i="1"/>
  <c r="N117" i="1"/>
  <c r="M117" i="1"/>
  <c r="L117" i="1"/>
  <c r="N136" i="1"/>
  <c r="M136" i="1"/>
  <c r="L136" i="1"/>
  <c r="N60" i="1"/>
  <c r="M60" i="1"/>
  <c r="L60" i="1"/>
  <c r="N98" i="1"/>
  <c r="M98" i="1"/>
  <c r="L98" i="1"/>
  <c r="N41" i="1"/>
  <c r="M41" i="1"/>
  <c r="L41" i="1"/>
  <c r="N2" i="1"/>
  <c r="M2" i="1"/>
  <c r="L2" i="1"/>
  <c r="N59" i="1"/>
  <c r="M59" i="1"/>
  <c r="L59" i="1"/>
  <c r="N97" i="1"/>
  <c r="M97" i="1"/>
  <c r="L97" i="1"/>
  <c r="AC158" i="1"/>
  <c r="AB158" i="1"/>
  <c r="AA158" i="1"/>
  <c r="X158" i="1"/>
  <c r="W158" i="1"/>
  <c r="V158" i="1"/>
  <c r="S158" i="1"/>
  <c r="R158" i="1"/>
  <c r="Q158" i="1"/>
  <c r="N158" i="1"/>
  <c r="M158" i="1"/>
  <c r="L158" i="1"/>
  <c r="AS96" i="1"/>
  <c r="AS20" i="1"/>
  <c r="AS175" i="1"/>
  <c r="AS58" i="1"/>
  <c r="AS194" i="1"/>
  <c r="AS57" i="1"/>
  <c r="AS157" i="1"/>
  <c r="AS116" i="1"/>
  <c r="AS95" i="1"/>
  <c r="AS135" i="1"/>
  <c r="AS193" i="1"/>
  <c r="AS115" i="1"/>
  <c r="AS77" i="1"/>
  <c r="AS134" i="1"/>
  <c r="AS19" i="1"/>
  <c r="AS94" i="1"/>
  <c r="AS192" i="1"/>
  <c r="AS191" i="1"/>
  <c r="AS190" i="1"/>
  <c r="AS93" i="1"/>
  <c r="AS40" i="1"/>
  <c r="AS39" i="1"/>
  <c r="AS56" i="1"/>
  <c r="AS55" i="1"/>
  <c r="AS76" i="1"/>
  <c r="AS18" i="1"/>
  <c r="AS174" i="1"/>
  <c r="AS173" i="1"/>
  <c r="AS92" i="1"/>
  <c r="AS75" i="1"/>
  <c r="AS156" i="1"/>
  <c r="AS38" i="1"/>
  <c r="AS133" i="1"/>
  <c r="AS155" i="1"/>
  <c r="AS154" i="1"/>
  <c r="AS153" i="1"/>
  <c r="AS17" i="1"/>
  <c r="AS114" i="1"/>
  <c r="AS16" i="1"/>
  <c r="AS132" i="1"/>
  <c r="AS113" i="1"/>
  <c r="AS15" i="1"/>
  <c r="AS14" i="1"/>
  <c r="AS172" i="1"/>
  <c r="AS171" i="1"/>
  <c r="AS112" i="1"/>
  <c r="AS152" i="1"/>
  <c r="AS189" i="1"/>
  <c r="AS91" i="1"/>
  <c r="AS37" i="1"/>
  <c r="AS36" i="1"/>
  <c r="AS151" i="1"/>
  <c r="AS131" i="1"/>
  <c r="AS90" i="1"/>
  <c r="AS54" i="1"/>
  <c r="AS188" i="1"/>
  <c r="AS74" i="1"/>
  <c r="AS187" i="1"/>
  <c r="AS89" i="1"/>
  <c r="AS13" i="1"/>
  <c r="AS170" i="1"/>
  <c r="AS53" i="1"/>
  <c r="AS52" i="1"/>
  <c r="AS111" i="1"/>
  <c r="AS51" i="1"/>
  <c r="AS12" i="1"/>
  <c r="AS169" i="1"/>
  <c r="AS11" i="1"/>
  <c r="AS168" i="1"/>
  <c r="AS110" i="1"/>
  <c r="AS167" i="1"/>
  <c r="AS88" i="1"/>
  <c r="AS166" i="1"/>
  <c r="AS150" i="1"/>
  <c r="AS149" i="1"/>
  <c r="AS165" i="1"/>
  <c r="AS73" i="1"/>
  <c r="AS109" i="1"/>
  <c r="AS10" i="1"/>
  <c r="AS148" i="1"/>
  <c r="AS147" i="1"/>
  <c r="AS87" i="1"/>
  <c r="AS146" i="1"/>
  <c r="AS9" i="1"/>
  <c r="AS86" i="1"/>
  <c r="AS8" i="1"/>
  <c r="AS85" i="1"/>
  <c r="AS84" i="1"/>
  <c r="AS186" i="1"/>
  <c r="AS83" i="1"/>
  <c r="AS50" i="1"/>
  <c r="AS185" i="1"/>
  <c r="AS49" i="1"/>
  <c r="AS35" i="1"/>
  <c r="AS72" i="1"/>
  <c r="AS71" i="1"/>
  <c r="AS48" i="1"/>
  <c r="AS164" i="1"/>
  <c r="AS145" i="1"/>
  <c r="AS70" i="1"/>
  <c r="AS184" i="1"/>
  <c r="AS183" i="1"/>
  <c r="AS34" i="1"/>
  <c r="AS33" i="1"/>
  <c r="AS82" i="1"/>
  <c r="AS69" i="1"/>
  <c r="AS68" i="1"/>
  <c r="AS67" i="1"/>
  <c r="AS108" i="1"/>
  <c r="AS182" i="1"/>
  <c r="AS7" i="1"/>
  <c r="AS32" i="1"/>
  <c r="AS31" i="1"/>
  <c r="AS81" i="1"/>
  <c r="AS47" i="1"/>
  <c r="AS130" i="1"/>
  <c r="AS46" i="1"/>
  <c r="AS30" i="1"/>
  <c r="AS129" i="1"/>
  <c r="AS163" i="1"/>
  <c r="AS144" i="1"/>
  <c r="AS6" i="1"/>
  <c r="AS29" i="1"/>
  <c r="AS128" i="1"/>
  <c r="AS127" i="1"/>
  <c r="AS28" i="1"/>
  <c r="AS162" i="1"/>
  <c r="AS181" i="1"/>
  <c r="AS126" i="1"/>
  <c r="AS80" i="1"/>
  <c r="AS125" i="1"/>
  <c r="AS27" i="1"/>
  <c r="AS107" i="1"/>
  <c r="AS143" i="1"/>
  <c r="AS106" i="1"/>
  <c r="AS5" i="1"/>
  <c r="AS142" i="1"/>
  <c r="AS180" i="1"/>
  <c r="AS124" i="1"/>
  <c r="AS161" i="1"/>
  <c r="AS79" i="1"/>
  <c r="AS105" i="1"/>
  <c r="AS104" i="1"/>
  <c r="AS141" i="1"/>
  <c r="AS140" i="1"/>
  <c r="AS103" i="1"/>
  <c r="AS123" i="1"/>
  <c r="AS102" i="1"/>
  <c r="AS66" i="1"/>
  <c r="AS26" i="1"/>
  <c r="AS179" i="1"/>
  <c r="AS122" i="1"/>
  <c r="AS139" i="1"/>
  <c r="AS25" i="1"/>
  <c r="AS45" i="1"/>
  <c r="AS101" i="1"/>
  <c r="AS65" i="1"/>
  <c r="AS24" i="1"/>
  <c r="AS4" i="1"/>
  <c r="AS178" i="1"/>
  <c r="AS160" i="1"/>
  <c r="AS44" i="1"/>
  <c r="AS64" i="1"/>
  <c r="AS78" i="1"/>
  <c r="AS63" i="1"/>
  <c r="AS138" i="1"/>
  <c r="AS3" i="1"/>
  <c r="AS100" i="1"/>
  <c r="AS121" i="1"/>
  <c r="AS23" i="1"/>
  <c r="AS177" i="1"/>
  <c r="AS120" i="1"/>
  <c r="AS43" i="1"/>
  <c r="AS119" i="1"/>
  <c r="AS118" i="1"/>
  <c r="AS99" i="1"/>
  <c r="AS176" i="1"/>
  <c r="AS159" i="1"/>
  <c r="AS22" i="1"/>
  <c r="AS62" i="1"/>
  <c r="AS42" i="1"/>
  <c r="AS137" i="1"/>
  <c r="AS61" i="1"/>
  <c r="AS21" i="1"/>
  <c r="AS117" i="1"/>
  <c r="AS136" i="1"/>
  <c r="AS60" i="1"/>
  <c r="AS98" i="1"/>
  <c r="AS41" i="1"/>
  <c r="AS2" i="1"/>
  <c r="AS59" i="1"/>
  <c r="AS97" i="1"/>
  <c r="AS158" i="1"/>
  <c r="AQ96" i="1"/>
  <c r="AQ20" i="1"/>
  <c r="AQ175" i="1"/>
  <c r="AQ58" i="1"/>
  <c r="AQ194" i="1"/>
  <c r="AQ57" i="1"/>
  <c r="AQ157" i="1"/>
  <c r="AQ116" i="1"/>
  <c r="AQ95" i="1"/>
  <c r="AQ135" i="1"/>
  <c r="AQ193" i="1"/>
  <c r="AQ115" i="1"/>
  <c r="AQ77" i="1"/>
  <c r="AQ134" i="1"/>
  <c r="AQ19" i="1"/>
  <c r="AQ94" i="1"/>
  <c r="AQ192" i="1"/>
  <c r="AQ191" i="1"/>
  <c r="AQ190" i="1"/>
  <c r="AQ93" i="1"/>
  <c r="AQ40" i="1"/>
  <c r="AQ39" i="1"/>
  <c r="AQ56" i="1"/>
  <c r="AQ55" i="1"/>
  <c r="AQ76" i="1"/>
  <c r="AQ18" i="1"/>
  <c r="AQ174" i="1"/>
  <c r="AQ173" i="1"/>
  <c r="AQ92" i="1"/>
  <c r="AQ75" i="1"/>
  <c r="AQ156" i="1"/>
  <c r="AQ38" i="1"/>
  <c r="AQ133" i="1"/>
  <c r="AQ155" i="1"/>
  <c r="AQ154" i="1"/>
  <c r="AQ153" i="1"/>
  <c r="AQ17" i="1"/>
  <c r="AQ114" i="1"/>
  <c r="AQ16" i="1"/>
  <c r="AQ132" i="1"/>
  <c r="AQ113" i="1"/>
  <c r="AQ15" i="1"/>
  <c r="AQ14" i="1"/>
  <c r="AQ172" i="1"/>
  <c r="AQ171" i="1"/>
  <c r="AQ112" i="1"/>
  <c r="AQ152" i="1"/>
  <c r="AQ189" i="1"/>
  <c r="AQ91" i="1"/>
  <c r="AQ37" i="1"/>
  <c r="AQ36" i="1"/>
  <c r="AQ151" i="1"/>
  <c r="AQ131" i="1"/>
  <c r="AQ90" i="1"/>
  <c r="AQ54" i="1"/>
  <c r="AQ188" i="1"/>
  <c r="AQ74" i="1"/>
  <c r="AQ187" i="1"/>
  <c r="AQ89" i="1"/>
  <c r="AQ13" i="1"/>
  <c r="AQ170" i="1"/>
  <c r="AQ53" i="1"/>
  <c r="AQ52" i="1"/>
  <c r="AQ111" i="1"/>
  <c r="AQ51" i="1"/>
  <c r="AQ12" i="1"/>
  <c r="AQ169" i="1"/>
  <c r="AQ11" i="1"/>
  <c r="AQ168" i="1"/>
  <c r="AQ110" i="1"/>
  <c r="AQ167" i="1"/>
  <c r="AQ88" i="1"/>
  <c r="AQ166" i="1"/>
  <c r="AQ150" i="1"/>
  <c r="AQ149" i="1"/>
  <c r="AQ165" i="1"/>
  <c r="AQ73" i="1"/>
  <c r="AQ109" i="1"/>
  <c r="AQ10" i="1"/>
  <c r="AQ148" i="1"/>
  <c r="AQ147" i="1"/>
  <c r="AQ87" i="1"/>
  <c r="AQ146" i="1"/>
  <c r="AQ9" i="1"/>
  <c r="AQ86" i="1"/>
  <c r="AQ8" i="1"/>
  <c r="AQ85" i="1"/>
  <c r="AQ84" i="1"/>
  <c r="AQ186" i="1"/>
  <c r="AQ83" i="1"/>
  <c r="AQ50" i="1"/>
  <c r="AQ185" i="1"/>
  <c r="AQ49" i="1"/>
  <c r="AQ35" i="1"/>
  <c r="AQ72" i="1"/>
  <c r="AQ71" i="1"/>
  <c r="AQ48" i="1"/>
  <c r="AQ164" i="1"/>
  <c r="AQ145" i="1"/>
  <c r="AQ70" i="1"/>
  <c r="AQ184" i="1"/>
  <c r="AQ183" i="1"/>
  <c r="AQ34" i="1"/>
  <c r="AQ33" i="1"/>
  <c r="AQ82" i="1"/>
  <c r="AQ69" i="1"/>
  <c r="AQ68" i="1"/>
  <c r="AQ67" i="1"/>
  <c r="AQ108" i="1"/>
  <c r="AQ182" i="1"/>
  <c r="AQ7" i="1"/>
  <c r="AQ32" i="1"/>
  <c r="AQ31" i="1"/>
  <c r="AQ81" i="1"/>
  <c r="AQ47" i="1"/>
  <c r="AQ130" i="1"/>
  <c r="AQ46" i="1"/>
  <c r="AQ30" i="1"/>
  <c r="AQ129" i="1"/>
  <c r="AQ163" i="1"/>
  <c r="AQ144" i="1"/>
  <c r="AQ6" i="1"/>
  <c r="AQ29" i="1"/>
  <c r="AQ128" i="1"/>
  <c r="AQ127" i="1"/>
  <c r="AQ28" i="1"/>
  <c r="AQ162" i="1"/>
  <c r="AQ181" i="1"/>
  <c r="AQ126" i="1"/>
  <c r="AQ80" i="1"/>
  <c r="AQ125" i="1"/>
  <c r="AQ27" i="1"/>
  <c r="AQ107" i="1"/>
  <c r="AQ143" i="1"/>
  <c r="AQ106" i="1"/>
  <c r="AQ5" i="1"/>
  <c r="AQ142" i="1"/>
  <c r="AQ180" i="1"/>
  <c r="AQ124" i="1"/>
  <c r="AQ161" i="1"/>
  <c r="AQ79" i="1"/>
  <c r="AQ105" i="1"/>
  <c r="AQ104" i="1"/>
  <c r="AQ141" i="1"/>
  <c r="AQ140" i="1"/>
  <c r="AQ103" i="1"/>
  <c r="AQ123" i="1"/>
  <c r="AQ102" i="1"/>
  <c r="AQ66" i="1"/>
  <c r="AQ26" i="1"/>
  <c r="AQ179" i="1"/>
  <c r="AQ122" i="1"/>
  <c r="AQ139" i="1"/>
  <c r="AQ25" i="1"/>
  <c r="AQ45" i="1"/>
  <c r="AQ101" i="1"/>
  <c r="AQ65" i="1"/>
  <c r="AQ24" i="1"/>
  <c r="AQ4" i="1"/>
  <c r="AQ178" i="1"/>
  <c r="AQ160" i="1"/>
  <c r="AQ44" i="1"/>
  <c r="AQ64" i="1"/>
  <c r="AQ78" i="1"/>
  <c r="AQ63" i="1"/>
  <c r="AQ138" i="1"/>
  <c r="AQ3" i="1"/>
  <c r="AQ100" i="1"/>
  <c r="AQ121" i="1"/>
  <c r="AQ23" i="1"/>
  <c r="AQ177" i="1"/>
  <c r="AQ120" i="1"/>
  <c r="AQ43" i="1"/>
  <c r="AQ119" i="1"/>
  <c r="AQ118" i="1"/>
  <c r="AQ99" i="1"/>
  <c r="AQ176" i="1"/>
  <c r="AQ159" i="1"/>
  <c r="AQ22" i="1"/>
  <c r="AQ62" i="1"/>
  <c r="AQ42" i="1"/>
  <c r="AQ137" i="1"/>
  <c r="AQ61" i="1"/>
  <c r="AQ21" i="1"/>
  <c r="AQ117" i="1"/>
  <c r="AQ136" i="1"/>
  <c r="AQ60" i="1"/>
  <c r="AQ98" i="1"/>
  <c r="AQ41" i="1"/>
  <c r="AQ2" i="1"/>
  <c r="AQ59" i="1"/>
  <c r="AQ97" i="1"/>
  <c r="AQ158" i="1"/>
  <c r="AO96" i="1"/>
  <c r="AO20" i="1"/>
  <c r="AO175" i="1"/>
  <c r="AO58" i="1"/>
  <c r="AO194" i="1"/>
  <c r="AO57" i="1"/>
  <c r="AO157" i="1"/>
  <c r="AO116" i="1"/>
  <c r="AO95" i="1"/>
  <c r="AO135" i="1"/>
  <c r="AO193" i="1"/>
  <c r="AO115" i="1"/>
  <c r="AO77" i="1"/>
  <c r="AO134" i="1"/>
  <c r="AO19" i="1"/>
  <c r="AO94" i="1"/>
  <c r="AO192" i="1"/>
  <c r="AO191" i="1"/>
  <c r="AO190" i="1"/>
  <c r="AO93" i="1"/>
  <c r="AO40" i="1"/>
  <c r="AO39" i="1"/>
  <c r="AO56" i="1"/>
  <c r="AO55" i="1"/>
  <c r="AO76" i="1"/>
  <c r="AO18" i="1"/>
  <c r="AO174" i="1"/>
  <c r="AO173" i="1"/>
  <c r="AO92" i="1"/>
  <c r="AO75" i="1"/>
  <c r="AO156" i="1"/>
  <c r="AO38" i="1"/>
  <c r="AO133" i="1"/>
  <c r="AO155" i="1"/>
  <c r="AO154" i="1"/>
  <c r="AO153" i="1"/>
  <c r="AO17" i="1"/>
  <c r="AO114" i="1"/>
  <c r="AO16" i="1"/>
  <c r="AO132" i="1"/>
  <c r="AO113" i="1"/>
  <c r="AO15" i="1"/>
  <c r="AO14" i="1"/>
  <c r="AO172" i="1"/>
  <c r="AO171" i="1"/>
  <c r="AO112" i="1"/>
  <c r="AO152" i="1"/>
  <c r="AO189" i="1"/>
  <c r="AO91" i="1"/>
  <c r="AO37" i="1"/>
  <c r="AO36" i="1"/>
  <c r="AO151" i="1"/>
  <c r="AO131" i="1"/>
  <c r="AO90" i="1"/>
  <c r="AO54" i="1"/>
  <c r="AO188" i="1"/>
  <c r="AO74" i="1"/>
  <c r="AO187" i="1"/>
  <c r="AO89" i="1"/>
  <c r="AO13" i="1"/>
  <c r="AO170" i="1"/>
  <c r="AO53" i="1"/>
  <c r="AO52" i="1"/>
  <c r="AO111" i="1"/>
  <c r="AO51" i="1"/>
  <c r="AO12" i="1"/>
  <c r="AO169" i="1"/>
  <c r="AO11" i="1"/>
  <c r="AO168" i="1"/>
  <c r="AO110" i="1"/>
  <c r="AO167" i="1"/>
  <c r="AO88" i="1"/>
  <c r="AO166" i="1"/>
  <c r="AO150" i="1"/>
  <c r="AO149" i="1"/>
  <c r="AO165" i="1"/>
  <c r="AO73" i="1"/>
  <c r="AO109" i="1"/>
  <c r="AO10" i="1"/>
  <c r="AO148" i="1"/>
  <c r="AO147" i="1"/>
  <c r="AO87" i="1"/>
  <c r="AO146" i="1"/>
  <c r="AO9" i="1"/>
  <c r="AO86" i="1"/>
  <c r="AO8" i="1"/>
  <c r="AO85" i="1"/>
  <c r="AO84" i="1"/>
  <c r="AO186" i="1"/>
  <c r="AO83" i="1"/>
  <c r="AO50" i="1"/>
  <c r="AO185" i="1"/>
  <c r="AO49" i="1"/>
  <c r="AO35" i="1"/>
  <c r="AO72" i="1"/>
  <c r="AO71" i="1"/>
  <c r="AO48" i="1"/>
  <c r="AO164" i="1"/>
  <c r="AO145" i="1"/>
  <c r="AO70" i="1"/>
  <c r="AO184" i="1"/>
  <c r="AO183" i="1"/>
  <c r="AO34" i="1"/>
  <c r="AO33" i="1"/>
  <c r="AO82" i="1"/>
  <c r="AO69" i="1"/>
  <c r="AO68" i="1"/>
  <c r="AO67" i="1"/>
  <c r="AO108" i="1"/>
  <c r="AO182" i="1"/>
  <c r="AO7" i="1"/>
  <c r="AO32" i="1"/>
  <c r="AO31" i="1"/>
  <c r="AO81" i="1"/>
  <c r="AO47" i="1"/>
  <c r="AO130" i="1"/>
  <c r="AO46" i="1"/>
  <c r="AO30" i="1"/>
  <c r="AO129" i="1"/>
  <c r="AO163" i="1"/>
  <c r="AO144" i="1"/>
  <c r="AO6" i="1"/>
  <c r="AO29" i="1"/>
  <c r="AO128" i="1"/>
  <c r="AO127" i="1"/>
  <c r="AO28" i="1"/>
  <c r="AO162" i="1"/>
  <c r="AO181" i="1"/>
  <c r="AO126" i="1"/>
  <c r="AO80" i="1"/>
  <c r="AO125" i="1"/>
  <c r="AO27" i="1"/>
  <c r="AO107" i="1"/>
  <c r="AO143" i="1"/>
  <c r="AO106" i="1"/>
  <c r="AO5" i="1"/>
  <c r="AO142" i="1"/>
  <c r="AO180" i="1"/>
  <c r="AO124" i="1"/>
  <c r="AO161" i="1"/>
  <c r="AO79" i="1"/>
  <c r="AO105" i="1"/>
  <c r="AO104" i="1"/>
  <c r="AO141" i="1"/>
  <c r="AO140" i="1"/>
  <c r="AO103" i="1"/>
  <c r="AO123" i="1"/>
  <c r="AO102" i="1"/>
  <c r="AO66" i="1"/>
  <c r="AO26" i="1"/>
  <c r="AO179" i="1"/>
  <c r="AO122" i="1"/>
  <c r="AO139" i="1"/>
  <c r="AO25" i="1"/>
  <c r="AO45" i="1"/>
  <c r="AO101" i="1"/>
  <c r="AO65" i="1"/>
  <c r="AO24" i="1"/>
  <c r="AO4" i="1"/>
  <c r="AO178" i="1"/>
  <c r="AO160" i="1"/>
  <c r="AO44" i="1"/>
  <c r="AO64" i="1"/>
  <c r="AO78" i="1"/>
  <c r="AO63" i="1"/>
  <c r="AO138" i="1"/>
  <c r="AO3" i="1"/>
  <c r="AO100" i="1"/>
  <c r="AO121" i="1"/>
  <c r="AO23" i="1"/>
  <c r="AO177" i="1"/>
  <c r="AO120" i="1"/>
  <c r="AO43" i="1"/>
  <c r="AO119" i="1"/>
  <c r="AO118" i="1"/>
  <c r="AO99" i="1"/>
  <c r="AO176" i="1"/>
  <c r="AO159" i="1"/>
  <c r="AO22" i="1"/>
  <c r="AO62" i="1"/>
  <c r="AO42" i="1"/>
  <c r="AO137" i="1"/>
  <c r="AO61" i="1"/>
  <c r="AO21" i="1"/>
  <c r="AO117" i="1"/>
  <c r="AO136" i="1"/>
  <c r="AO60" i="1"/>
  <c r="AO98" i="1"/>
  <c r="AO41" i="1"/>
  <c r="AO2" i="1"/>
  <c r="AO59" i="1"/>
  <c r="AO97" i="1"/>
  <c r="AO158" i="1"/>
  <c r="AM96" i="1"/>
  <c r="AM20" i="1"/>
  <c r="AM175" i="1"/>
  <c r="AM58" i="1"/>
  <c r="AM194" i="1"/>
  <c r="AM57" i="1"/>
  <c r="AM157" i="1"/>
  <c r="AM116" i="1"/>
  <c r="AM95" i="1"/>
  <c r="AM135" i="1"/>
  <c r="AM193" i="1"/>
  <c r="AM115" i="1"/>
  <c r="AM77" i="1"/>
  <c r="AM134" i="1"/>
  <c r="AM19" i="1"/>
  <c r="AM94" i="1"/>
  <c r="AM192" i="1"/>
  <c r="AM191" i="1"/>
  <c r="AM190" i="1"/>
  <c r="AM93" i="1"/>
  <c r="AM40" i="1"/>
  <c r="AM39" i="1"/>
  <c r="AM56" i="1"/>
  <c r="AM55" i="1"/>
  <c r="AM76" i="1"/>
  <c r="AM18" i="1"/>
  <c r="AM174" i="1"/>
  <c r="AM173" i="1"/>
  <c r="AM92" i="1"/>
  <c r="AM75" i="1"/>
  <c r="AM156" i="1"/>
  <c r="AM38" i="1"/>
  <c r="AM133" i="1"/>
  <c r="AM155" i="1"/>
  <c r="AM154" i="1"/>
  <c r="AM153" i="1"/>
  <c r="AM17" i="1"/>
  <c r="AM114" i="1"/>
  <c r="AM16" i="1"/>
  <c r="AM132" i="1"/>
  <c r="AM113" i="1"/>
  <c r="AM15" i="1"/>
  <c r="AM14" i="1"/>
  <c r="AM172" i="1"/>
  <c r="AM171" i="1"/>
  <c r="AM112" i="1"/>
  <c r="AM152" i="1"/>
  <c r="AM189" i="1"/>
  <c r="AM91" i="1"/>
  <c r="AM37" i="1"/>
  <c r="AM36" i="1"/>
  <c r="AM151" i="1"/>
  <c r="AM131" i="1"/>
  <c r="AM90" i="1"/>
  <c r="AM54" i="1"/>
  <c r="AM188" i="1"/>
  <c r="AM74" i="1"/>
  <c r="AM187" i="1"/>
  <c r="AM89" i="1"/>
  <c r="AM13" i="1"/>
  <c r="AM170" i="1"/>
  <c r="AM53" i="1"/>
  <c r="AM52" i="1"/>
  <c r="AM111" i="1"/>
  <c r="AM51" i="1"/>
  <c r="AM12" i="1"/>
  <c r="AM169" i="1"/>
  <c r="AM11" i="1"/>
  <c r="AM168" i="1"/>
  <c r="AM110" i="1"/>
  <c r="AM167" i="1"/>
  <c r="AM88" i="1"/>
  <c r="AM166" i="1"/>
  <c r="AM150" i="1"/>
  <c r="AM149" i="1"/>
  <c r="AM165" i="1"/>
  <c r="AM73" i="1"/>
  <c r="AM109" i="1"/>
  <c r="AM10" i="1"/>
  <c r="AM148" i="1"/>
  <c r="AM147" i="1"/>
  <c r="AM87" i="1"/>
  <c r="AM146" i="1"/>
  <c r="AM9" i="1"/>
  <c r="AM86" i="1"/>
  <c r="AM8" i="1"/>
  <c r="AM85" i="1"/>
  <c r="AM84" i="1"/>
  <c r="AM186" i="1"/>
  <c r="AM83" i="1"/>
  <c r="AM50" i="1"/>
  <c r="AM185" i="1"/>
  <c r="AM49" i="1"/>
  <c r="AM35" i="1"/>
  <c r="AM72" i="1"/>
  <c r="AM71" i="1"/>
  <c r="AM48" i="1"/>
  <c r="AM164" i="1"/>
  <c r="AM145" i="1"/>
  <c r="AM70" i="1"/>
  <c r="AM184" i="1"/>
  <c r="AM183" i="1"/>
  <c r="AM34" i="1"/>
  <c r="AM33" i="1"/>
  <c r="AM82" i="1"/>
  <c r="AM69" i="1"/>
  <c r="AM68" i="1"/>
  <c r="AM67" i="1"/>
  <c r="AM108" i="1"/>
  <c r="AM182" i="1"/>
  <c r="AM7" i="1"/>
  <c r="AM32" i="1"/>
  <c r="AM31" i="1"/>
  <c r="AM81" i="1"/>
  <c r="AM47" i="1"/>
  <c r="AM130" i="1"/>
  <c r="AM46" i="1"/>
  <c r="AM30" i="1"/>
  <c r="AM129" i="1"/>
  <c r="AM163" i="1"/>
  <c r="AM144" i="1"/>
  <c r="AM6" i="1"/>
  <c r="AM29" i="1"/>
  <c r="AM128" i="1"/>
  <c r="AM127" i="1"/>
  <c r="AM28" i="1"/>
  <c r="AM162" i="1"/>
  <c r="AM181" i="1"/>
  <c r="AM126" i="1"/>
  <c r="AM80" i="1"/>
  <c r="AM125" i="1"/>
  <c r="AM27" i="1"/>
  <c r="AM107" i="1"/>
  <c r="AM143" i="1"/>
  <c r="AM106" i="1"/>
  <c r="AM5" i="1"/>
  <c r="AM142" i="1"/>
  <c r="AM180" i="1"/>
  <c r="AM124" i="1"/>
  <c r="AM161" i="1"/>
  <c r="AM79" i="1"/>
  <c r="AM105" i="1"/>
  <c r="AM104" i="1"/>
  <c r="AM141" i="1"/>
  <c r="AM140" i="1"/>
  <c r="AM103" i="1"/>
  <c r="AM123" i="1"/>
  <c r="AM102" i="1"/>
  <c r="AM66" i="1"/>
  <c r="AM26" i="1"/>
  <c r="AM179" i="1"/>
  <c r="AM122" i="1"/>
  <c r="AM139" i="1"/>
  <c r="AM25" i="1"/>
  <c r="AM45" i="1"/>
  <c r="AM101" i="1"/>
  <c r="AM65" i="1"/>
  <c r="AM24" i="1"/>
  <c r="AM4" i="1"/>
  <c r="AM178" i="1"/>
  <c r="AM160" i="1"/>
  <c r="AM44" i="1"/>
  <c r="AM64" i="1"/>
  <c r="AM78" i="1"/>
  <c r="AM63" i="1"/>
  <c r="AM138" i="1"/>
  <c r="AM3" i="1"/>
  <c r="AM100" i="1"/>
  <c r="AM121" i="1"/>
  <c r="AM23" i="1"/>
  <c r="AM177" i="1"/>
  <c r="AM120" i="1"/>
  <c r="AM43" i="1"/>
  <c r="AM119" i="1"/>
  <c r="AM118" i="1"/>
  <c r="AM99" i="1"/>
  <c r="AM176" i="1"/>
  <c r="AM159" i="1"/>
  <c r="AM22" i="1"/>
  <c r="AM62" i="1"/>
  <c r="AM42" i="1"/>
  <c r="AM137" i="1"/>
  <c r="AM61" i="1"/>
  <c r="AM21" i="1"/>
  <c r="AM117" i="1"/>
  <c r="AM136" i="1"/>
  <c r="AM60" i="1"/>
  <c r="AM98" i="1"/>
  <c r="AM41" i="1"/>
  <c r="AM2" i="1"/>
  <c r="AM59" i="1"/>
  <c r="AM97" i="1"/>
  <c r="AM158" i="1"/>
  <c r="AK96" i="1"/>
  <c r="AK20" i="1"/>
  <c r="AK175" i="1"/>
  <c r="AK58" i="1"/>
  <c r="AK194" i="1"/>
  <c r="AK57" i="1"/>
  <c r="AK157" i="1"/>
  <c r="AK116" i="1"/>
  <c r="AK95" i="1"/>
  <c r="AK135" i="1"/>
  <c r="AK193" i="1"/>
  <c r="AK115" i="1"/>
  <c r="AK77" i="1"/>
  <c r="AK134" i="1"/>
  <c r="AK19" i="1"/>
  <c r="AK94" i="1"/>
  <c r="AK192" i="1"/>
  <c r="AK191" i="1"/>
  <c r="AK190" i="1"/>
  <c r="AK93" i="1"/>
  <c r="AK40" i="1"/>
  <c r="AK39" i="1"/>
  <c r="AK56" i="1"/>
  <c r="AK55" i="1"/>
  <c r="AK76" i="1"/>
  <c r="AK18" i="1"/>
  <c r="AK174" i="1"/>
  <c r="AK173" i="1"/>
  <c r="AK92" i="1"/>
  <c r="AK75" i="1"/>
  <c r="AK156" i="1"/>
  <c r="AK38" i="1"/>
  <c r="AK133" i="1"/>
  <c r="AK155" i="1"/>
  <c r="AK154" i="1"/>
  <c r="AK153" i="1"/>
  <c r="AK17" i="1"/>
  <c r="AK114" i="1"/>
  <c r="AK16" i="1"/>
  <c r="AK132" i="1"/>
  <c r="AK113" i="1"/>
  <c r="AK15" i="1"/>
  <c r="AK14" i="1"/>
  <c r="AK172" i="1"/>
  <c r="AK171" i="1"/>
  <c r="AK112" i="1"/>
  <c r="AK152" i="1"/>
  <c r="AK189" i="1"/>
  <c r="AK91" i="1"/>
  <c r="AK37" i="1"/>
  <c r="AK36" i="1"/>
  <c r="AK151" i="1"/>
  <c r="AK131" i="1"/>
  <c r="AK90" i="1"/>
  <c r="AK54" i="1"/>
  <c r="AK188" i="1"/>
  <c r="AK74" i="1"/>
  <c r="AK187" i="1"/>
  <c r="AK89" i="1"/>
  <c r="AK13" i="1"/>
  <c r="AK170" i="1"/>
  <c r="AK53" i="1"/>
  <c r="AK52" i="1"/>
  <c r="AK111" i="1"/>
  <c r="AK51" i="1"/>
  <c r="AK12" i="1"/>
  <c r="AK169" i="1"/>
  <c r="AK11" i="1"/>
  <c r="AK168" i="1"/>
  <c r="AK110" i="1"/>
  <c r="AK167" i="1"/>
  <c r="AK88" i="1"/>
  <c r="AK166" i="1"/>
  <c r="AK150" i="1"/>
  <c r="AK149" i="1"/>
  <c r="AK165" i="1"/>
  <c r="AK73" i="1"/>
  <c r="AK109" i="1"/>
  <c r="AK10" i="1"/>
  <c r="AK148" i="1"/>
  <c r="AK147" i="1"/>
  <c r="AK87" i="1"/>
  <c r="AK146" i="1"/>
  <c r="AK9" i="1"/>
  <c r="AK86" i="1"/>
  <c r="AK8" i="1"/>
  <c r="AK85" i="1"/>
  <c r="AK84" i="1"/>
  <c r="AK186" i="1"/>
  <c r="AK83" i="1"/>
  <c r="AK50" i="1"/>
  <c r="AK185" i="1"/>
  <c r="AK49" i="1"/>
  <c r="AK35" i="1"/>
  <c r="AK72" i="1"/>
  <c r="AK71" i="1"/>
  <c r="AK48" i="1"/>
  <c r="AK164" i="1"/>
  <c r="AK145" i="1"/>
  <c r="AK70" i="1"/>
  <c r="AK184" i="1"/>
  <c r="AK183" i="1"/>
  <c r="AK34" i="1"/>
  <c r="AK33" i="1"/>
  <c r="AK82" i="1"/>
  <c r="AK69" i="1"/>
  <c r="AK68" i="1"/>
  <c r="AK67" i="1"/>
  <c r="AK108" i="1"/>
  <c r="AK182" i="1"/>
  <c r="AK7" i="1"/>
  <c r="AK32" i="1"/>
  <c r="AK31" i="1"/>
  <c r="AK81" i="1"/>
  <c r="AK47" i="1"/>
  <c r="AK130" i="1"/>
  <c r="AK46" i="1"/>
  <c r="AK30" i="1"/>
  <c r="AK129" i="1"/>
  <c r="AK163" i="1"/>
  <c r="AK144" i="1"/>
  <c r="AK6" i="1"/>
  <c r="AK29" i="1"/>
  <c r="AK128" i="1"/>
  <c r="AK127" i="1"/>
  <c r="AK28" i="1"/>
  <c r="AK162" i="1"/>
  <c r="AK181" i="1"/>
  <c r="AK126" i="1"/>
  <c r="AK80" i="1"/>
  <c r="AK125" i="1"/>
  <c r="AK27" i="1"/>
  <c r="AK107" i="1"/>
  <c r="AK143" i="1"/>
  <c r="AK106" i="1"/>
  <c r="AK5" i="1"/>
  <c r="AK142" i="1"/>
  <c r="AK180" i="1"/>
  <c r="AK124" i="1"/>
  <c r="AK161" i="1"/>
  <c r="AK79" i="1"/>
  <c r="AK105" i="1"/>
  <c r="AK104" i="1"/>
  <c r="AK141" i="1"/>
  <c r="AK140" i="1"/>
  <c r="AK103" i="1"/>
  <c r="AK123" i="1"/>
  <c r="AK102" i="1"/>
  <c r="AK66" i="1"/>
  <c r="AK26" i="1"/>
  <c r="AK179" i="1"/>
  <c r="AK122" i="1"/>
  <c r="AK139" i="1"/>
  <c r="AK25" i="1"/>
  <c r="AK45" i="1"/>
  <c r="AK101" i="1"/>
  <c r="AK65" i="1"/>
  <c r="AK24" i="1"/>
  <c r="AK4" i="1"/>
  <c r="AK178" i="1"/>
  <c r="AK160" i="1"/>
  <c r="AK44" i="1"/>
  <c r="AK64" i="1"/>
  <c r="AK78" i="1"/>
  <c r="AK63" i="1"/>
  <c r="AK138" i="1"/>
  <c r="AK3" i="1"/>
  <c r="AK100" i="1"/>
  <c r="AK121" i="1"/>
  <c r="AK23" i="1"/>
  <c r="AK177" i="1"/>
  <c r="AK120" i="1"/>
  <c r="AK43" i="1"/>
  <c r="AK119" i="1"/>
  <c r="AK118" i="1"/>
  <c r="AK99" i="1"/>
  <c r="AK176" i="1"/>
  <c r="AK159" i="1"/>
  <c r="AK22" i="1"/>
  <c r="AK62" i="1"/>
  <c r="AK42" i="1"/>
  <c r="AK137" i="1"/>
  <c r="AK61" i="1"/>
  <c r="AK21" i="1"/>
  <c r="AK117" i="1"/>
  <c r="AK136" i="1"/>
  <c r="AK60" i="1"/>
  <c r="AK98" i="1"/>
  <c r="AK41" i="1"/>
  <c r="AK2" i="1"/>
  <c r="AK59" i="1"/>
  <c r="AK97" i="1"/>
  <c r="AK158" i="1"/>
  <c r="AI96" i="1"/>
  <c r="AI20" i="1"/>
  <c r="AI175" i="1"/>
  <c r="AI58" i="1"/>
  <c r="AI194" i="1"/>
  <c r="AI57" i="1"/>
  <c r="AI157" i="1"/>
  <c r="AI116" i="1"/>
  <c r="AI95" i="1"/>
  <c r="AI135" i="1"/>
  <c r="AI193" i="1"/>
  <c r="AI115" i="1"/>
  <c r="AI77" i="1"/>
  <c r="AI134" i="1"/>
  <c r="AI19" i="1"/>
  <c r="AI94" i="1"/>
  <c r="AI192" i="1"/>
  <c r="AI191" i="1"/>
  <c r="AI190" i="1"/>
  <c r="AI93" i="1"/>
  <c r="AI40" i="1"/>
  <c r="AI39" i="1"/>
  <c r="AI56" i="1"/>
  <c r="AI55" i="1"/>
  <c r="AI76" i="1"/>
  <c r="AI18" i="1"/>
  <c r="AI174" i="1"/>
  <c r="AI173" i="1"/>
  <c r="AI92" i="1"/>
  <c r="AI75" i="1"/>
  <c r="AI156" i="1"/>
  <c r="AI38" i="1"/>
  <c r="AI133" i="1"/>
  <c r="AI155" i="1"/>
  <c r="AI154" i="1"/>
  <c r="AI153" i="1"/>
  <c r="AI17" i="1"/>
  <c r="AI114" i="1"/>
  <c r="AI16" i="1"/>
  <c r="AI132" i="1"/>
  <c r="AI113" i="1"/>
  <c r="AI15" i="1"/>
  <c r="AI14" i="1"/>
  <c r="AI172" i="1"/>
  <c r="AI171" i="1"/>
  <c r="AI112" i="1"/>
  <c r="AI152" i="1"/>
  <c r="AI189" i="1"/>
  <c r="AI91" i="1"/>
  <c r="AI37" i="1"/>
  <c r="AI36" i="1"/>
  <c r="AI151" i="1"/>
  <c r="AI131" i="1"/>
  <c r="AI90" i="1"/>
  <c r="AI54" i="1"/>
  <c r="AI188" i="1"/>
  <c r="AI74" i="1"/>
  <c r="AI187" i="1"/>
  <c r="AI89" i="1"/>
  <c r="AI13" i="1"/>
  <c r="AI170" i="1"/>
  <c r="AI53" i="1"/>
  <c r="AI52" i="1"/>
  <c r="AI111" i="1"/>
  <c r="AI51" i="1"/>
  <c r="AI12" i="1"/>
  <c r="AI169" i="1"/>
  <c r="AI11" i="1"/>
  <c r="AI168" i="1"/>
  <c r="AI110" i="1"/>
  <c r="AI167" i="1"/>
  <c r="AI88" i="1"/>
  <c r="AI166" i="1"/>
  <c r="AI150" i="1"/>
  <c r="AI149" i="1"/>
  <c r="AI165" i="1"/>
  <c r="AI73" i="1"/>
  <c r="AI109" i="1"/>
  <c r="AI10" i="1"/>
  <c r="AI148" i="1"/>
  <c r="AI147" i="1"/>
  <c r="AI87" i="1"/>
  <c r="AI146" i="1"/>
  <c r="AI9" i="1"/>
  <c r="AI86" i="1"/>
  <c r="AI8" i="1"/>
  <c r="AI85" i="1"/>
  <c r="AI84" i="1"/>
  <c r="AI186" i="1"/>
  <c r="AI83" i="1"/>
  <c r="AI50" i="1"/>
  <c r="AI185" i="1"/>
  <c r="AI49" i="1"/>
  <c r="AI35" i="1"/>
  <c r="AI72" i="1"/>
  <c r="AI71" i="1"/>
  <c r="AI48" i="1"/>
  <c r="AI164" i="1"/>
  <c r="AI145" i="1"/>
  <c r="AI70" i="1"/>
  <c r="AI184" i="1"/>
  <c r="AI183" i="1"/>
  <c r="AI34" i="1"/>
  <c r="AI33" i="1"/>
  <c r="AI82" i="1"/>
  <c r="AI69" i="1"/>
  <c r="AI68" i="1"/>
  <c r="AI67" i="1"/>
  <c r="AI108" i="1"/>
  <c r="AI182" i="1"/>
  <c r="AI7" i="1"/>
  <c r="AI32" i="1"/>
  <c r="AI31" i="1"/>
  <c r="AI81" i="1"/>
  <c r="AI47" i="1"/>
  <c r="AI130" i="1"/>
  <c r="AI46" i="1"/>
  <c r="AI30" i="1"/>
  <c r="AI129" i="1"/>
  <c r="AI163" i="1"/>
  <c r="AI144" i="1"/>
  <c r="AI6" i="1"/>
  <c r="AI29" i="1"/>
  <c r="AI128" i="1"/>
  <c r="AI127" i="1"/>
  <c r="AI28" i="1"/>
  <c r="AI162" i="1"/>
  <c r="AI181" i="1"/>
  <c r="AI126" i="1"/>
  <c r="AI80" i="1"/>
  <c r="AI125" i="1"/>
  <c r="AI27" i="1"/>
  <c r="AI107" i="1"/>
  <c r="AI143" i="1"/>
  <c r="AI106" i="1"/>
  <c r="AI5" i="1"/>
  <c r="AI142" i="1"/>
  <c r="AI180" i="1"/>
  <c r="AI124" i="1"/>
  <c r="AI161" i="1"/>
  <c r="AI79" i="1"/>
  <c r="AI105" i="1"/>
  <c r="AI104" i="1"/>
  <c r="AI141" i="1"/>
  <c r="AI140" i="1"/>
  <c r="AI103" i="1"/>
  <c r="AI123" i="1"/>
  <c r="AI102" i="1"/>
  <c r="AI66" i="1"/>
  <c r="AI26" i="1"/>
  <c r="AI179" i="1"/>
  <c r="AI122" i="1"/>
  <c r="AI139" i="1"/>
  <c r="AI25" i="1"/>
  <c r="AI45" i="1"/>
  <c r="AI101" i="1"/>
  <c r="AI65" i="1"/>
  <c r="AI24" i="1"/>
  <c r="AI4" i="1"/>
  <c r="AI178" i="1"/>
  <c r="AI160" i="1"/>
  <c r="AI44" i="1"/>
  <c r="AI64" i="1"/>
  <c r="AI78" i="1"/>
  <c r="AI63" i="1"/>
  <c r="AI138" i="1"/>
  <c r="AI3" i="1"/>
  <c r="AI100" i="1"/>
  <c r="AI121" i="1"/>
  <c r="AI23" i="1"/>
  <c r="AI177" i="1"/>
  <c r="AI120" i="1"/>
  <c r="AI43" i="1"/>
  <c r="AI119" i="1"/>
  <c r="AI118" i="1"/>
  <c r="AI99" i="1"/>
  <c r="AI176" i="1"/>
  <c r="AI159" i="1"/>
  <c r="AI22" i="1"/>
  <c r="AI62" i="1"/>
  <c r="AI42" i="1"/>
  <c r="AI137" i="1"/>
  <c r="AI61" i="1"/>
  <c r="AI21" i="1"/>
  <c r="AI117" i="1"/>
  <c r="AI136" i="1"/>
  <c r="AI60" i="1"/>
  <c r="AI98" i="1"/>
  <c r="AI41" i="1"/>
  <c r="AI2" i="1"/>
  <c r="AI59" i="1"/>
  <c r="AI97" i="1"/>
  <c r="AI158" i="1"/>
  <c r="AG96" i="1"/>
  <c r="AG20" i="1"/>
  <c r="AG175" i="1"/>
  <c r="AG58" i="1"/>
  <c r="AG194" i="1"/>
  <c r="AG57" i="1"/>
  <c r="AG157" i="1"/>
  <c r="AG116" i="1"/>
  <c r="AG95" i="1"/>
  <c r="AG135" i="1"/>
  <c r="AG193" i="1"/>
  <c r="AG115" i="1"/>
  <c r="AG77" i="1"/>
  <c r="AG134" i="1"/>
  <c r="AG19" i="1"/>
  <c r="AG94" i="1"/>
  <c r="AG192" i="1"/>
  <c r="AG191" i="1"/>
  <c r="AG190" i="1"/>
  <c r="AG93" i="1"/>
  <c r="AG40" i="1"/>
  <c r="AG39" i="1"/>
  <c r="AG56" i="1"/>
  <c r="AG55" i="1"/>
  <c r="AG76" i="1"/>
  <c r="AG18" i="1"/>
  <c r="AG174" i="1"/>
  <c r="AG173" i="1"/>
  <c r="AG92" i="1"/>
  <c r="AG75" i="1"/>
  <c r="AG156" i="1"/>
  <c r="AG38" i="1"/>
  <c r="AG133" i="1"/>
  <c r="AG155" i="1"/>
  <c r="AG154" i="1"/>
  <c r="AG153" i="1"/>
  <c r="AG17" i="1"/>
  <c r="AG114" i="1"/>
  <c r="AG16" i="1"/>
  <c r="AG132" i="1"/>
  <c r="AG113" i="1"/>
  <c r="AG15" i="1"/>
  <c r="AG14" i="1"/>
  <c r="AG172" i="1"/>
  <c r="AG171" i="1"/>
  <c r="AG112" i="1"/>
  <c r="AG152" i="1"/>
  <c r="AG189" i="1"/>
  <c r="AG91" i="1"/>
  <c r="AG37" i="1"/>
  <c r="AG36" i="1"/>
  <c r="AG151" i="1"/>
  <c r="AG131" i="1"/>
  <c r="AG90" i="1"/>
  <c r="AG54" i="1"/>
  <c r="AG188" i="1"/>
  <c r="AG74" i="1"/>
  <c r="AG187" i="1"/>
  <c r="AG89" i="1"/>
  <c r="AG13" i="1"/>
  <c r="AG170" i="1"/>
  <c r="AG53" i="1"/>
  <c r="AG52" i="1"/>
  <c r="AG111" i="1"/>
  <c r="AG51" i="1"/>
  <c r="AG12" i="1"/>
  <c r="AG169" i="1"/>
  <c r="AG11" i="1"/>
  <c r="AG168" i="1"/>
  <c r="AG110" i="1"/>
  <c r="AG167" i="1"/>
  <c r="AG88" i="1"/>
  <c r="AG166" i="1"/>
  <c r="AG150" i="1"/>
  <c r="AG149" i="1"/>
  <c r="AG165" i="1"/>
  <c r="AG73" i="1"/>
  <c r="AG109" i="1"/>
  <c r="AG10" i="1"/>
  <c r="AG148" i="1"/>
  <c r="AG147" i="1"/>
  <c r="AG87" i="1"/>
  <c r="AG146" i="1"/>
  <c r="AG9" i="1"/>
  <c r="AG86" i="1"/>
  <c r="AG8" i="1"/>
  <c r="AG85" i="1"/>
  <c r="AG84" i="1"/>
  <c r="AG186" i="1"/>
  <c r="AG83" i="1"/>
  <c r="AG50" i="1"/>
  <c r="AG185" i="1"/>
  <c r="AG49" i="1"/>
  <c r="AG35" i="1"/>
  <c r="AG72" i="1"/>
  <c r="AG71" i="1"/>
  <c r="AG48" i="1"/>
  <c r="AG164" i="1"/>
  <c r="AG145" i="1"/>
  <c r="AG70" i="1"/>
  <c r="AG184" i="1"/>
  <c r="AG183" i="1"/>
  <c r="AG34" i="1"/>
  <c r="AG33" i="1"/>
  <c r="AG82" i="1"/>
  <c r="AG69" i="1"/>
  <c r="AG68" i="1"/>
  <c r="AG67" i="1"/>
  <c r="AG108" i="1"/>
  <c r="AG182" i="1"/>
  <c r="AG7" i="1"/>
  <c r="AG32" i="1"/>
  <c r="AG31" i="1"/>
  <c r="AG81" i="1"/>
  <c r="AG47" i="1"/>
  <c r="AG130" i="1"/>
  <c r="AG46" i="1"/>
  <c r="AG30" i="1"/>
  <c r="AG129" i="1"/>
  <c r="AG163" i="1"/>
  <c r="AG144" i="1"/>
  <c r="AG6" i="1"/>
  <c r="AG29" i="1"/>
  <c r="AG128" i="1"/>
  <c r="AG127" i="1"/>
  <c r="AG28" i="1"/>
  <c r="AG162" i="1"/>
  <c r="AG181" i="1"/>
  <c r="AG126" i="1"/>
  <c r="AG80" i="1"/>
  <c r="AG125" i="1"/>
  <c r="AG27" i="1"/>
  <c r="AG107" i="1"/>
  <c r="AG143" i="1"/>
  <c r="AG106" i="1"/>
  <c r="AG5" i="1"/>
  <c r="AG142" i="1"/>
  <c r="AG180" i="1"/>
  <c r="AG124" i="1"/>
  <c r="AG161" i="1"/>
  <c r="AG79" i="1"/>
  <c r="AG105" i="1"/>
  <c r="AG104" i="1"/>
  <c r="AG141" i="1"/>
  <c r="AG140" i="1"/>
  <c r="AG103" i="1"/>
  <c r="AG123" i="1"/>
  <c r="AG102" i="1"/>
  <c r="AG66" i="1"/>
  <c r="AG26" i="1"/>
  <c r="AG179" i="1"/>
  <c r="AG122" i="1"/>
  <c r="AG139" i="1"/>
  <c r="AG25" i="1"/>
  <c r="AG45" i="1"/>
  <c r="AG101" i="1"/>
  <c r="AG65" i="1"/>
  <c r="AG24" i="1"/>
  <c r="AG4" i="1"/>
  <c r="AG178" i="1"/>
  <c r="AG160" i="1"/>
  <c r="AG44" i="1"/>
  <c r="AG64" i="1"/>
  <c r="AG78" i="1"/>
  <c r="AG63" i="1"/>
  <c r="AG138" i="1"/>
  <c r="AG3" i="1"/>
  <c r="AG100" i="1"/>
  <c r="AG121" i="1"/>
  <c r="AG23" i="1"/>
  <c r="AG177" i="1"/>
  <c r="AG120" i="1"/>
  <c r="AG43" i="1"/>
  <c r="AG119" i="1"/>
  <c r="AG118" i="1"/>
  <c r="AG99" i="1"/>
  <c r="AG176" i="1"/>
  <c r="AG159" i="1"/>
  <c r="AG22" i="1"/>
  <c r="AG62" i="1"/>
  <c r="AG42" i="1"/>
  <c r="AG137" i="1"/>
  <c r="AG61" i="1"/>
  <c r="AG21" i="1"/>
  <c r="AG117" i="1"/>
  <c r="AG136" i="1"/>
  <c r="AG60" i="1"/>
  <c r="AG98" i="1"/>
  <c r="AG41" i="1"/>
  <c r="AG2" i="1"/>
  <c r="AG59" i="1"/>
  <c r="AG97" i="1"/>
  <c r="AG158" i="1"/>
  <c r="AE96" i="1"/>
  <c r="AE20" i="1"/>
  <c r="AE175" i="1"/>
  <c r="AE58" i="1"/>
  <c r="AE194" i="1"/>
  <c r="AE57" i="1"/>
  <c r="AE157" i="1"/>
  <c r="AE116" i="1"/>
  <c r="AE95" i="1"/>
  <c r="AE135" i="1"/>
  <c r="AE193" i="1"/>
  <c r="AE115" i="1"/>
  <c r="AE77" i="1"/>
  <c r="AE134" i="1"/>
  <c r="AE19" i="1"/>
  <c r="AE94" i="1"/>
  <c r="AE192" i="1"/>
  <c r="AE191" i="1"/>
  <c r="AE190" i="1"/>
  <c r="AE93" i="1"/>
  <c r="AE40" i="1"/>
  <c r="AE39" i="1"/>
  <c r="AE56" i="1"/>
  <c r="AE55" i="1"/>
  <c r="AE76" i="1"/>
  <c r="AE18" i="1"/>
  <c r="AE174" i="1"/>
  <c r="AE173" i="1"/>
  <c r="AE92" i="1"/>
  <c r="AE75" i="1"/>
  <c r="AE156" i="1"/>
  <c r="AE38" i="1"/>
  <c r="AE133" i="1"/>
  <c r="AE155" i="1"/>
  <c r="AE154" i="1"/>
  <c r="AE153" i="1"/>
  <c r="AE17" i="1"/>
  <c r="AE114" i="1"/>
  <c r="AE16" i="1"/>
  <c r="AE132" i="1"/>
  <c r="AE113" i="1"/>
  <c r="AE15" i="1"/>
  <c r="AE14" i="1"/>
  <c r="AE172" i="1"/>
  <c r="AE171" i="1"/>
  <c r="AE112" i="1"/>
  <c r="AE152" i="1"/>
  <c r="AE189" i="1"/>
  <c r="AE91" i="1"/>
  <c r="AE37" i="1"/>
  <c r="AE36" i="1"/>
  <c r="AE151" i="1"/>
  <c r="AE131" i="1"/>
  <c r="AE90" i="1"/>
  <c r="AE54" i="1"/>
  <c r="AE188" i="1"/>
  <c r="AE74" i="1"/>
  <c r="AE187" i="1"/>
  <c r="AE89" i="1"/>
  <c r="AE13" i="1"/>
  <c r="AE170" i="1"/>
  <c r="AE53" i="1"/>
  <c r="AE52" i="1"/>
  <c r="AE111" i="1"/>
  <c r="AE51" i="1"/>
  <c r="AE12" i="1"/>
  <c r="AE169" i="1"/>
  <c r="AE11" i="1"/>
  <c r="AE168" i="1"/>
  <c r="AE110" i="1"/>
  <c r="AE167" i="1"/>
  <c r="AE88" i="1"/>
  <c r="AE166" i="1"/>
  <c r="AE150" i="1"/>
  <c r="AE149" i="1"/>
  <c r="AE165" i="1"/>
  <c r="AE73" i="1"/>
  <c r="AE109" i="1"/>
  <c r="AE10" i="1"/>
  <c r="AE148" i="1"/>
  <c r="AE147" i="1"/>
  <c r="AE87" i="1"/>
  <c r="AE146" i="1"/>
  <c r="AE9" i="1"/>
  <c r="AE86" i="1"/>
  <c r="AE8" i="1"/>
  <c r="AE85" i="1"/>
  <c r="AE84" i="1"/>
  <c r="AE186" i="1"/>
  <c r="AE83" i="1"/>
  <c r="AE50" i="1"/>
  <c r="AE185" i="1"/>
  <c r="AE49" i="1"/>
  <c r="AE35" i="1"/>
  <c r="AE72" i="1"/>
  <c r="AE71" i="1"/>
  <c r="AE48" i="1"/>
  <c r="AE164" i="1"/>
  <c r="AE145" i="1"/>
  <c r="AE70" i="1"/>
  <c r="AE184" i="1"/>
  <c r="AE183" i="1"/>
  <c r="AE34" i="1"/>
  <c r="AE33" i="1"/>
  <c r="AE82" i="1"/>
  <c r="AE69" i="1"/>
  <c r="AE68" i="1"/>
  <c r="AE67" i="1"/>
  <c r="AE108" i="1"/>
  <c r="AE182" i="1"/>
  <c r="AE7" i="1"/>
  <c r="AE32" i="1"/>
  <c r="AE31" i="1"/>
  <c r="AE81" i="1"/>
  <c r="AE47" i="1"/>
  <c r="AE130" i="1"/>
  <c r="AE46" i="1"/>
  <c r="AE30" i="1"/>
  <c r="AE129" i="1"/>
  <c r="AE163" i="1"/>
  <c r="AE144" i="1"/>
  <c r="AE6" i="1"/>
  <c r="AE29" i="1"/>
  <c r="AE128" i="1"/>
  <c r="AE127" i="1"/>
  <c r="AE28" i="1"/>
  <c r="AE162" i="1"/>
  <c r="AE181" i="1"/>
  <c r="AE126" i="1"/>
  <c r="AE80" i="1"/>
  <c r="AE125" i="1"/>
  <c r="AE27" i="1"/>
  <c r="AE107" i="1"/>
  <c r="AE143" i="1"/>
  <c r="AE106" i="1"/>
  <c r="AE5" i="1"/>
  <c r="AE142" i="1"/>
  <c r="AE180" i="1"/>
  <c r="AE124" i="1"/>
  <c r="AE161" i="1"/>
  <c r="AE79" i="1"/>
  <c r="AE105" i="1"/>
  <c r="AE104" i="1"/>
  <c r="AE141" i="1"/>
  <c r="AE140" i="1"/>
  <c r="AE103" i="1"/>
  <c r="AE123" i="1"/>
  <c r="AE102" i="1"/>
  <c r="AE66" i="1"/>
  <c r="AE26" i="1"/>
  <c r="AE179" i="1"/>
  <c r="AE122" i="1"/>
  <c r="AE139" i="1"/>
  <c r="AE25" i="1"/>
  <c r="AE45" i="1"/>
  <c r="AE101" i="1"/>
  <c r="AE65" i="1"/>
  <c r="AE24" i="1"/>
  <c r="AE4" i="1"/>
  <c r="AE178" i="1"/>
  <c r="AE160" i="1"/>
  <c r="AE44" i="1"/>
  <c r="AE64" i="1"/>
  <c r="AE78" i="1"/>
  <c r="AE63" i="1"/>
  <c r="AE138" i="1"/>
  <c r="AE3" i="1"/>
  <c r="AE100" i="1"/>
  <c r="AE121" i="1"/>
  <c r="AE23" i="1"/>
  <c r="AE177" i="1"/>
  <c r="AE120" i="1"/>
  <c r="AE43" i="1"/>
  <c r="AE119" i="1"/>
  <c r="AE118" i="1"/>
  <c r="AE99" i="1"/>
  <c r="AE176" i="1"/>
  <c r="AE159" i="1"/>
  <c r="AE22" i="1"/>
  <c r="AE62" i="1"/>
  <c r="AE42" i="1"/>
  <c r="AE137" i="1"/>
  <c r="AE61" i="1"/>
  <c r="AE21" i="1"/>
  <c r="AE117" i="1"/>
  <c r="AE136" i="1"/>
  <c r="AE60" i="1"/>
  <c r="AE98" i="1"/>
  <c r="AE41" i="1"/>
  <c r="AE2" i="1"/>
  <c r="AE59" i="1"/>
  <c r="AE97" i="1"/>
  <c r="AE158" i="1"/>
  <c r="I96" i="1"/>
  <c r="I20" i="1"/>
  <c r="I175" i="1"/>
  <c r="I58" i="1"/>
  <c r="I194" i="1"/>
  <c r="I57" i="1"/>
  <c r="I157" i="1"/>
  <c r="I116" i="1"/>
  <c r="I95" i="1"/>
  <c r="I135" i="1"/>
  <c r="I193" i="1"/>
  <c r="I115" i="1"/>
  <c r="I77" i="1"/>
  <c r="I134" i="1"/>
  <c r="I19" i="1"/>
  <c r="I94" i="1"/>
  <c r="I192" i="1"/>
  <c r="I191" i="1"/>
  <c r="I190" i="1"/>
  <c r="I93" i="1"/>
  <c r="I40" i="1"/>
  <c r="I39" i="1"/>
  <c r="I56" i="1"/>
  <c r="I55" i="1"/>
  <c r="I76" i="1"/>
  <c r="I18" i="1"/>
  <c r="I174" i="1"/>
  <c r="I173" i="1"/>
  <c r="I92" i="1"/>
  <c r="I75" i="1"/>
  <c r="I156" i="1"/>
  <c r="I38" i="1"/>
  <c r="I133" i="1"/>
  <c r="I155" i="1"/>
  <c r="I154" i="1"/>
  <c r="I153" i="1"/>
  <c r="I17" i="1"/>
  <c r="I114" i="1"/>
  <c r="I16" i="1"/>
  <c r="I132" i="1"/>
  <c r="I113" i="1"/>
  <c r="I15" i="1"/>
  <c r="I14" i="1"/>
  <c r="I172" i="1"/>
  <c r="I171" i="1"/>
  <c r="I112" i="1"/>
  <c r="I152" i="1"/>
  <c r="I189" i="1"/>
  <c r="I91" i="1"/>
  <c r="I37" i="1"/>
  <c r="I36" i="1"/>
  <c r="I151" i="1"/>
  <c r="I131" i="1"/>
  <c r="I90" i="1"/>
  <c r="I54" i="1"/>
  <c r="I188" i="1"/>
  <c r="I74" i="1"/>
  <c r="I187" i="1"/>
  <c r="I89" i="1"/>
  <c r="I13" i="1"/>
  <c r="I170" i="1"/>
  <c r="I53" i="1"/>
  <c r="I52" i="1"/>
  <c r="I111" i="1"/>
  <c r="I51" i="1"/>
  <c r="I12" i="1"/>
  <c r="I169" i="1"/>
  <c r="I11" i="1"/>
  <c r="I168" i="1"/>
  <c r="I110" i="1"/>
  <c r="I167" i="1"/>
  <c r="I88" i="1"/>
  <c r="I166" i="1"/>
  <c r="I150" i="1"/>
  <c r="I149" i="1"/>
  <c r="I165" i="1"/>
  <c r="I73" i="1"/>
  <c r="I109" i="1"/>
  <c r="I10" i="1"/>
  <c r="I148" i="1"/>
  <c r="I147" i="1"/>
  <c r="I87" i="1"/>
  <c r="I146" i="1"/>
  <c r="I9" i="1"/>
  <c r="I86" i="1"/>
  <c r="I8" i="1"/>
  <c r="I85" i="1"/>
  <c r="I84" i="1"/>
  <c r="I186" i="1"/>
  <c r="I83" i="1"/>
  <c r="I50" i="1"/>
  <c r="I185" i="1"/>
  <c r="I49" i="1"/>
  <c r="I35" i="1"/>
  <c r="I72" i="1"/>
  <c r="I71" i="1"/>
  <c r="I48" i="1"/>
  <c r="I164" i="1"/>
  <c r="I145" i="1"/>
  <c r="I70" i="1"/>
  <c r="I184" i="1"/>
  <c r="I183" i="1"/>
  <c r="I34" i="1"/>
  <c r="I33" i="1"/>
  <c r="I82" i="1"/>
  <c r="I69" i="1"/>
  <c r="I68" i="1"/>
  <c r="I67" i="1"/>
  <c r="I108" i="1"/>
  <c r="I182" i="1"/>
  <c r="I7" i="1"/>
  <c r="I32" i="1"/>
  <c r="I31" i="1"/>
  <c r="I81" i="1"/>
  <c r="I47" i="1"/>
  <c r="I130" i="1"/>
  <c r="I46" i="1"/>
  <c r="I30" i="1"/>
  <c r="I129" i="1"/>
  <c r="I163" i="1"/>
  <c r="I144" i="1"/>
  <c r="I6" i="1"/>
  <c r="I29" i="1"/>
  <c r="I128" i="1"/>
  <c r="I127" i="1"/>
  <c r="I28" i="1"/>
  <c r="I162" i="1"/>
  <c r="I181" i="1"/>
  <c r="I126" i="1"/>
  <c r="I80" i="1"/>
  <c r="I125" i="1"/>
  <c r="I27" i="1"/>
  <c r="I107" i="1"/>
  <c r="I143" i="1"/>
  <c r="I106" i="1"/>
  <c r="I5" i="1"/>
  <c r="I142" i="1"/>
  <c r="I180" i="1"/>
  <c r="I124" i="1"/>
  <c r="I161" i="1"/>
  <c r="I79" i="1"/>
  <c r="I105" i="1"/>
  <c r="I104" i="1"/>
  <c r="I141" i="1"/>
  <c r="I140" i="1"/>
  <c r="I103" i="1"/>
  <c r="I123" i="1"/>
  <c r="I102" i="1"/>
  <c r="I66" i="1"/>
  <c r="I26" i="1"/>
  <c r="I179" i="1"/>
  <c r="I122" i="1"/>
  <c r="I139" i="1"/>
  <c r="I25" i="1"/>
  <c r="I45" i="1"/>
  <c r="I101" i="1"/>
  <c r="I65" i="1"/>
  <c r="I24" i="1"/>
  <c r="I4" i="1"/>
  <c r="I178" i="1"/>
  <c r="I160" i="1"/>
  <c r="I44" i="1"/>
  <c r="I64" i="1"/>
  <c r="I78" i="1"/>
  <c r="I63" i="1"/>
  <c r="I138" i="1"/>
  <c r="I3" i="1"/>
  <c r="I100" i="1"/>
  <c r="I121" i="1"/>
  <c r="I23" i="1"/>
  <c r="I177" i="1"/>
  <c r="I120" i="1"/>
  <c r="I43" i="1"/>
  <c r="I119" i="1"/>
  <c r="I118" i="1"/>
  <c r="I99" i="1"/>
  <c r="I176" i="1"/>
  <c r="I159" i="1"/>
  <c r="I22" i="1"/>
  <c r="I62" i="1"/>
  <c r="I42" i="1"/>
  <c r="I137" i="1"/>
  <c r="I61" i="1"/>
  <c r="I21" i="1"/>
  <c r="I117" i="1"/>
  <c r="I136" i="1"/>
  <c r="I60" i="1"/>
  <c r="I98" i="1"/>
  <c r="I41" i="1"/>
  <c r="I2" i="1"/>
  <c r="I59" i="1"/>
  <c r="I97" i="1"/>
  <c r="I158" i="1"/>
  <c r="BZ194" i="1"/>
  <c r="BY194" i="1"/>
  <c r="BX194" i="1" s="1"/>
  <c r="BZ193" i="1"/>
  <c r="BY193" i="1"/>
  <c r="BX193" i="1" s="1"/>
  <c r="BZ192" i="1"/>
  <c r="BY192" i="1"/>
  <c r="BZ191" i="1"/>
  <c r="BY191" i="1"/>
  <c r="BZ190" i="1"/>
  <c r="BY190" i="1"/>
  <c r="BZ189" i="1"/>
  <c r="BY189" i="1"/>
  <c r="BX189" i="1" s="1"/>
  <c r="BZ188" i="1"/>
  <c r="BY188" i="1"/>
  <c r="BX188" i="1" s="1"/>
  <c r="BZ187" i="1"/>
  <c r="BY187" i="1"/>
  <c r="BZ186" i="1"/>
  <c r="BY186" i="1"/>
  <c r="BX186" i="1" s="1"/>
  <c r="BZ185" i="1"/>
  <c r="BY185" i="1"/>
  <c r="BZ184" i="1"/>
  <c r="BY184" i="1"/>
  <c r="BX184" i="1" s="1"/>
  <c r="BZ183" i="1"/>
  <c r="BY183" i="1"/>
  <c r="BX183" i="1" s="1"/>
  <c r="BZ182" i="1"/>
  <c r="BY182" i="1"/>
  <c r="BZ181" i="1"/>
  <c r="BY181" i="1"/>
  <c r="BX181" i="1" s="1"/>
  <c r="BZ180" i="1"/>
  <c r="BY180" i="1"/>
  <c r="BX180" i="1" s="1"/>
  <c r="BZ179" i="1"/>
  <c r="BY179" i="1"/>
  <c r="BZ178" i="1"/>
  <c r="BY178" i="1"/>
  <c r="BZ177" i="1"/>
  <c r="BY177" i="1"/>
  <c r="BX177" i="1" s="1"/>
  <c r="BZ176" i="1"/>
  <c r="BY176" i="1"/>
  <c r="BZ175" i="1"/>
  <c r="BY175" i="1"/>
  <c r="BX175" i="1" s="1"/>
  <c r="BZ174" i="1"/>
  <c r="BY174" i="1"/>
  <c r="BZ173" i="1"/>
  <c r="BY173" i="1"/>
  <c r="BZ172" i="1"/>
  <c r="BY172" i="1"/>
  <c r="BZ171" i="1"/>
  <c r="BY171" i="1"/>
  <c r="BX171" i="1" s="1"/>
  <c r="BZ170" i="1"/>
  <c r="BY170" i="1"/>
  <c r="BZ169" i="1"/>
  <c r="BY169" i="1"/>
  <c r="BX169" i="1" s="1"/>
  <c r="BZ168" i="1"/>
  <c r="BY168" i="1"/>
  <c r="BX168" i="1" s="1"/>
  <c r="BZ167" i="1"/>
  <c r="BY167" i="1"/>
  <c r="BX167" i="1" s="1"/>
  <c r="BZ166" i="1"/>
  <c r="BY166" i="1"/>
  <c r="BX166" i="1" s="1"/>
  <c r="BZ165" i="1"/>
  <c r="BY165" i="1"/>
  <c r="BX165" i="1" s="1"/>
  <c r="BZ164" i="1"/>
  <c r="BY164" i="1"/>
  <c r="BX164" i="1" s="1"/>
  <c r="BZ163" i="1"/>
  <c r="BY163" i="1"/>
  <c r="BZ162" i="1"/>
  <c r="BY162" i="1"/>
  <c r="BZ161" i="1"/>
  <c r="BY161" i="1"/>
  <c r="BX161" i="1" s="1"/>
  <c r="BZ160" i="1"/>
  <c r="BY160" i="1"/>
  <c r="BZ159" i="1"/>
  <c r="BY159" i="1"/>
  <c r="BZ158" i="1"/>
  <c r="BY158" i="1"/>
  <c r="BZ157" i="1"/>
  <c r="BY157" i="1"/>
  <c r="BX157" i="1" s="1"/>
  <c r="BZ156" i="1"/>
  <c r="BY156" i="1"/>
  <c r="BX156" i="1" s="1"/>
  <c r="BZ155" i="1"/>
  <c r="BY155" i="1"/>
  <c r="BZ154" i="1"/>
  <c r="BY154" i="1"/>
  <c r="BZ153" i="1"/>
  <c r="BY153" i="1"/>
  <c r="BX153" i="1" s="1"/>
  <c r="BZ152" i="1"/>
  <c r="BY152" i="1"/>
  <c r="BZ151" i="1"/>
  <c r="BY151" i="1"/>
  <c r="BX151" i="1" s="1"/>
  <c r="BZ150" i="1"/>
  <c r="BY150" i="1"/>
  <c r="BX150" i="1" s="1"/>
  <c r="BZ149" i="1"/>
  <c r="BY149" i="1"/>
  <c r="BX149" i="1" s="1"/>
  <c r="BZ148" i="1"/>
  <c r="BY148" i="1"/>
  <c r="BZ147" i="1"/>
  <c r="BY147" i="1"/>
  <c r="BZ146" i="1"/>
  <c r="BY146" i="1"/>
  <c r="BZ145" i="1"/>
  <c r="BY145" i="1"/>
  <c r="BZ144" i="1"/>
  <c r="BY144" i="1"/>
  <c r="BX144" i="1" s="1"/>
  <c r="BZ143" i="1"/>
  <c r="BY143" i="1"/>
  <c r="BZ142" i="1"/>
  <c r="BY142" i="1"/>
  <c r="BZ141" i="1"/>
  <c r="BY141" i="1"/>
  <c r="BZ140" i="1"/>
  <c r="BY140" i="1"/>
  <c r="BZ139" i="1"/>
  <c r="BY139" i="1"/>
  <c r="BZ138" i="1"/>
  <c r="BY138" i="1"/>
  <c r="BX138" i="1" s="1"/>
  <c r="BZ137" i="1"/>
  <c r="BY137" i="1"/>
  <c r="BX137" i="1" s="1"/>
  <c r="BZ136" i="1"/>
  <c r="BY136" i="1"/>
  <c r="BX136" i="1" s="1"/>
  <c r="BZ135" i="1"/>
  <c r="BY135" i="1"/>
  <c r="BX135" i="1" s="1"/>
  <c r="BZ134" i="1"/>
  <c r="BY134" i="1"/>
  <c r="BZ133" i="1"/>
  <c r="BY133" i="1"/>
  <c r="BZ132" i="1"/>
  <c r="BY132" i="1"/>
  <c r="BZ131" i="1"/>
  <c r="BY131" i="1"/>
  <c r="BX131" i="1" s="1"/>
  <c r="BZ130" i="1"/>
  <c r="BY130" i="1"/>
  <c r="BX130" i="1" s="1"/>
  <c r="BZ129" i="1"/>
  <c r="BY129" i="1"/>
  <c r="BX129" i="1" s="1"/>
  <c r="BZ128" i="1"/>
  <c r="BY128" i="1"/>
  <c r="BZ127" i="1"/>
  <c r="BY127" i="1"/>
  <c r="BZ126" i="1"/>
  <c r="BY126" i="1"/>
  <c r="BZ125" i="1"/>
  <c r="BY125" i="1"/>
  <c r="BX125" i="1" s="1"/>
  <c r="BZ124" i="1"/>
  <c r="BY124" i="1"/>
  <c r="BX124" i="1" s="1"/>
  <c r="BZ123" i="1"/>
  <c r="BY123" i="1"/>
  <c r="BZ122" i="1"/>
  <c r="BY122" i="1"/>
  <c r="BZ121" i="1"/>
  <c r="BY121" i="1"/>
  <c r="BZ120" i="1"/>
  <c r="BY120" i="1"/>
  <c r="BX120" i="1" s="1"/>
  <c r="BZ119" i="1"/>
  <c r="BY119" i="1"/>
  <c r="BX119" i="1" s="1"/>
  <c r="BZ118" i="1"/>
  <c r="BY118" i="1"/>
  <c r="BZ117" i="1"/>
  <c r="BY117" i="1"/>
  <c r="BX117" i="1" s="1"/>
  <c r="BZ116" i="1"/>
  <c r="BY116" i="1"/>
  <c r="BZ115" i="1"/>
  <c r="BY115" i="1"/>
  <c r="BZ114" i="1"/>
  <c r="BY114" i="1"/>
  <c r="BZ113" i="1"/>
  <c r="BY113" i="1"/>
  <c r="BX113" i="1" s="1"/>
  <c r="BZ112" i="1"/>
  <c r="BY112" i="1"/>
  <c r="BZ111" i="1"/>
  <c r="BY111" i="1"/>
  <c r="BZ110" i="1"/>
  <c r="BY110" i="1"/>
  <c r="BZ109" i="1"/>
  <c r="BY109" i="1"/>
  <c r="BX109" i="1" s="1"/>
  <c r="BZ108" i="1"/>
  <c r="BY108" i="1"/>
  <c r="BZ107" i="1"/>
  <c r="BY107" i="1"/>
  <c r="BZ106" i="1"/>
  <c r="BY106" i="1"/>
  <c r="BX106" i="1" s="1"/>
  <c r="BZ105" i="1"/>
  <c r="BY105" i="1"/>
  <c r="BX105" i="1" s="1"/>
  <c r="BZ104" i="1"/>
  <c r="BY104" i="1"/>
  <c r="BZ103" i="1"/>
  <c r="BY103" i="1"/>
  <c r="BZ102" i="1"/>
  <c r="BY102" i="1"/>
  <c r="BX102" i="1" s="1"/>
  <c r="BZ101" i="1"/>
  <c r="BY101" i="1"/>
  <c r="BZ100" i="1"/>
  <c r="BY100" i="1"/>
  <c r="BZ99" i="1"/>
  <c r="BY99" i="1"/>
  <c r="BX99" i="1" s="1"/>
  <c r="BZ98" i="1"/>
  <c r="BY98" i="1"/>
  <c r="BX98" i="1" s="1"/>
  <c r="BZ97" i="1"/>
  <c r="BY97" i="1"/>
  <c r="BZ96" i="1"/>
  <c r="BY96" i="1"/>
  <c r="BX96" i="1" s="1"/>
  <c r="BZ95" i="1"/>
  <c r="BY95" i="1"/>
  <c r="BZ94" i="1"/>
  <c r="BY94" i="1"/>
  <c r="BX94" i="1" s="1"/>
  <c r="BZ93" i="1"/>
  <c r="BY93" i="1"/>
  <c r="BX93" i="1" s="1"/>
  <c r="BZ92" i="1"/>
  <c r="BY92" i="1"/>
  <c r="BX92" i="1" s="1"/>
  <c r="BZ91" i="1"/>
  <c r="BY91" i="1"/>
  <c r="BX91" i="1" s="1"/>
  <c r="BZ90" i="1"/>
  <c r="BY90" i="1"/>
  <c r="BX90" i="1" s="1"/>
  <c r="BZ89" i="1"/>
  <c r="BY89" i="1"/>
  <c r="BZ88" i="1"/>
  <c r="BY88" i="1"/>
  <c r="BX88" i="1" s="1"/>
  <c r="BZ87" i="1"/>
  <c r="BY87" i="1"/>
  <c r="BZ86" i="1"/>
  <c r="BY86" i="1"/>
  <c r="BX86" i="1" s="1"/>
  <c r="BZ85" i="1"/>
  <c r="BY85" i="1"/>
  <c r="BX85" i="1" s="1"/>
  <c r="BZ84" i="1"/>
  <c r="BY84" i="1"/>
  <c r="BX84" i="1" s="1"/>
  <c r="BZ83" i="1"/>
  <c r="BY83" i="1"/>
  <c r="BX83" i="1" s="1"/>
  <c r="BZ82" i="1"/>
  <c r="BY82" i="1"/>
  <c r="BX82" i="1" s="1"/>
  <c r="BZ81" i="1"/>
  <c r="BY81" i="1"/>
  <c r="BX81" i="1" s="1"/>
  <c r="BZ80" i="1"/>
  <c r="BY80" i="1"/>
  <c r="BX80" i="1" s="1"/>
  <c r="BZ79" i="1"/>
  <c r="BY79" i="1"/>
  <c r="BZ78" i="1"/>
  <c r="BY78" i="1"/>
  <c r="BZ77" i="1"/>
  <c r="BY77" i="1"/>
  <c r="BZ76" i="1"/>
  <c r="BY76" i="1"/>
  <c r="BZ75" i="1"/>
  <c r="BY75" i="1"/>
  <c r="BX75" i="1" s="1"/>
  <c r="BZ74" i="1"/>
  <c r="BY74" i="1"/>
  <c r="BX74" i="1" s="1"/>
  <c r="BZ73" i="1"/>
  <c r="BY73" i="1"/>
  <c r="BX73" i="1" s="1"/>
  <c r="BZ72" i="1"/>
  <c r="BY72" i="1"/>
  <c r="BZ71" i="1"/>
  <c r="BY71" i="1"/>
  <c r="BZ70" i="1"/>
  <c r="BY70" i="1"/>
  <c r="BZ69" i="1"/>
  <c r="BY69" i="1"/>
  <c r="BX69" i="1" s="1"/>
  <c r="BZ68" i="1"/>
  <c r="BY68" i="1"/>
  <c r="BZ67" i="1"/>
  <c r="BY67" i="1"/>
  <c r="BZ66" i="1"/>
  <c r="BY66" i="1"/>
  <c r="BX66" i="1" s="1"/>
  <c r="BZ65" i="1"/>
  <c r="BY65" i="1"/>
  <c r="BX65" i="1" s="1"/>
  <c r="BZ64" i="1"/>
  <c r="BY64" i="1"/>
  <c r="BZ63" i="1"/>
  <c r="BY63" i="1"/>
  <c r="BZ62" i="1"/>
  <c r="BY62" i="1"/>
  <c r="BX62" i="1" s="1"/>
  <c r="BZ61" i="1"/>
  <c r="BY61" i="1"/>
  <c r="BZ60" i="1"/>
  <c r="BY60" i="1"/>
  <c r="BX60" i="1" s="1"/>
  <c r="BZ59" i="1"/>
  <c r="BY59" i="1"/>
  <c r="BX59" i="1" s="1"/>
  <c r="BZ58" i="1"/>
  <c r="BY58" i="1"/>
  <c r="BX58" i="1" s="1"/>
  <c r="BZ57" i="1"/>
  <c r="BY57" i="1"/>
  <c r="BZ56" i="1"/>
  <c r="BY56" i="1"/>
  <c r="BZ55" i="1"/>
  <c r="BY55" i="1"/>
  <c r="BX55" i="1"/>
  <c r="BZ54" i="1"/>
  <c r="BY54" i="1"/>
  <c r="BX54" i="1" s="1"/>
  <c r="BZ53" i="1"/>
  <c r="BY53" i="1"/>
  <c r="BX53" i="1" s="1"/>
  <c r="BZ52" i="1"/>
  <c r="BY52" i="1"/>
  <c r="BX52" i="1" s="1"/>
  <c r="BZ51" i="1"/>
  <c r="BY51" i="1"/>
  <c r="BX51" i="1" s="1"/>
  <c r="BZ50" i="1"/>
  <c r="BY50" i="1"/>
  <c r="BZ49" i="1"/>
  <c r="BY49" i="1"/>
  <c r="BX49" i="1" s="1"/>
  <c r="BZ48" i="1"/>
  <c r="BY48" i="1"/>
  <c r="BZ47" i="1"/>
  <c r="BY47" i="1"/>
  <c r="BX47" i="1" s="1"/>
  <c r="BZ46" i="1"/>
  <c r="BY46" i="1"/>
  <c r="BZ45" i="1"/>
  <c r="BY45" i="1"/>
  <c r="BX45" i="1" s="1"/>
  <c r="BZ44" i="1"/>
  <c r="BY44" i="1"/>
  <c r="BX44" i="1" s="1"/>
  <c r="BZ43" i="1"/>
  <c r="BY43" i="1"/>
  <c r="BX43" i="1" s="1"/>
  <c r="BZ42" i="1"/>
  <c r="BY42" i="1"/>
  <c r="BX42" i="1" s="1"/>
  <c r="BZ41" i="1"/>
  <c r="BY41" i="1"/>
  <c r="BZ40" i="1"/>
  <c r="BY40" i="1"/>
  <c r="BZ39" i="1"/>
  <c r="BY39" i="1"/>
  <c r="BX39" i="1" s="1"/>
  <c r="BZ38" i="1"/>
  <c r="BY38" i="1"/>
  <c r="BZ37" i="1"/>
  <c r="BY37" i="1"/>
  <c r="BZ36" i="1"/>
  <c r="BY36" i="1"/>
  <c r="BX36" i="1" s="1"/>
  <c r="BZ35" i="1"/>
  <c r="BY35" i="1"/>
  <c r="BX35" i="1" s="1"/>
  <c r="BZ34" i="1"/>
  <c r="BY34" i="1"/>
  <c r="BX34" i="1" s="1"/>
  <c r="BZ33" i="1"/>
  <c r="BY33" i="1"/>
  <c r="BX33" i="1" s="1"/>
  <c r="BZ32" i="1"/>
  <c r="BY32" i="1"/>
  <c r="BZ31" i="1"/>
  <c r="BY31" i="1"/>
  <c r="BZ30" i="1"/>
  <c r="BY30" i="1"/>
  <c r="BZ29" i="1"/>
  <c r="BY29" i="1"/>
  <c r="BX29" i="1" s="1"/>
  <c r="BZ28" i="1"/>
  <c r="BY28" i="1"/>
  <c r="BX28" i="1" s="1"/>
  <c r="BZ27" i="1"/>
  <c r="BY27" i="1"/>
  <c r="BX27" i="1" s="1"/>
  <c r="BZ26" i="1"/>
  <c r="BY26" i="1"/>
  <c r="BX26" i="1" s="1"/>
  <c r="BZ25" i="1"/>
  <c r="BY25" i="1"/>
  <c r="BX25" i="1" s="1"/>
  <c r="BZ24" i="1"/>
  <c r="BY24" i="1"/>
  <c r="BX24" i="1" s="1"/>
  <c r="BZ23" i="1"/>
  <c r="BY23" i="1"/>
  <c r="BX23" i="1" s="1"/>
  <c r="BZ22" i="1"/>
  <c r="BY22" i="1"/>
  <c r="BX22" i="1" s="1"/>
  <c r="BZ21" i="1"/>
  <c r="BY21" i="1"/>
  <c r="BX21" i="1" s="1"/>
  <c r="BZ20" i="1"/>
  <c r="BY20" i="1"/>
  <c r="BZ19" i="1"/>
  <c r="BY19" i="1"/>
  <c r="BZ18" i="1"/>
  <c r="BY18" i="1"/>
  <c r="BZ17" i="1"/>
  <c r="BY17" i="1"/>
  <c r="BZ16" i="1"/>
  <c r="BY16" i="1"/>
  <c r="BX16" i="1" s="1"/>
  <c r="BZ15" i="1"/>
  <c r="BY15" i="1"/>
  <c r="BZ14" i="1"/>
  <c r="BY14" i="1"/>
  <c r="BX14" i="1" s="1"/>
  <c r="BZ13" i="1"/>
  <c r="BY13" i="1"/>
  <c r="BX13" i="1" s="1"/>
  <c r="BZ12" i="1"/>
  <c r="BY12" i="1"/>
  <c r="BZ11" i="1"/>
  <c r="BY11" i="1"/>
  <c r="BX11" i="1" s="1"/>
  <c r="BZ10" i="1"/>
  <c r="BY10" i="1"/>
  <c r="BZ9" i="1"/>
  <c r="BY9" i="1"/>
  <c r="BX9" i="1" s="1"/>
  <c r="BZ8" i="1"/>
  <c r="BY8" i="1"/>
  <c r="BX8" i="1" s="1"/>
  <c r="BZ7" i="1"/>
  <c r="BY7" i="1"/>
  <c r="BZ6" i="1"/>
  <c r="BY6" i="1"/>
  <c r="BZ5" i="1"/>
  <c r="BY5" i="1"/>
  <c r="BZ4" i="1"/>
  <c r="BY4" i="1"/>
  <c r="BZ3" i="1"/>
  <c r="BY3" i="1"/>
  <c r="BX5" i="1"/>
  <c r="BX3" i="1"/>
  <c r="BZ2" i="1"/>
  <c r="BY2" i="1"/>
  <c r="BX2" i="1" s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BW4" i="1"/>
  <c r="BW3" i="1"/>
  <c r="BW2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U144" i="1" s="1"/>
  <c r="BV143" i="1"/>
  <c r="BU143" i="1" s="1"/>
  <c r="BV142" i="1"/>
  <c r="BU142" i="1" s="1"/>
  <c r="BV141" i="1"/>
  <c r="BU141" i="1" s="1"/>
  <c r="BV140" i="1"/>
  <c r="BU140" i="1" s="1"/>
  <c r="BV139" i="1"/>
  <c r="BU139" i="1" s="1"/>
  <c r="BV138" i="1"/>
  <c r="BU138" i="1" s="1"/>
  <c r="BV137" i="1"/>
  <c r="BU137" i="1" s="1"/>
  <c r="BV136" i="1"/>
  <c r="BU136" i="1" s="1"/>
  <c r="BV135" i="1"/>
  <c r="BU135" i="1" s="1"/>
  <c r="BV134" i="1"/>
  <c r="BU134" i="1" s="1"/>
  <c r="BV133" i="1"/>
  <c r="BU133" i="1" s="1"/>
  <c r="BV132" i="1"/>
  <c r="BU132" i="1" s="1"/>
  <c r="BV131" i="1"/>
  <c r="BV130" i="1"/>
  <c r="BU130" i="1" s="1"/>
  <c r="BV129" i="1"/>
  <c r="BU129" i="1" s="1"/>
  <c r="BV128" i="1"/>
  <c r="BU128" i="1" s="1"/>
  <c r="BV127" i="1"/>
  <c r="BU127" i="1" s="1"/>
  <c r="BV126" i="1"/>
  <c r="BU126" i="1" s="1"/>
  <c r="BV125" i="1"/>
  <c r="BU125" i="1" s="1"/>
  <c r="BV124" i="1"/>
  <c r="BU124" i="1" s="1"/>
  <c r="BV123" i="1"/>
  <c r="BU123" i="1" s="1"/>
  <c r="BV122" i="1"/>
  <c r="BU122" i="1" s="1"/>
  <c r="BV121" i="1"/>
  <c r="BU121" i="1" s="1"/>
  <c r="BV120" i="1"/>
  <c r="BU120" i="1" s="1"/>
  <c r="BV119" i="1"/>
  <c r="BU119" i="1" s="1"/>
  <c r="BV118" i="1"/>
  <c r="BU118" i="1" s="1"/>
  <c r="BV117" i="1"/>
  <c r="BU117" i="1" s="1"/>
  <c r="BV116" i="1"/>
  <c r="BU116" i="1" s="1"/>
  <c r="BV115" i="1"/>
  <c r="BU115" i="1" s="1"/>
  <c r="BV114" i="1"/>
  <c r="BU114" i="1" s="1"/>
  <c r="BV113" i="1"/>
  <c r="BU113" i="1" s="1"/>
  <c r="BV112" i="1"/>
  <c r="BU112" i="1" s="1"/>
  <c r="BV111" i="1"/>
  <c r="BU111" i="1" s="1"/>
  <c r="BV110" i="1"/>
  <c r="BU110" i="1" s="1"/>
  <c r="BV109" i="1"/>
  <c r="BU109" i="1" s="1"/>
  <c r="BV108" i="1"/>
  <c r="BU108" i="1" s="1"/>
  <c r="BV107" i="1"/>
  <c r="BU107" i="1" s="1"/>
  <c r="BV106" i="1"/>
  <c r="BU106" i="1" s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4" i="1"/>
  <c r="BV3" i="1"/>
  <c r="BV2" i="1"/>
  <c r="BX176" i="1" l="1"/>
  <c r="BX190" i="1"/>
  <c r="BX192" i="1"/>
  <c r="BX162" i="1"/>
  <c r="BX154" i="1"/>
  <c r="BX155" i="1"/>
  <c r="BX141" i="1"/>
  <c r="BX143" i="1"/>
  <c r="BX140" i="1"/>
  <c r="BX142" i="1"/>
  <c r="BX133" i="1"/>
  <c r="BX134" i="1"/>
  <c r="BX128" i="1"/>
  <c r="BX123" i="1"/>
  <c r="BX126" i="1"/>
  <c r="BX107" i="1"/>
  <c r="BX116" i="1"/>
  <c r="BX108" i="1"/>
  <c r="BX114" i="1"/>
  <c r="BX101" i="1"/>
  <c r="BX112" i="1"/>
  <c r="BX110" i="1"/>
  <c r="BX103" i="1"/>
  <c r="BX100" i="1"/>
  <c r="BX97" i="1"/>
  <c r="BX78" i="1"/>
  <c r="BX95" i="1"/>
  <c r="BX87" i="1"/>
  <c r="BX61" i="1"/>
  <c r="BX72" i="1"/>
  <c r="BX76" i="1"/>
  <c r="BX63" i="1"/>
  <c r="BX77" i="1"/>
  <c r="BX71" i="1"/>
  <c r="BX68" i="1"/>
  <c r="BX50" i="1"/>
  <c r="BX56" i="1"/>
  <c r="BX57" i="1"/>
  <c r="BX41" i="1"/>
  <c r="BX38" i="1"/>
  <c r="BX32" i="1"/>
  <c r="BX12" i="1"/>
  <c r="BX18" i="1"/>
  <c r="BX19" i="1"/>
  <c r="BX17" i="1"/>
  <c r="BX122" i="1"/>
  <c r="BX118" i="1"/>
  <c r="BX20" i="1"/>
  <c r="BX185" i="1"/>
  <c r="BX163" i="1"/>
  <c r="BX158" i="1"/>
  <c r="BX139" i="1"/>
  <c r="BX121" i="1"/>
  <c r="BU105" i="1"/>
  <c r="BU104" i="1"/>
  <c r="BU103" i="1"/>
  <c r="BU102" i="1"/>
  <c r="BU101" i="1"/>
  <c r="BU100" i="1"/>
  <c r="BU131" i="1"/>
  <c r="BX48" i="1"/>
  <c r="BU99" i="1"/>
  <c r="BU98" i="1"/>
  <c r="BU97" i="1"/>
  <c r="BU96" i="1"/>
  <c r="BU95" i="1"/>
  <c r="BU94" i="1"/>
  <c r="BU92" i="1"/>
  <c r="BU91" i="1"/>
  <c r="BU90" i="1"/>
  <c r="BU89" i="1"/>
  <c r="BU88" i="1"/>
  <c r="BU87" i="1"/>
  <c r="BU86" i="1"/>
  <c r="BU85" i="1"/>
  <c r="BU84" i="1"/>
  <c r="BX132" i="1"/>
  <c r="BX152" i="1"/>
  <c r="BX115" i="1"/>
  <c r="BX146" i="1"/>
  <c r="BX67" i="1"/>
  <c r="BX147" i="1"/>
  <c r="BX145" i="1"/>
  <c r="BX127" i="1"/>
  <c r="BX10" i="1"/>
  <c r="BX174" i="1"/>
  <c r="BX89" i="1"/>
  <c r="BX31" i="1"/>
  <c r="BU83" i="1"/>
  <c r="BU82" i="1"/>
  <c r="BU81" i="1"/>
  <c r="BX6" i="1"/>
  <c r="BX173" i="1"/>
  <c r="BX172" i="1"/>
  <c r="BX70" i="1"/>
  <c r="BX4" i="1"/>
  <c r="BX64" i="1"/>
  <c r="BX46" i="1"/>
  <c r="BU93" i="1"/>
  <c r="BU80" i="1"/>
  <c r="BU79" i="1"/>
  <c r="BU78" i="1"/>
  <c r="BU77" i="1"/>
  <c r="BU76" i="1"/>
  <c r="BU75" i="1"/>
  <c r="BU74" i="1"/>
  <c r="BU73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  <c r="BU2" i="1"/>
  <c r="BX170" i="1"/>
  <c r="BX7" i="1"/>
  <c r="BX30" i="1"/>
  <c r="BX179" i="1"/>
  <c r="BX191" i="1"/>
  <c r="BX40" i="1"/>
  <c r="BX148" i="1"/>
  <c r="BX187" i="1"/>
  <c r="BX160" i="1"/>
  <c r="BX111" i="1"/>
  <c r="BX37" i="1"/>
  <c r="BX159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X178" i="1"/>
  <c r="BX79" i="1"/>
  <c r="BX15" i="1"/>
  <c r="BX182" i="1"/>
  <c r="BX104" i="1"/>
  <c r="BU72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</calcChain>
</file>

<file path=xl/sharedStrings.xml><?xml version="1.0" encoding="utf-8"?>
<sst xmlns="http://schemas.openxmlformats.org/spreadsheetml/2006/main" count="1045" uniqueCount="292">
  <si>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</si>
  <si>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</si>
  <si>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</si>
  <si>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</si>
  <si>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</si>
  <si>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</si>
  <si>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</si>
  <si>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</si>
  <si>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</si>
  <si>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FG%</t>
  </si>
  <si>
    <t>2P%</t>
  </si>
  <si>
    <t>3P%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</si>
  <si>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</si>
  <si>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</si>
  <si>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</si>
  <si>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</si>
  <si>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</si>
  <si>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</si>
  <si>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</si>
  <si>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</si>
  <si>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</si>
  <si>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스틸</t>
  </si>
  <si>
    <t>평균 스틸</t>
  </si>
  <si>
    <t>블록</t>
  </si>
  <si>
    <t>평균 블록</t>
  </si>
  <si>
    <t>턴오버</t>
  </si>
  <si>
    <t>평균 턴오버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</si>
  <si>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</si>
  <si>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</si>
  <si>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</si>
  <si>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</si>
  <si>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</si>
  <si>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</si>
  <si>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</si>
  <si>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</si>
  <si>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</si>
  <si>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</si>
  <si>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</si>
  <si>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</si>
  <si>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</si>
  <si>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</si>
  <si>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</si>
  <si>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</si>
  <si>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</si>
  <si>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</si>
  <si>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</si>
  <si>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</si>
  <si>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</si>
  <si>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</si>
  <si>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</si>
  <si>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자밀 워니</t>
  </si>
  <si>
    <t>오세근</t>
  </si>
  <si>
    <t>최부경</t>
  </si>
  <si>
    <t>최원혁</t>
  </si>
  <si>
    <t>허일영</t>
  </si>
  <si>
    <t>오재현</t>
  </si>
  <si>
    <t>안영준</t>
  </si>
  <si>
    <t>김선형</t>
  </si>
  <si>
    <t>김형빈</t>
  </si>
  <si>
    <t>문가온</t>
  </si>
  <si>
    <t>하윤기</t>
  </si>
  <si>
    <t>문정현</t>
  </si>
  <si>
    <t>문성곤</t>
  </si>
  <si>
    <t>이두원</t>
  </si>
  <si>
    <t>한희원</t>
  </si>
  <si>
    <t>정성우</t>
  </si>
  <si>
    <t>최창진</t>
  </si>
  <si>
    <t>허훈</t>
  </si>
  <si>
    <t>이현석</t>
  </si>
  <si>
    <t>최성모</t>
  </si>
  <si>
    <t>이윤기</t>
  </si>
  <si>
    <t>박찬호</t>
  </si>
  <si>
    <t>박준영</t>
  </si>
  <si>
    <t>이승현</t>
  </si>
  <si>
    <t>최준용</t>
  </si>
  <si>
    <t>이호현</t>
  </si>
  <si>
    <t>정창영</t>
  </si>
  <si>
    <t>송교창</t>
  </si>
  <si>
    <t>이근휘</t>
  </si>
  <si>
    <t>허웅</t>
  </si>
  <si>
    <t>여준형</t>
  </si>
  <si>
    <t>전준범</t>
  </si>
  <si>
    <t>김동현</t>
  </si>
  <si>
    <t>이주영</t>
  </si>
  <si>
    <t>함지훈</t>
  </si>
  <si>
    <t>장재석</t>
  </si>
  <si>
    <t>김준일</t>
  </si>
  <si>
    <t>김국찬</t>
  </si>
  <si>
    <t>박무빈</t>
  </si>
  <si>
    <t>최진수</t>
  </si>
  <si>
    <t>미구엘 안드레 옥존</t>
  </si>
  <si>
    <t>서명진</t>
  </si>
  <si>
    <t>김종규</t>
  </si>
  <si>
    <t>강상재</t>
  </si>
  <si>
    <t>박인웅</t>
  </si>
  <si>
    <t>최승욱</t>
  </si>
  <si>
    <t>이선 알바노</t>
  </si>
  <si>
    <t>서민수</t>
  </si>
  <si>
    <t>김영현</t>
  </si>
  <si>
    <t>이용우</t>
  </si>
  <si>
    <t>박승재</t>
  </si>
  <si>
    <t>김훈</t>
  </si>
  <si>
    <t>이윤수</t>
  </si>
  <si>
    <t>최승빈</t>
  </si>
  <si>
    <t>김진유</t>
  </si>
  <si>
    <t>최현민</t>
  </si>
  <si>
    <t>한호빈</t>
  </si>
  <si>
    <t>전성현</t>
  </si>
  <si>
    <t>박종하</t>
  </si>
  <si>
    <t>조은후</t>
  </si>
  <si>
    <t>이원석</t>
  </si>
  <si>
    <t>이동엽</t>
  </si>
  <si>
    <t>윤성원</t>
  </si>
  <si>
    <t>홍경기</t>
  </si>
  <si>
    <t>김한솔</t>
  </si>
  <si>
    <t>아셈 마레이</t>
  </si>
  <si>
    <t>유기상</t>
  </si>
  <si>
    <t>이재도</t>
  </si>
  <si>
    <t>저스틴 구탕</t>
  </si>
  <si>
    <t>정희재</t>
  </si>
  <si>
    <t>이관희</t>
  </si>
  <si>
    <t>박정현</t>
  </si>
  <si>
    <t>양준석</t>
  </si>
  <si>
    <t>정인덕</t>
  </si>
  <si>
    <t>이승우</t>
  </si>
  <si>
    <t>임동섭</t>
  </si>
  <si>
    <t>김준형</t>
  </si>
  <si>
    <t>한상혁</t>
  </si>
  <si>
    <t>앤드류 니콜슨</t>
  </si>
  <si>
    <t>차바위</t>
  </si>
  <si>
    <t>이대헌</t>
  </si>
  <si>
    <t>신승민</t>
  </si>
  <si>
    <t>박지훈</t>
  </si>
  <si>
    <t>신주영</t>
  </si>
  <si>
    <t>김낙현</t>
  </si>
  <si>
    <t>샘조세프 벨란겔</t>
  </si>
  <si>
    <t>양재혁</t>
  </si>
  <si>
    <t>이도헌</t>
  </si>
  <si>
    <t>김경원</t>
  </si>
  <si>
    <t>정효근</t>
  </si>
  <si>
    <t>정준원</t>
  </si>
  <si>
    <t>최성원</t>
  </si>
  <si>
    <t>배병준</t>
  </si>
  <si>
    <t>고찬혁</t>
  </si>
  <si>
    <t>나성호</t>
  </si>
  <si>
    <t>아이재아 힉스</t>
  </si>
  <si>
    <t>김태훈</t>
  </si>
  <si>
    <t>레이션 해먼즈</t>
  </si>
  <si>
    <t>조엘 카굴랑안</t>
  </si>
  <si>
    <t>박성재</t>
  </si>
  <si>
    <t>박지원</t>
  </si>
  <si>
    <t>최진광</t>
  </si>
  <si>
    <t>숀 롱</t>
  </si>
  <si>
    <t>김동준</t>
  </si>
  <si>
    <t>이대균</t>
  </si>
  <si>
    <t>조한진</t>
  </si>
  <si>
    <t>김보배</t>
  </si>
  <si>
    <t>정호영</t>
  </si>
  <si>
    <t>백승엽</t>
  </si>
  <si>
    <t>케빈 켐바오</t>
  </si>
  <si>
    <t>이근준</t>
  </si>
  <si>
    <t>정성조</t>
  </si>
  <si>
    <t>박진철</t>
  </si>
  <si>
    <t>서동원</t>
  </si>
  <si>
    <t>황영찬</t>
  </si>
  <si>
    <t>임동언</t>
  </si>
  <si>
    <t>칼 타마요</t>
  </si>
  <si>
    <t>대릴 먼로</t>
  </si>
  <si>
    <t>장민국</t>
  </si>
  <si>
    <t>최형찬</t>
  </si>
  <si>
    <t>전현우</t>
  </si>
  <si>
    <t>우동현</t>
  </si>
  <si>
    <t>손준</t>
  </si>
  <si>
    <t>박정웅</t>
  </si>
  <si>
    <t>변준형</t>
  </si>
  <si>
    <t>소준혁</t>
  </si>
  <si>
    <t>조니 오브라이언트</t>
  </si>
  <si>
    <t>한승희</t>
  </si>
  <si>
    <t>서울 SK</t>
  </si>
  <si>
    <t>수원 KT</t>
  </si>
  <si>
    <t>부산 KCC</t>
  </si>
  <si>
    <t>원주 DB</t>
  </si>
  <si>
    <t>고양 소노</t>
  </si>
  <si>
    <t>서울 삼성</t>
  </si>
  <si>
    <t>창원 LG</t>
  </si>
  <si>
    <t>구분</t>
    <phoneticPr fontId="1" type="noConversion"/>
  </si>
  <si>
    <t>연봉</t>
    <phoneticPr fontId="1" type="noConversion"/>
  </si>
  <si>
    <t>국내</t>
    <phoneticPr fontId="1" type="noConversion"/>
  </si>
  <si>
    <t>아시아쿼터</t>
    <phoneticPr fontId="1" type="noConversion"/>
  </si>
  <si>
    <t>외국인</t>
  </si>
  <si>
    <t>외국인</t>
    <phoneticPr fontId="1" type="noConversion"/>
  </si>
  <si>
    <t>2025-26</t>
    <phoneticPr fontId="1" type="noConversion"/>
  </si>
  <si>
    <t>헨리 엘런슨</t>
  </si>
  <si>
    <t>울산 모비스</t>
  </si>
  <si>
    <t>네이던 나이트</t>
  </si>
  <si>
    <t>데릭 윌리엄스</t>
  </si>
  <si>
    <t>케렘 칸터</t>
  </si>
  <si>
    <t>안양 정관장</t>
  </si>
  <si>
    <t>대구 한국가스공사</t>
  </si>
  <si>
    <t>라건아</t>
  </si>
  <si>
    <t>알빈 톨렌티노</t>
  </si>
  <si>
    <t>강성욱</t>
  </si>
  <si>
    <t>브라이스 워싱턴</t>
  </si>
  <si>
    <t>렌즈 아반도</t>
  </si>
  <si>
    <t>드완 에르난데스</t>
  </si>
  <si>
    <t>에삼 무스타파</t>
  </si>
  <si>
    <t>강지훈</t>
  </si>
  <si>
    <t>닉 퍼킨스</t>
  </si>
  <si>
    <t>마이클 에릭</t>
  </si>
  <si>
    <t>베니 보트라이트</t>
  </si>
  <si>
    <t>윤기찬</t>
  </si>
  <si>
    <t>양홍석</t>
  </si>
  <si>
    <t>이규태</t>
  </si>
  <si>
    <t>문유현</t>
  </si>
  <si>
    <t>윌리엄 나바로</t>
  </si>
  <si>
    <t>에디 다니엘</t>
  </si>
  <si>
    <t>존 이그부누</t>
  </si>
  <si>
    <t>윤원상</t>
  </si>
  <si>
    <t>양우혁</t>
  </si>
  <si>
    <t>제일린 존슨</t>
  </si>
  <si>
    <t>김건하</t>
  </si>
  <si>
    <t>김민규</t>
  </si>
  <si>
    <t>이유진</t>
  </si>
  <si>
    <t>이기디우스 모츠카비추스</t>
  </si>
  <si>
    <t>신동혁</t>
  </si>
  <si>
    <t>이대성</t>
  </si>
  <si>
    <t>에릭 로메로</t>
  </si>
  <si>
    <t>최강민</t>
  </si>
  <si>
    <t>이민서</t>
  </si>
  <si>
    <t>조나단 윌리엄스</t>
  </si>
  <si>
    <t>표승빈</t>
  </si>
  <si>
    <t>존킴웰 피게로아</t>
  </si>
  <si>
    <t>카이린 갤러웨이</t>
  </si>
  <si>
    <t>안성우</t>
  </si>
  <si>
    <t>망콕 마티앙</t>
  </si>
  <si>
    <t>박민재</t>
  </si>
  <si>
    <t>박정환</t>
  </si>
  <si>
    <t>김명진</t>
  </si>
  <si>
    <t>박준은</t>
  </si>
  <si>
    <t>김세창</t>
  </si>
  <si>
    <t>송한준</t>
  </si>
  <si>
    <t>프레디</t>
  </si>
  <si>
    <t>주현우</t>
  </si>
  <si>
    <t>김선우</t>
  </si>
  <si>
    <t>김휴범</t>
  </si>
  <si>
    <t>인승찬</t>
  </si>
  <si>
    <t>임정현</t>
  </si>
  <si>
    <t>강재민</t>
  </si>
  <si>
    <t>김준영</t>
  </si>
  <si>
    <t>강태현</t>
  </si>
  <si>
    <t>김윤성</t>
  </si>
  <si>
    <t>김준환</t>
  </si>
  <si>
    <t>김태완</t>
  </si>
  <si>
    <t>신지원</t>
  </si>
  <si>
    <t>이현호</t>
  </si>
  <si>
    <t>조석호</t>
  </si>
  <si>
    <t>포지션</t>
    <phoneticPr fontId="1" type="noConversion"/>
  </si>
  <si>
    <t>평균 FG 성공</t>
    <phoneticPr fontId="1" type="noConversion"/>
  </si>
  <si>
    <t>평균 FG 시도</t>
    <phoneticPr fontId="1" type="noConversion"/>
  </si>
  <si>
    <t>평균 2p 성공</t>
    <phoneticPr fontId="1" type="noConversion"/>
  </si>
  <si>
    <t>평균 2p 시도</t>
    <phoneticPr fontId="1" type="noConversion"/>
  </si>
  <si>
    <t>3P</t>
    <phoneticPr fontId="1" type="noConversion"/>
  </si>
  <si>
    <t>3PA</t>
    <phoneticPr fontId="1" type="noConversion"/>
  </si>
  <si>
    <t>평균 3p 성공</t>
    <phoneticPr fontId="1" type="noConversion"/>
  </si>
  <si>
    <t>평균 3p 시도</t>
    <phoneticPr fontId="1" type="noConversion"/>
  </si>
  <si>
    <t>FT</t>
    <phoneticPr fontId="1" type="noConversion"/>
  </si>
  <si>
    <t>FTA</t>
    <phoneticPr fontId="1" type="noConversion"/>
  </si>
  <si>
    <t>김건우1</t>
    <phoneticPr fontId="1" type="noConversion"/>
  </si>
  <si>
    <t>박지훈1</t>
    <phoneticPr fontId="1" type="noConversion"/>
  </si>
  <si>
    <t>이정현1</t>
    <phoneticPr fontId="1" type="noConversion"/>
  </si>
  <si>
    <t>이정현</t>
    <phoneticPr fontId="1" type="noConversion"/>
  </si>
  <si>
    <t>G</t>
  </si>
  <si>
    <t>C</t>
  </si>
  <si>
    <t>F</t>
  </si>
  <si>
    <t>G</t>
    <phoneticPr fontId="1" type="noConversion"/>
  </si>
  <si>
    <t>FGA</t>
    <phoneticPr fontId="1" type="noConversion"/>
  </si>
  <si>
    <t>FG</t>
    <phoneticPr fontId="1" type="noConversion"/>
  </si>
  <si>
    <t>2P</t>
    <phoneticPr fontId="1" type="noConversion"/>
  </si>
  <si>
    <t>평균 FT 성공</t>
    <phoneticPr fontId="1" type="noConversion"/>
  </si>
  <si>
    <t>KBL 공헌도</t>
    <phoneticPr fontId="1" type="noConversion"/>
  </si>
  <si>
    <t>KBL 공헌도_가점</t>
    <phoneticPr fontId="1" type="noConversion"/>
  </si>
  <si>
    <t>KBL 공헌도_감점</t>
    <phoneticPr fontId="1" type="noConversion"/>
  </si>
  <si>
    <t>KBL 공헌도/경기당</t>
    <phoneticPr fontId="1" type="noConversion"/>
  </si>
  <si>
    <t>KBL 공헌도_가점/경기당</t>
    <phoneticPr fontId="1" type="noConversion"/>
  </si>
  <si>
    <t>KBL 공헌도_감점/경기당</t>
    <phoneticPr fontId="1" type="noConversion"/>
  </si>
  <si>
    <t>승</t>
  </si>
  <si>
    <t>패</t>
  </si>
  <si>
    <t>KBL 공헌도/40분</t>
    <phoneticPr fontId="1" type="noConversion"/>
  </si>
  <si>
    <t>KBL 공헌도_가점/40분</t>
    <phoneticPr fontId="1" type="noConversion"/>
  </si>
  <si>
    <t>KBL 공헌도_감점/40분</t>
    <phoneticPr fontId="1" type="noConversion"/>
  </si>
  <si>
    <t>2PA</t>
  </si>
  <si>
    <t>평균 FT 시도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</si>
</sst>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#,##0_);[Red]\(#,##0\)"/>
    <numFmt numFmtId="177" formatCode="0_);[Red]\(0\)"/>
    <numFmt numFmtId="178" formatCode="0.00_);[Red]\(0.00\)"/>
    <numFmt numFmtId="179" formatCode="0.000_ "/>
    <numFmt numFmtId="180" formatCode="#,##0.000_);[Red]\(#,##0.000\)"/>
    <numFmt numFmtId="181" formatCode="0.000_);[Red]\(0.00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444444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0" fontId="8" fillId="0" borderId="0" xfId="1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176" fontId="8" fillId="3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81" fontId="8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0" fontId="8" fillId="0" borderId="0" xfId="1" applyNumberFormat="1" applyFont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3">
    <cellStyle name="백분율" xfId="1" builtinId="5"/>
    <cellStyle name="표준" xfId="0" builtinId="0"/>
    <cellStyle name="표준 2 8" xfId="2" xr:uid="{0C98966D-A9AE-4EB3-94F4-9942DFF677B3}"/>
  </cellStyles>
  <dxfs count="0"/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CB194"/>
  <sheetViews>
    <sheetView tabSelected="1" zoomScale="85" zoomScaleNormal="85" workbookViewId="0">
      <pane xSplit="3" ySplit="1" topLeftCell="CA167" activePane="bottomRight" state="frozen"/>
      <selection pane="topRight" activeCell="E1" sqref="E1"/>
      <selection pane="bottomLeft" activeCell="A2" sqref="A2"/>
      <selection pane="bottomRight" activeCell="CD184" sqref="CD184"/>
    </sheetView>
  </sheetViews>
  <sheetFormatPr defaultRowHeight="17.399999999999999" x14ac:dyDescent="0.4"/>
  <cols>
    <col min="1" max="1" width="11.5" bestFit="1" customWidth="1"/>
    <col min="2" max="2" width="18.5" bestFit="1" customWidth="1"/>
    <col min="3" max="3" width="20" style="1" bestFit="1" customWidth="1"/>
    <col min="4" max="4" width="7.09765625" bestFit="1" customWidth="1"/>
    <col min="5" max="5" width="6.19921875" bestFit="1" customWidth="1"/>
    <col min="6" max="6" width="17" style="2" bestFit="1" customWidth="1"/>
    <col min="7" max="7" width="9.19921875" style="2" bestFit="1" customWidth="1"/>
    <col min="8" max="8" width="13.59765625" style="3" bestFit="1" customWidth="1"/>
    <col min="9" max="9" width="9" style="2" bestFit="1" customWidth="1"/>
    <col min="10" max="10" width="16.69921875" style="3" bestFit="1" customWidth="1"/>
    <col min="11" max="11" width="7.69921875" bestFit="1" customWidth="1"/>
    <col min="12" max="12" width="16.69921875" style="3" bestFit="1" customWidth="1"/>
    <col min="13" max="13" width="9.3984375" style="3" bestFit="1" customWidth="1"/>
    <col min="14" max="14" width="8.8984375" bestFit="1" customWidth="1"/>
    <col min="15" max="15" width="16.59765625" style="3" bestFit="1" customWidth="1"/>
    <col min="16" max="16" width="7.59765625" bestFit="1" customWidth="1"/>
    <col min="17" max="17" width="16.59765625" style="3" bestFit="1" customWidth="1"/>
    <col min="18" max="18" width="10.8984375" style="3" customWidth="1"/>
    <col min="19" max="19" width="8.8984375" bestFit="1" customWidth="1"/>
    <col min="20" max="20" width="16.59765625" style="3" bestFit="1" customWidth="1"/>
    <col min="21" max="21" width="7.59765625" bestFit="1" customWidth="1"/>
    <col min="22" max="22" width="16.59765625" style="3" bestFit="1" customWidth="1"/>
    <col min="23" max="23" width="9.19921875" style="3" bestFit="1" customWidth="1"/>
    <col min="24" max="24" width="8.59765625" bestFit="1" customWidth="1"/>
    <col min="25" max="25" width="16.3984375" style="3" bestFit="1" customWidth="1"/>
    <col min="26" max="26" width="7.3984375" bestFit="1" customWidth="1"/>
    <col min="27" max="27" width="16.3984375" style="3" bestFit="1" customWidth="1"/>
    <col min="28" max="28" width="9" style="3" bestFit="1" customWidth="1"/>
    <col min="29" max="29" width="13" bestFit="1" customWidth="1"/>
    <col min="30" max="30" width="17.69921875" style="3" bestFit="1" customWidth="1"/>
    <col min="31" max="31" width="17.69921875" bestFit="1" customWidth="1"/>
    <col min="32" max="32" width="22.59765625" style="3" bestFit="1" customWidth="1"/>
    <col min="33" max="33" width="17.69921875" bestFit="1" customWidth="1"/>
    <col min="34" max="34" width="22.59765625" style="3" bestFit="1" customWidth="1"/>
    <col min="35" max="35" width="13" bestFit="1" customWidth="1"/>
    <col min="36" max="36" width="17.69921875" style="3" bestFit="1" customWidth="1"/>
    <col min="37" max="37" width="9.19921875" bestFit="1" customWidth="1"/>
    <col min="38" max="38" width="13.59765625" style="3" bestFit="1" customWidth="1"/>
    <col min="39" max="39" width="9.19921875" bestFit="1" customWidth="1"/>
    <col min="40" max="40" width="13.59765625" style="3" bestFit="1" customWidth="1"/>
    <col min="41" max="41" width="11.09765625" bestFit="1" customWidth="1"/>
    <col min="42" max="42" width="15.59765625" style="3" bestFit="1" customWidth="1"/>
    <col min="43" max="43" width="9.19921875" bestFit="1" customWidth="1"/>
    <col min="44" max="44" width="13.59765625" style="3" bestFit="1" customWidth="1"/>
    <col min="45" max="45" width="11.59765625" customWidth="1"/>
    <col min="46" max="46" width="11" bestFit="1" customWidth="1"/>
    <col min="47" max="47" width="17.3984375" bestFit="1" customWidth="1"/>
    <col min="48" max="48" width="17.59765625" bestFit="1" customWidth="1"/>
    <col min="49" max="49" width="19.8984375" bestFit="1" customWidth="1"/>
    <col min="50" max="50" width="20.09765625" bestFit="1" customWidth="1"/>
    <col min="51" max="51" width="8.69921875" bestFit="1" customWidth="1"/>
    <col min="52" max="52" width="9.8984375" customWidth="1"/>
    <col min="53" max="53" width="11" bestFit="1" customWidth="1"/>
    <col min="54" max="54" width="9.09765625" bestFit="1" customWidth="1"/>
    <col min="55" max="55" width="10.3984375" bestFit="1" customWidth="1"/>
    <col min="56" max="56" width="10.8984375" bestFit="1" customWidth="1"/>
    <col min="57" max="57" width="9.5" bestFit="1" customWidth="1"/>
    <col min="58" max="58" width="8.5" bestFit="1" customWidth="1"/>
    <col min="59" max="59" width="10.8984375" bestFit="1" customWidth="1"/>
    <col min="60" max="60" width="10.69921875" bestFit="1" customWidth="1"/>
    <col min="61" max="62" width="10.3984375" bestFit="1" customWidth="1"/>
    <col min="63" max="63" width="10" bestFit="1" customWidth="1"/>
    <col min="64" max="64" width="9.19921875" bestFit="1" customWidth="1"/>
    <col min="65" max="65" width="10.8984375" bestFit="1" customWidth="1"/>
    <col min="66" max="66" width="11" bestFit="1" customWidth="1"/>
    <col min="67" max="67" width="9.19921875" bestFit="1" customWidth="1"/>
    <col min="69" max="69" width="16.3984375" bestFit="1" customWidth="1"/>
    <col min="70" max="70" width="10.8984375" style="29" bestFit="1" customWidth="1"/>
    <col min="71" max="72" width="15.69921875" style="29" bestFit="1" customWidth="1"/>
    <col min="73" max="73" width="17.59765625" bestFit="1" customWidth="1"/>
    <col min="74" max="75" width="22.5" bestFit="1" customWidth="1"/>
    <col min="76" max="78" width="20.59765625" bestFit="1" customWidth="1"/>
    <col min="79" max="79" width="7" style="29" customWidth="1"/>
    <col min="80" max="80" width="5.69921875" style="29" customWidth="1"/>
  </cols>
  <sheetData>
    <row r="1" spans="1:80" ht="18" thickBot="1" x14ac:dyDescent="0.45">
      <c r="A1" s="12" t="s">
        <v>0</v>
      </c>
      <c r="B1" s="12" t="s">
        <v>1</v>
      </c>
      <c r="C1" s="12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1" t="s">
        <v>7</v>
      </c>
      <c r="I1" s="12" t="s">
        <v>8</v>
      </c>
      <c r="J1" s="20" t="s">
        <v>276</v>
      </c>
      <c r="K1" s="20" t="s">
        <v>275</v>
      </c>
      <c r="L1" s="12" t="s">
        <v>257</v>
      </c>
      <c r="M1" s="12" t="s">
        <v>258</v>
      </c>
      <c r="N1" s="12" t="s">
        <v>9</v>
      </c>
      <c r="O1" s="19" t="s">
        <v>277</v>
      </c>
      <c r="P1" s="19" t="s">
        <v>290</v>
      </c>
      <c r="Q1" s="12" t="s">
        <v>259</v>
      </c>
      <c r="R1" s="12" t="s">
        <v>260</v>
      </c>
      <c r="S1" s="12" t="s">
        <v>10</v>
      </c>
      <c r="T1" s="19" t="s">
        <v>261</v>
      </c>
      <c r="U1" s="19" t="s">
        <v>262</v>
      </c>
      <c r="V1" s="12" t="s">
        <v>263</v>
      </c>
      <c r="W1" s="12" t="s">
        <v>264</v>
      </c>
      <c r="X1" s="12" t="s">
        <v>11</v>
      </c>
      <c r="Y1" s="19" t="s">
        <v>265</v>
      </c>
      <c r="Z1" s="19" t="s">
        <v>266</v>
      </c>
      <c r="AA1" s="12" t="s">
        <v>278</v>
      </c>
      <c r="AB1" s="12" t="s">
        <v>291</v>
      </c>
      <c r="AC1" s="12" t="s">
        <v>12</v>
      </c>
      <c r="AD1" s="19" t="s">
        <v>13</v>
      </c>
      <c r="AE1" s="12" t="s">
        <v>14</v>
      </c>
      <c r="AF1" s="19" t="s">
        <v>15</v>
      </c>
      <c r="AG1" s="12" t="s">
        <v>16</v>
      </c>
      <c r="AH1" s="19" t="s">
        <v>17</v>
      </c>
      <c r="AI1" s="12" t="s">
        <v>18</v>
      </c>
      <c r="AJ1" s="19" t="s">
        <v>19</v>
      </c>
      <c r="AK1" s="12" t="s">
        <v>20</v>
      </c>
      <c r="AL1" s="19" t="s">
        <v>21</v>
      </c>
      <c r="AM1" s="12" t="s">
        <v>22</v>
      </c>
      <c r="AN1" s="19" t="s">
        <v>23</v>
      </c>
      <c r="AO1" s="12" t="s">
        <v>24</v>
      </c>
      <c r="AP1" s="19" t="s">
        <v>25</v>
      </c>
      <c r="AQ1" s="12" t="s">
        <v>26</v>
      </c>
      <c r="AR1" s="19" t="s">
        <v>27</v>
      </c>
      <c r="AS1" s="12" t="s">
        <v>28</v>
      </c>
      <c r="AT1" s="12" t="s">
        <v>29</v>
      </c>
      <c r="AU1" s="12" t="s">
        <v>30</v>
      </c>
      <c r="AV1" s="12" t="s">
        <v>31</v>
      </c>
      <c r="AW1" s="12" t="s">
        <v>32</v>
      </c>
      <c r="AX1" s="12" t="s">
        <v>33</v>
      </c>
      <c r="AY1" s="12" t="s">
        <v>34</v>
      </c>
      <c r="AZ1" s="12" t="s">
        <v>35</v>
      </c>
      <c r="BA1" s="12" t="s">
        <v>36</v>
      </c>
      <c r="BB1" s="12" t="s">
        <v>37</v>
      </c>
      <c r="BC1" s="12" t="s">
        <v>38</v>
      </c>
      <c r="BD1" s="12" t="s">
        <v>39</v>
      </c>
      <c r="BE1" s="12" t="s">
        <v>40</v>
      </c>
      <c r="BF1" s="12" t="s">
        <v>41</v>
      </c>
      <c r="BG1" s="12" t="s">
        <v>42</v>
      </c>
      <c r="BH1" s="12" t="s">
        <v>43</v>
      </c>
      <c r="BI1" s="12" t="s">
        <v>44</v>
      </c>
      <c r="BJ1" s="12" t="s">
        <v>45</v>
      </c>
      <c r="BK1" s="12" t="s">
        <v>46</v>
      </c>
      <c r="BL1" s="12" t="s">
        <v>47</v>
      </c>
      <c r="BM1" s="12" t="s">
        <v>48</v>
      </c>
      <c r="BN1" s="12" t="s">
        <v>49</v>
      </c>
      <c r="BO1" s="12" t="s">
        <v>185</v>
      </c>
      <c r="BP1" s="12" t="s">
        <v>186</v>
      </c>
      <c r="BQ1" s="12" t="s">
        <v>256</v>
      </c>
      <c r="BR1" s="25" t="s">
        <v>279</v>
      </c>
      <c r="BS1" s="25" t="s">
        <v>280</v>
      </c>
      <c r="BT1" s="25" t="s">
        <v>281</v>
      </c>
      <c r="BU1" s="25" t="s">
        <v>282</v>
      </c>
      <c r="BV1" s="25" t="s">
        <v>283</v>
      </c>
      <c r="BW1" s="25" t="s">
        <v>284</v>
      </c>
      <c r="BX1" s="25" t="s">
        <v>287</v>
      </c>
      <c r="BY1" s="25" t="s">
        <v>288</v>
      </c>
      <c r="BZ1" s="25" t="s">
        <v>289</v>
      </c>
      <c r="CA1" s="25" t="s">
        <v>285</v>
      </c>
      <c r="CB1" s="25" t="s">
        <v>286</v>
      </c>
    </row>
    <row r="2" spans="1:80" ht="18" thickTop="1" x14ac:dyDescent="0.4">
      <c r="A2" s="12" t="s">
        <v>191</v>
      </c>
      <c r="B2" s="12" t="s">
        <v>182</v>
      </c>
      <c r="C2" s="4" t="s">
        <v>206</v>
      </c>
      <c r="D2" s="22">
        <v>38</v>
      </c>
      <c r="E2" s="22">
        <v>20</v>
      </c>
      <c r="F2" s="22">
        <v>7</v>
      </c>
      <c r="G2" s="10">
        <v>45860</v>
      </c>
      <c r="H2" s="5">
        <v>291</v>
      </c>
      <c r="I2" s="17">
        <f t="shared" ref="I2:I33" si="0">H2/$D2</f>
        <v>7.6578947368421053</v>
      </c>
      <c r="J2" s="7">
        <v>120</v>
      </c>
      <c r="K2" s="7">
        <v>264</v>
      </c>
      <c r="L2" s="17">
        <f t="shared" ref="L2:L33" si="1">J2/$D2</f>
        <v>3.1578947368421053</v>
      </c>
      <c r="M2" s="17">
        <f t="shared" ref="M2:M33" si="2">K2/$D2</f>
        <v>6.9473684210526319</v>
      </c>
      <c r="N2" s="33">
        <f t="shared" ref="N2:N33" si="3">J2/K2</f>
        <v>0.45454545454545453</v>
      </c>
      <c r="O2" s="12">
        <v>76</v>
      </c>
      <c r="P2" s="12">
        <v>127</v>
      </c>
      <c r="Q2" s="17">
        <f t="shared" ref="Q2:Q33" si="4">O2/$D2</f>
        <v>2</v>
      </c>
      <c r="R2" s="17">
        <f t="shared" ref="R2:R33" si="5">P2/$D2</f>
        <v>3.3421052631578947</v>
      </c>
      <c r="S2" s="33">
        <f t="shared" ref="S2:S33" si="6">O2/P2</f>
        <v>0.59842519685039375</v>
      </c>
      <c r="T2" s="12">
        <v>44</v>
      </c>
      <c r="U2" s="12">
        <v>137</v>
      </c>
      <c r="V2" s="17">
        <f t="shared" ref="V2:V33" si="7">T2/$D2</f>
        <v>1.1578947368421053</v>
      </c>
      <c r="W2" s="17">
        <f t="shared" ref="W2:W33" si="8">U2/$D2</f>
        <v>3.6052631578947367</v>
      </c>
      <c r="X2" s="33">
        <f t="shared" ref="X2:X33" si="9">T2/U2</f>
        <v>0.32116788321167883</v>
      </c>
      <c r="Y2" s="12">
        <v>7</v>
      </c>
      <c r="Z2" s="12">
        <v>12</v>
      </c>
      <c r="AA2" s="17">
        <f t="shared" ref="AA2:AA33" si="10">Y2/$D2</f>
        <v>0.18421052631578946</v>
      </c>
      <c r="AB2" s="17">
        <f t="shared" ref="AB2:AB33" si="11">Z2/$D2</f>
        <v>0.31578947368421051</v>
      </c>
      <c r="AC2" s="33">
        <f t="shared" ref="AC2:AC33" si="12">Y2/Z2</f>
        <v>0.58333333333333337</v>
      </c>
      <c r="AD2" s="11">
        <v>121</v>
      </c>
      <c r="AE2" s="17">
        <f t="shared" ref="AE2:AE33" si="13">AD2/$D2</f>
        <v>3.1842105263157894</v>
      </c>
      <c r="AF2" s="12">
        <v>27</v>
      </c>
      <c r="AG2" s="17">
        <f t="shared" ref="AG2:AG33" si="14">AF2/$D2</f>
        <v>0.71052631578947367</v>
      </c>
      <c r="AH2" s="12">
        <v>94</v>
      </c>
      <c r="AI2" s="17">
        <f t="shared" ref="AI2:AI33" si="15">AH2/$D2</f>
        <v>2.4736842105263159</v>
      </c>
      <c r="AJ2" s="12">
        <v>16</v>
      </c>
      <c r="AK2" s="17">
        <f t="shared" ref="AK2:AK33" si="16">AJ2/$D2</f>
        <v>0.42105263157894735</v>
      </c>
      <c r="AL2" s="12">
        <v>13</v>
      </c>
      <c r="AM2" s="17">
        <f t="shared" ref="AM2:AM33" si="17">AL2/$D2</f>
        <v>0.34210526315789475</v>
      </c>
      <c r="AN2" s="12">
        <v>13</v>
      </c>
      <c r="AO2" s="17">
        <f t="shared" ref="AO2:AO33" si="18">AN2/$D2</f>
        <v>0.34210526315789475</v>
      </c>
      <c r="AP2" s="12">
        <v>19</v>
      </c>
      <c r="AQ2" s="17">
        <f t="shared" ref="AQ2:AQ33" si="19">AP2/$D2</f>
        <v>0.5</v>
      </c>
      <c r="AR2" s="12">
        <v>50</v>
      </c>
      <c r="AS2" s="17">
        <f t="shared" ref="AS2:AS33" si="20">AR2/$D2</f>
        <v>1.3157894736842106</v>
      </c>
      <c r="AT2" s="13">
        <v>1.1302680600209158</v>
      </c>
      <c r="AU2" s="13">
        <v>5.9142793006806749E-2</v>
      </c>
      <c r="AV2" s="13">
        <v>0.74179714087273418</v>
      </c>
      <c r="AW2" s="13">
        <v>0.38847091914818171</v>
      </c>
      <c r="AX2" s="13">
        <v>107.94010381594828</v>
      </c>
      <c r="AY2" s="13">
        <v>109.52511370925825</v>
      </c>
      <c r="AZ2" s="13">
        <v>6.5663966651064678</v>
      </c>
      <c r="BA2" s="13">
        <v>7.5263157894736841</v>
      </c>
      <c r="BB2" s="13">
        <v>14.965333798456374</v>
      </c>
      <c r="BC2" s="14">
        <v>0.54032976827094481</v>
      </c>
      <c r="BD2" s="14">
        <v>0.53787878787878785</v>
      </c>
      <c r="BE2" s="13">
        <v>12.801406029088632</v>
      </c>
      <c r="BF2" s="14">
        <v>0.51893939393939392</v>
      </c>
      <c r="BG2" s="14">
        <v>4.5454545454545456E-2</v>
      </c>
      <c r="BH2" s="13">
        <v>2.8526475474714887</v>
      </c>
      <c r="BI2" s="13">
        <v>9.9314396097155555</v>
      </c>
      <c r="BJ2" s="13">
        <v>5.9716187713641142</v>
      </c>
      <c r="BK2" s="13">
        <v>2.3717465689968251</v>
      </c>
      <c r="BL2" s="13">
        <v>0.95824527332809029</v>
      </c>
      <c r="BM2" s="13">
        <v>1.3276431907861561</v>
      </c>
      <c r="BN2" s="13">
        <v>6.5908144859164706</v>
      </c>
      <c r="BO2" s="15" t="s">
        <v>187</v>
      </c>
      <c r="BP2" s="15">
        <v>400000</v>
      </c>
      <c r="BQ2" s="12" t="s">
        <v>272</v>
      </c>
      <c r="BR2" s="26">
        <v>500.88</v>
      </c>
      <c r="BS2" s="26">
        <v>668.08</v>
      </c>
      <c r="BT2" s="26">
        <v>167.2</v>
      </c>
      <c r="BU2" s="26">
        <f>BV2-BW2</f>
        <v>13.18105263157895</v>
      </c>
      <c r="BV2" s="26">
        <f>BS2/$D2</f>
        <v>17.581052631578949</v>
      </c>
      <c r="BW2" s="26">
        <f>BT2/$D2</f>
        <v>4.3999999999999995</v>
      </c>
      <c r="BX2" s="31">
        <f t="shared" ref="BX2:BX13" si="21">BY2-BZ2</f>
        <v>26.212647187091147</v>
      </c>
      <c r="BY2" s="31">
        <f t="shared" ref="BY2:BY13" si="22">BS2*2400/$G2</f>
        <v>34.96275621456607</v>
      </c>
      <c r="BZ2" s="31">
        <f t="shared" ref="BZ2:BZ13" si="23">BT2*2400/$G2</f>
        <v>8.7501090274749238</v>
      </c>
      <c r="CA2" s="34">
        <v>22</v>
      </c>
      <c r="CB2" s="34">
        <v>16</v>
      </c>
    </row>
    <row r="3" spans="1:80" x14ac:dyDescent="0.4">
      <c r="A3" s="12" t="s">
        <v>191</v>
      </c>
      <c r="B3" s="12" t="s">
        <v>182</v>
      </c>
      <c r="C3" s="4" t="s">
        <v>104</v>
      </c>
      <c r="D3" s="22">
        <v>42</v>
      </c>
      <c r="E3" s="22">
        <v>11</v>
      </c>
      <c r="F3" s="22">
        <v>28</v>
      </c>
      <c r="G3" s="10">
        <v>28880</v>
      </c>
      <c r="H3" s="5">
        <v>87</v>
      </c>
      <c r="I3" s="17">
        <f t="shared" si="0"/>
        <v>2.0714285714285716</v>
      </c>
      <c r="J3" s="7">
        <v>31</v>
      </c>
      <c r="K3" s="7">
        <v>96</v>
      </c>
      <c r="L3" s="17">
        <f t="shared" si="1"/>
        <v>0.73809523809523814</v>
      </c>
      <c r="M3" s="17">
        <f t="shared" si="2"/>
        <v>2.2857142857142856</v>
      </c>
      <c r="N3" s="33">
        <f t="shared" si="3"/>
        <v>0.32291666666666669</v>
      </c>
      <c r="O3" s="12">
        <v>14</v>
      </c>
      <c r="P3" s="12">
        <v>27</v>
      </c>
      <c r="Q3" s="17">
        <f t="shared" si="4"/>
        <v>0.33333333333333331</v>
      </c>
      <c r="R3" s="17">
        <f t="shared" si="5"/>
        <v>0.6428571428571429</v>
      </c>
      <c r="S3" s="33">
        <f t="shared" si="6"/>
        <v>0.51851851851851849</v>
      </c>
      <c r="T3" s="12">
        <v>17</v>
      </c>
      <c r="U3" s="12">
        <v>69</v>
      </c>
      <c r="V3" s="17">
        <f t="shared" si="7"/>
        <v>0.40476190476190477</v>
      </c>
      <c r="W3" s="17">
        <f t="shared" si="8"/>
        <v>1.6428571428571428</v>
      </c>
      <c r="X3" s="33">
        <f t="shared" si="9"/>
        <v>0.24637681159420291</v>
      </c>
      <c r="Y3" s="12">
        <v>8</v>
      </c>
      <c r="Z3" s="12">
        <v>12</v>
      </c>
      <c r="AA3" s="17">
        <f t="shared" si="10"/>
        <v>0.19047619047619047</v>
      </c>
      <c r="AB3" s="17">
        <f t="shared" si="11"/>
        <v>0.2857142857142857</v>
      </c>
      <c r="AC3" s="33">
        <f t="shared" si="12"/>
        <v>0.66666666666666663</v>
      </c>
      <c r="AD3" s="12">
        <v>80</v>
      </c>
      <c r="AE3" s="17">
        <f t="shared" si="13"/>
        <v>1.9047619047619047</v>
      </c>
      <c r="AF3" s="12">
        <v>40</v>
      </c>
      <c r="AG3" s="17">
        <f t="shared" si="14"/>
        <v>0.95238095238095233</v>
      </c>
      <c r="AH3" s="12">
        <v>40</v>
      </c>
      <c r="AI3" s="17">
        <f t="shared" si="15"/>
        <v>0.95238095238095233</v>
      </c>
      <c r="AJ3" s="12">
        <v>22</v>
      </c>
      <c r="AK3" s="17">
        <f t="shared" si="16"/>
        <v>0.52380952380952384</v>
      </c>
      <c r="AL3" s="12">
        <v>33</v>
      </c>
      <c r="AM3" s="17">
        <f t="shared" si="17"/>
        <v>0.7857142857142857</v>
      </c>
      <c r="AN3" s="12">
        <v>7</v>
      </c>
      <c r="AO3" s="17">
        <f t="shared" si="18"/>
        <v>0.16666666666666666</v>
      </c>
      <c r="AP3" s="12">
        <v>15</v>
      </c>
      <c r="AQ3" s="17">
        <f t="shared" si="19"/>
        <v>0.35714285714285715</v>
      </c>
      <c r="AR3" s="12">
        <v>92</v>
      </c>
      <c r="AS3" s="17">
        <f t="shared" si="20"/>
        <v>2.1904761904761907</v>
      </c>
      <c r="AT3" s="13">
        <v>0.59921848193941707</v>
      </c>
      <c r="AU3" s="13">
        <v>4.9768976905267194E-2</v>
      </c>
      <c r="AV3" s="13">
        <v>7.7948851678470793E-2</v>
      </c>
      <c r="AW3" s="13">
        <v>0.5212696302609463</v>
      </c>
      <c r="AX3" s="13">
        <v>99.575623433814442</v>
      </c>
      <c r="AY3" s="13">
        <v>104.39438524820159</v>
      </c>
      <c r="AZ3" s="13">
        <v>3.4979743086818127</v>
      </c>
      <c r="BA3" s="13">
        <v>3.4523809523809526</v>
      </c>
      <c r="BB3" s="13">
        <v>12.043189368770763</v>
      </c>
      <c r="BC3" s="14">
        <v>0.42950236966824645</v>
      </c>
      <c r="BD3" s="14">
        <v>0.41145833333333331</v>
      </c>
      <c r="BE3" s="13">
        <v>9.0587237140164749</v>
      </c>
      <c r="BF3" s="14">
        <v>0.71875</v>
      </c>
      <c r="BG3" s="14">
        <v>0.125</v>
      </c>
      <c r="BH3" s="13">
        <v>7.4141808565850287</v>
      </c>
      <c r="BI3" s="13">
        <v>7.4141808565850287</v>
      </c>
      <c r="BJ3" s="13">
        <v>6.9265268662660828</v>
      </c>
      <c r="BK3" s="13">
        <v>5.2140938536893664</v>
      </c>
      <c r="BL3" s="13">
        <v>3.8610054208018796</v>
      </c>
      <c r="BM3" s="13">
        <v>1.2541656215286487</v>
      </c>
      <c r="BN3" s="13">
        <v>12.899896800825593</v>
      </c>
      <c r="BO3" s="15" t="s">
        <v>187</v>
      </c>
      <c r="BP3" s="15">
        <v>110000</v>
      </c>
      <c r="BQ3" s="12" t="s">
        <v>271</v>
      </c>
      <c r="BR3" s="26">
        <v>311.33</v>
      </c>
      <c r="BS3" s="27">
        <v>396.83</v>
      </c>
      <c r="BT3" s="27">
        <v>85.5</v>
      </c>
      <c r="BU3" s="26">
        <f t="shared" ref="BU3:BU66" si="24">BV3-BW3</f>
        <v>7.4126190476190468</v>
      </c>
      <c r="BV3" s="26">
        <f t="shared" ref="BV3:BW66" si="25">BS3/$D3</f>
        <v>9.4483333333333324</v>
      </c>
      <c r="BW3" s="26">
        <f t="shared" si="25"/>
        <v>2.0357142857142856</v>
      </c>
      <c r="BX3" s="31">
        <f t="shared" si="21"/>
        <v>25.872299168975072</v>
      </c>
      <c r="BY3" s="31">
        <f t="shared" si="22"/>
        <v>32.977562326869808</v>
      </c>
      <c r="BZ3" s="31">
        <f t="shared" si="23"/>
        <v>7.1052631578947372</v>
      </c>
      <c r="CA3" s="34">
        <v>22</v>
      </c>
      <c r="CB3" s="34">
        <v>20</v>
      </c>
    </row>
    <row r="4" spans="1:80" x14ac:dyDescent="0.4">
      <c r="A4" s="12" t="s">
        <v>191</v>
      </c>
      <c r="B4" s="12" t="s">
        <v>182</v>
      </c>
      <c r="C4" s="12" t="s">
        <v>194</v>
      </c>
      <c r="D4" s="11">
        <v>54</v>
      </c>
      <c r="E4" s="11">
        <v>30</v>
      </c>
      <c r="F4" s="11">
        <v>38</v>
      </c>
      <c r="G4" s="10">
        <v>99253</v>
      </c>
      <c r="H4" s="7">
        <v>974</v>
      </c>
      <c r="I4" s="17">
        <f t="shared" si="0"/>
        <v>18.037037037037038</v>
      </c>
      <c r="J4" s="7">
        <v>342</v>
      </c>
      <c r="K4" s="7">
        <v>702</v>
      </c>
      <c r="L4" s="17">
        <f t="shared" si="1"/>
        <v>6.333333333333333</v>
      </c>
      <c r="M4" s="17">
        <f t="shared" si="2"/>
        <v>13</v>
      </c>
      <c r="N4" s="33">
        <f t="shared" si="3"/>
        <v>0.48717948717948717</v>
      </c>
      <c r="O4" s="5">
        <v>286</v>
      </c>
      <c r="P4" s="7">
        <v>518</v>
      </c>
      <c r="Q4" s="17">
        <f t="shared" si="4"/>
        <v>5.2962962962962967</v>
      </c>
      <c r="R4" s="17">
        <f t="shared" si="5"/>
        <v>9.5925925925925934</v>
      </c>
      <c r="S4" s="33">
        <f t="shared" si="6"/>
        <v>0.55212355212355213</v>
      </c>
      <c r="T4" s="7">
        <v>56</v>
      </c>
      <c r="U4" s="7">
        <v>184</v>
      </c>
      <c r="V4" s="17">
        <f t="shared" si="7"/>
        <v>1.037037037037037</v>
      </c>
      <c r="W4" s="17">
        <f t="shared" si="8"/>
        <v>3.4074074074074074</v>
      </c>
      <c r="X4" s="33">
        <f t="shared" si="9"/>
        <v>0.30434782608695654</v>
      </c>
      <c r="Y4" s="5">
        <v>234</v>
      </c>
      <c r="Z4" s="5">
        <v>357</v>
      </c>
      <c r="AA4" s="17">
        <f t="shared" si="10"/>
        <v>4.333333333333333</v>
      </c>
      <c r="AB4" s="17">
        <f t="shared" si="11"/>
        <v>6.6111111111111107</v>
      </c>
      <c r="AC4" s="33">
        <f t="shared" si="12"/>
        <v>0.65546218487394958</v>
      </c>
      <c r="AD4" s="11">
        <v>615</v>
      </c>
      <c r="AE4" s="17">
        <f t="shared" si="13"/>
        <v>11.388888888888889</v>
      </c>
      <c r="AF4" s="12">
        <v>206</v>
      </c>
      <c r="AG4" s="17">
        <f t="shared" si="14"/>
        <v>3.8148148148148149</v>
      </c>
      <c r="AH4" s="7">
        <v>409</v>
      </c>
      <c r="AI4" s="17">
        <f t="shared" si="15"/>
        <v>7.5740740740740744</v>
      </c>
      <c r="AJ4" s="7">
        <v>132</v>
      </c>
      <c r="AK4" s="17">
        <f t="shared" si="16"/>
        <v>2.4444444444444446</v>
      </c>
      <c r="AL4" s="7">
        <v>56</v>
      </c>
      <c r="AM4" s="17">
        <f t="shared" si="17"/>
        <v>1.037037037037037</v>
      </c>
      <c r="AN4" s="7">
        <v>49</v>
      </c>
      <c r="AO4" s="17">
        <f t="shared" si="18"/>
        <v>0.90740740740740744</v>
      </c>
      <c r="AP4" s="7">
        <v>137</v>
      </c>
      <c r="AQ4" s="17">
        <f t="shared" si="19"/>
        <v>2.5370370370370372</v>
      </c>
      <c r="AR4" s="7">
        <v>149</v>
      </c>
      <c r="AS4" s="17">
        <f t="shared" si="20"/>
        <v>2.7592592592592591</v>
      </c>
      <c r="AT4" s="13">
        <v>6.2579585086624245</v>
      </c>
      <c r="AU4" s="13">
        <v>0.15132289949612923</v>
      </c>
      <c r="AV4" s="13">
        <v>3.9055013010504029</v>
      </c>
      <c r="AW4" s="13">
        <v>2.3524572076120216</v>
      </c>
      <c r="AX4" s="13">
        <v>111.74393963082684</v>
      </c>
      <c r="AY4" s="13">
        <v>101.35859014487406</v>
      </c>
      <c r="AZ4" s="13">
        <v>17.643350691200133</v>
      </c>
      <c r="BA4" s="13">
        <v>22.333333333333332</v>
      </c>
      <c r="BB4" s="13">
        <v>29.162132752992381</v>
      </c>
      <c r="BC4" s="14">
        <v>0.56688550542440752</v>
      </c>
      <c r="BD4" s="14">
        <v>0.52706552706552712</v>
      </c>
      <c r="BE4" s="13">
        <v>29.04685670987211</v>
      </c>
      <c r="BF4" s="14">
        <v>0.2621082621082621</v>
      </c>
      <c r="BG4" s="14">
        <v>0.50854700854700852</v>
      </c>
      <c r="BH4" s="13">
        <v>14.292668994043565</v>
      </c>
      <c r="BI4" s="13">
        <v>28.377192323125328</v>
      </c>
      <c r="BJ4" s="13">
        <v>19.931665177193313</v>
      </c>
      <c r="BK4" s="13">
        <v>15.207081277241221</v>
      </c>
      <c r="BL4" s="13">
        <v>1.9075369545446914</v>
      </c>
      <c r="BM4" s="13">
        <v>3.2862141639183746</v>
      </c>
      <c r="BN4" s="13">
        <v>13.753915348164805</v>
      </c>
      <c r="BO4" s="15" t="s">
        <v>189</v>
      </c>
      <c r="BP4" s="15">
        <v>48000</v>
      </c>
      <c r="BQ4" s="12" t="s">
        <v>272</v>
      </c>
      <c r="BR4" s="26">
        <v>1766.45</v>
      </c>
      <c r="BS4" s="27">
        <v>2417.5500000000002</v>
      </c>
      <c r="BT4" s="27">
        <v>651.1</v>
      </c>
      <c r="BU4" s="26">
        <f t="shared" si="24"/>
        <v>32.712037037037035</v>
      </c>
      <c r="BV4" s="26">
        <f t="shared" si="25"/>
        <v>44.769444444444446</v>
      </c>
      <c r="BW4" s="26">
        <f t="shared" si="25"/>
        <v>12.057407407407409</v>
      </c>
      <c r="BX4" s="31">
        <f t="shared" si="21"/>
        <v>42.713872628535157</v>
      </c>
      <c r="BY4" s="31">
        <f t="shared" si="22"/>
        <v>58.457880366336532</v>
      </c>
      <c r="BZ4" s="31">
        <f t="shared" si="23"/>
        <v>15.744007737801375</v>
      </c>
      <c r="CA4" s="34">
        <v>28</v>
      </c>
      <c r="CB4" s="34">
        <v>26</v>
      </c>
    </row>
    <row r="5" spans="1:80" x14ac:dyDescent="0.4">
      <c r="A5" s="12" t="s">
        <v>191</v>
      </c>
      <c r="B5" s="12" t="s">
        <v>182</v>
      </c>
      <c r="C5" s="4" t="s">
        <v>108</v>
      </c>
      <c r="D5" s="22">
        <v>11</v>
      </c>
      <c r="E5" s="22">
        <v>2</v>
      </c>
      <c r="F5" s="22">
        <v>0</v>
      </c>
      <c r="G5" s="10">
        <v>1319</v>
      </c>
      <c r="H5" s="5">
        <v>7</v>
      </c>
      <c r="I5" s="17">
        <f t="shared" si="0"/>
        <v>0.63636363636363635</v>
      </c>
      <c r="J5" s="7">
        <v>2</v>
      </c>
      <c r="K5" s="7">
        <v>11</v>
      </c>
      <c r="L5" s="17">
        <f t="shared" si="1"/>
        <v>0.18181818181818182</v>
      </c>
      <c r="M5" s="17">
        <f t="shared" si="2"/>
        <v>1</v>
      </c>
      <c r="N5" s="33">
        <f t="shared" si="3"/>
        <v>0.18181818181818182</v>
      </c>
      <c r="O5" s="12">
        <v>0</v>
      </c>
      <c r="P5" s="12">
        <v>1</v>
      </c>
      <c r="Q5" s="17">
        <f t="shared" si="4"/>
        <v>0</v>
      </c>
      <c r="R5" s="17">
        <f t="shared" si="5"/>
        <v>9.0909090909090912E-2</v>
      </c>
      <c r="S5" s="33">
        <f t="shared" si="6"/>
        <v>0</v>
      </c>
      <c r="T5" s="12">
        <v>2</v>
      </c>
      <c r="U5" s="12">
        <v>10</v>
      </c>
      <c r="V5" s="17">
        <f t="shared" si="7"/>
        <v>0.18181818181818182</v>
      </c>
      <c r="W5" s="17">
        <f t="shared" si="8"/>
        <v>0.90909090909090906</v>
      </c>
      <c r="X5" s="33">
        <f t="shared" si="9"/>
        <v>0.2</v>
      </c>
      <c r="Y5" s="12">
        <v>1</v>
      </c>
      <c r="Z5" s="12">
        <v>2</v>
      </c>
      <c r="AA5" s="17">
        <f t="shared" si="10"/>
        <v>9.0909090909090912E-2</v>
      </c>
      <c r="AB5" s="17">
        <f t="shared" si="11"/>
        <v>0.18181818181818182</v>
      </c>
      <c r="AC5" s="33">
        <f t="shared" si="12"/>
        <v>0.5</v>
      </c>
      <c r="AD5" s="12">
        <v>3</v>
      </c>
      <c r="AE5" s="17">
        <f t="shared" si="13"/>
        <v>0.27272727272727271</v>
      </c>
      <c r="AF5" s="12">
        <v>1</v>
      </c>
      <c r="AG5" s="17">
        <f t="shared" si="14"/>
        <v>9.0909090909090912E-2</v>
      </c>
      <c r="AH5" s="12">
        <v>2</v>
      </c>
      <c r="AI5" s="17">
        <f t="shared" si="15"/>
        <v>0.18181818181818182</v>
      </c>
      <c r="AJ5" s="12">
        <v>0</v>
      </c>
      <c r="AK5" s="17">
        <f t="shared" si="16"/>
        <v>0</v>
      </c>
      <c r="AL5" s="12">
        <v>1</v>
      </c>
      <c r="AM5" s="17">
        <f t="shared" si="17"/>
        <v>9.0909090909090912E-2</v>
      </c>
      <c r="AN5" s="12">
        <v>0</v>
      </c>
      <c r="AO5" s="17">
        <f t="shared" si="18"/>
        <v>0</v>
      </c>
      <c r="AP5" s="12">
        <v>0</v>
      </c>
      <c r="AQ5" s="17">
        <f t="shared" si="19"/>
        <v>0</v>
      </c>
      <c r="AR5" s="12">
        <v>2</v>
      </c>
      <c r="AS5" s="17">
        <f t="shared" si="20"/>
        <v>0.18181818181818182</v>
      </c>
      <c r="AT5" s="13">
        <v>-5.2261414264873074E-2</v>
      </c>
      <c r="AU5" s="13">
        <v>-9.5020753208860123E-2</v>
      </c>
      <c r="AV5" s="13">
        <v>-6.6755036379482532E-2</v>
      </c>
      <c r="AW5" s="13">
        <v>1.4493622114609457E-2</v>
      </c>
      <c r="AX5" s="13">
        <v>72.882099298561499</v>
      </c>
      <c r="AY5" s="13">
        <v>108.17923702849711</v>
      </c>
      <c r="AZ5" s="13">
        <v>4.934993099162506E-2</v>
      </c>
      <c r="BA5" s="13">
        <v>9.0909090909090912E-2</v>
      </c>
      <c r="BB5" s="13">
        <v>1.8181818181818183</v>
      </c>
      <c r="BC5" s="14">
        <v>0.2946127946127946</v>
      </c>
      <c r="BD5" s="14">
        <v>0.27272727272727271</v>
      </c>
      <c r="BE5" s="13">
        <v>5.3062245408418498</v>
      </c>
      <c r="BF5" s="14">
        <v>0.90909090909090906</v>
      </c>
      <c r="BG5" s="14">
        <v>0.18181818181818182</v>
      </c>
      <c r="BH5" s="13">
        <v>1.0626992561105209</v>
      </c>
      <c r="BI5" s="13">
        <v>2.1253985122210417</v>
      </c>
      <c r="BJ5" s="13">
        <v>1.4892032762472078</v>
      </c>
      <c r="BK5" s="13">
        <v>0</v>
      </c>
      <c r="BL5" s="13">
        <v>2.561239959584277</v>
      </c>
      <c r="BM5" s="13">
        <v>0</v>
      </c>
      <c r="BN5" s="13">
        <v>0</v>
      </c>
      <c r="BO5" s="15" t="s">
        <v>187</v>
      </c>
      <c r="BP5" s="15">
        <v>48000</v>
      </c>
      <c r="BQ5" s="12" t="s">
        <v>271</v>
      </c>
      <c r="BR5" s="26">
        <v>8</v>
      </c>
      <c r="BS5" s="27">
        <v>17</v>
      </c>
      <c r="BT5" s="27">
        <v>9</v>
      </c>
      <c r="BU5" s="26">
        <f t="shared" si="24"/>
        <v>0.72727272727272718</v>
      </c>
      <c r="BV5" s="26">
        <f t="shared" si="25"/>
        <v>1.5454545454545454</v>
      </c>
      <c r="BW5" s="26">
        <f t="shared" si="25"/>
        <v>0.81818181818181823</v>
      </c>
      <c r="BX5" s="31">
        <f t="shared" si="21"/>
        <v>14.55648218347233</v>
      </c>
      <c r="BY5" s="31">
        <f t="shared" si="22"/>
        <v>30.932524639878697</v>
      </c>
      <c r="BZ5" s="31">
        <f t="shared" si="23"/>
        <v>16.376042456406367</v>
      </c>
      <c r="CA5" s="34">
        <v>4</v>
      </c>
      <c r="CB5" s="34">
        <v>7</v>
      </c>
    </row>
    <row r="6" spans="1:80" x14ac:dyDescent="0.4">
      <c r="A6" s="12" t="s">
        <v>191</v>
      </c>
      <c r="B6" s="12" t="s">
        <v>182</v>
      </c>
      <c r="C6" s="4" t="s">
        <v>163</v>
      </c>
      <c r="D6" s="22">
        <v>1</v>
      </c>
      <c r="E6" s="22">
        <v>0</v>
      </c>
      <c r="F6" s="22">
        <v>41</v>
      </c>
      <c r="G6" s="10">
        <v>41</v>
      </c>
      <c r="H6" s="5">
        <v>0</v>
      </c>
      <c r="I6" s="17">
        <f t="shared" si="0"/>
        <v>0</v>
      </c>
      <c r="J6" s="7">
        <v>0</v>
      </c>
      <c r="K6" s="7">
        <v>1</v>
      </c>
      <c r="L6" s="17">
        <f t="shared" si="1"/>
        <v>0</v>
      </c>
      <c r="M6" s="17">
        <f t="shared" si="2"/>
        <v>1</v>
      </c>
      <c r="N6" s="33">
        <f t="shared" si="3"/>
        <v>0</v>
      </c>
      <c r="O6" s="12">
        <v>0</v>
      </c>
      <c r="P6" s="12">
        <v>0</v>
      </c>
      <c r="Q6" s="17">
        <f t="shared" si="4"/>
        <v>0</v>
      </c>
      <c r="R6" s="17">
        <f t="shared" si="5"/>
        <v>0</v>
      </c>
      <c r="S6" s="33" t="e">
        <f t="shared" si="6"/>
        <v>#DIV/0!</v>
      </c>
      <c r="T6" s="12">
        <v>0</v>
      </c>
      <c r="U6" s="12">
        <v>1</v>
      </c>
      <c r="V6" s="17">
        <f t="shared" si="7"/>
        <v>0</v>
      </c>
      <c r="W6" s="17">
        <f t="shared" si="8"/>
        <v>1</v>
      </c>
      <c r="X6" s="33">
        <f t="shared" si="9"/>
        <v>0</v>
      </c>
      <c r="Y6" s="12">
        <v>0</v>
      </c>
      <c r="Z6" s="12">
        <v>0</v>
      </c>
      <c r="AA6" s="17">
        <f t="shared" si="10"/>
        <v>0</v>
      </c>
      <c r="AB6" s="17">
        <f t="shared" si="11"/>
        <v>0</v>
      </c>
      <c r="AC6" s="33" t="e">
        <f t="shared" si="12"/>
        <v>#DIV/0!</v>
      </c>
      <c r="AD6" s="12">
        <v>0</v>
      </c>
      <c r="AE6" s="17">
        <f t="shared" si="13"/>
        <v>0</v>
      </c>
      <c r="AF6" s="12">
        <v>0</v>
      </c>
      <c r="AG6" s="17">
        <f t="shared" si="14"/>
        <v>0</v>
      </c>
      <c r="AH6" s="12">
        <v>0</v>
      </c>
      <c r="AI6" s="17">
        <f t="shared" si="15"/>
        <v>0</v>
      </c>
      <c r="AJ6" s="12">
        <v>0</v>
      </c>
      <c r="AK6" s="17">
        <f t="shared" si="16"/>
        <v>0</v>
      </c>
      <c r="AL6" s="12">
        <v>0</v>
      </c>
      <c r="AM6" s="17">
        <f t="shared" si="17"/>
        <v>0</v>
      </c>
      <c r="AN6" s="12">
        <v>0</v>
      </c>
      <c r="AO6" s="17">
        <f t="shared" si="18"/>
        <v>0</v>
      </c>
      <c r="AP6" s="12">
        <v>0</v>
      </c>
      <c r="AQ6" s="17">
        <f t="shared" si="19"/>
        <v>0</v>
      </c>
      <c r="AR6" s="12">
        <v>0</v>
      </c>
      <c r="AS6" s="17">
        <f t="shared" si="20"/>
        <v>0</v>
      </c>
      <c r="AT6" s="13">
        <v>-2.1019403243400341E-2</v>
      </c>
      <c r="AU6" s="13">
        <v>-1.2304040922966053</v>
      </c>
      <c r="AV6" s="13">
        <v>-2.0714220201677291E-2</v>
      </c>
      <c r="AW6" s="13">
        <v>-3.051830417230503E-4</v>
      </c>
      <c r="AX6" s="13">
        <v>0</v>
      </c>
      <c r="AY6" s="13">
        <v>118.05675270479183</v>
      </c>
      <c r="AZ6" s="13">
        <v>-0.80950180534317162</v>
      </c>
      <c r="BA6" s="13">
        <v>-1</v>
      </c>
      <c r="BB6" s="13">
        <v>-58.536585365853654</v>
      </c>
      <c r="BC6" s="14">
        <v>0</v>
      </c>
      <c r="BD6" s="14">
        <v>0</v>
      </c>
      <c r="BE6" s="13">
        <v>1.3072738459822244</v>
      </c>
      <c r="BF6" s="14">
        <v>1</v>
      </c>
      <c r="BG6" s="14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5" t="s">
        <v>187</v>
      </c>
      <c r="BP6" s="15">
        <v>220000</v>
      </c>
      <c r="BQ6" s="12" t="s">
        <v>273</v>
      </c>
      <c r="BR6" s="26">
        <v>-0.73</v>
      </c>
      <c r="BS6" s="27">
        <v>0.17</v>
      </c>
      <c r="BT6" s="27">
        <v>0.9</v>
      </c>
      <c r="BU6" s="26">
        <f t="shared" si="24"/>
        <v>-0.73</v>
      </c>
      <c r="BV6" s="26">
        <f t="shared" si="25"/>
        <v>0.17</v>
      </c>
      <c r="BW6" s="26">
        <f t="shared" si="25"/>
        <v>0.9</v>
      </c>
      <c r="BX6" s="31">
        <f t="shared" si="21"/>
        <v>-42.731707317073166</v>
      </c>
      <c r="BY6" s="31">
        <f t="shared" si="22"/>
        <v>9.9512195121951237</v>
      </c>
      <c r="BZ6" s="31">
        <f t="shared" si="23"/>
        <v>52.68292682926829</v>
      </c>
      <c r="CA6" s="35">
        <v>0</v>
      </c>
      <c r="CB6" s="35">
        <v>1</v>
      </c>
    </row>
    <row r="7" spans="1:80" x14ac:dyDescent="0.4">
      <c r="A7" s="12" t="s">
        <v>191</v>
      </c>
      <c r="B7" s="12" t="s">
        <v>182</v>
      </c>
      <c r="C7" s="4" t="s">
        <v>253</v>
      </c>
      <c r="D7" s="22">
        <v>2</v>
      </c>
      <c r="E7" s="22">
        <v>1</v>
      </c>
      <c r="F7" s="22">
        <v>4</v>
      </c>
      <c r="G7" s="10">
        <v>128</v>
      </c>
      <c r="H7" s="5">
        <v>0</v>
      </c>
      <c r="I7" s="17">
        <f t="shared" si="0"/>
        <v>0</v>
      </c>
      <c r="J7" s="7">
        <v>0</v>
      </c>
      <c r="K7" s="7">
        <v>0</v>
      </c>
      <c r="L7" s="17">
        <f t="shared" si="1"/>
        <v>0</v>
      </c>
      <c r="M7" s="17">
        <f t="shared" si="2"/>
        <v>0</v>
      </c>
      <c r="N7" s="33" t="e">
        <f t="shared" si="3"/>
        <v>#DIV/0!</v>
      </c>
      <c r="O7" s="12">
        <v>0</v>
      </c>
      <c r="P7" s="12">
        <v>0</v>
      </c>
      <c r="Q7" s="17">
        <f t="shared" si="4"/>
        <v>0</v>
      </c>
      <c r="R7" s="17">
        <f t="shared" si="5"/>
        <v>0</v>
      </c>
      <c r="S7" s="33" t="e">
        <f t="shared" si="6"/>
        <v>#DIV/0!</v>
      </c>
      <c r="T7" s="12">
        <v>0</v>
      </c>
      <c r="U7" s="12">
        <v>0</v>
      </c>
      <c r="V7" s="17">
        <f t="shared" si="7"/>
        <v>0</v>
      </c>
      <c r="W7" s="17">
        <f t="shared" si="8"/>
        <v>0</v>
      </c>
      <c r="X7" s="33" t="e">
        <f t="shared" si="9"/>
        <v>#DIV/0!</v>
      </c>
      <c r="Y7" s="12">
        <v>0</v>
      </c>
      <c r="Z7" s="12">
        <v>0</v>
      </c>
      <c r="AA7" s="17">
        <f t="shared" si="10"/>
        <v>0</v>
      </c>
      <c r="AB7" s="17">
        <f t="shared" si="11"/>
        <v>0</v>
      </c>
      <c r="AC7" s="33" t="e">
        <f t="shared" si="12"/>
        <v>#DIV/0!</v>
      </c>
      <c r="AD7" s="12">
        <v>0</v>
      </c>
      <c r="AE7" s="17">
        <f t="shared" si="13"/>
        <v>0</v>
      </c>
      <c r="AF7" s="12">
        <v>0</v>
      </c>
      <c r="AG7" s="17">
        <f t="shared" si="14"/>
        <v>0</v>
      </c>
      <c r="AH7" s="12">
        <v>0</v>
      </c>
      <c r="AI7" s="17">
        <f t="shared" si="15"/>
        <v>0</v>
      </c>
      <c r="AJ7" s="12">
        <v>0</v>
      </c>
      <c r="AK7" s="17">
        <f t="shared" si="16"/>
        <v>0</v>
      </c>
      <c r="AL7" s="12">
        <v>0</v>
      </c>
      <c r="AM7" s="17">
        <f t="shared" si="17"/>
        <v>0</v>
      </c>
      <c r="AN7" s="12">
        <v>0</v>
      </c>
      <c r="AO7" s="17">
        <f t="shared" si="18"/>
        <v>0</v>
      </c>
      <c r="AP7" s="12">
        <v>0</v>
      </c>
      <c r="AQ7" s="17">
        <f t="shared" si="19"/>
        <v>0</v>
      </c>
      <c r="AR7" s="12">
        <v>3</v>
      </c>
      <c r="AS7" s="17">
        <f t="shared" si="20"/>
        <v>1.5</v>
      </c>
      <c r="AT7" s="13">
        <v>2.3743474491786349E-4</v>
      </c>
      <c r="AU7" s="13">
        <v>4.4519014672099403E-3</v>
      </c>
      <c r="AV7" s="13">
        <v>0</v>
      </c>
      <c r="AW7" s="13">
        <v>2.3743474491786349E-4</v>
      </c>
      <c r="AX7" s="13">
        <v>0</v>
      </c>
      <c r="AY7" s="13">
        <v>113.07151451509637</v>
      </c>
      <c r="AZ7" s="13">
        <v>-1.2312799242798074</v>
      </c>
      <c r="BA7" s="13">
        <v>0</v>
      </c>
      <c r="BB7" s="13">
        <v>0</v>
      </c>
      <c r="BC7" s="14"/>
      <c r="BD7" s="14"/>
      <c r="BE7" s="13">
        <v>0</v>
      </c>
      <c r="BF7" s="14"/>
      <c r="BG7" s="14"/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/>
      <c r="BO7" s="15" t="s">
        <v>187</v>
      </c>
      <c r="BP7" s="15">
        <v>60000</v>
      </c>
      <c r="BQ7" s="12" t="s">
        <v>273</v>
      </c>
      <c r="BR7" s="26">
        <v>0.53</v>
      </c>
      <c r="BS7" s="27">
        <v>0.53</v>
      </c>
      <c r="BT7" s="27">
        <v>0</v>
      </c>
      <c r="BU7" s="26">
        <f t="shared" si="24"/>
        <v>0.26500000000000001</v>
      </c>
      <c r="BV7" s="26">
        <f t="shared" si="25"/>
        <v>0.26500000000000001</v>
      </c>
      <c r="BW7" s="26">
        <f t="shared" si="25"/>
        <v>0</v>
      </c>
      <c r="BX7" s="31">
        <f t="shared" si="21"/>
        <v>9.9375</v>
      </c>
      <c r="BY7" s="31">
        <f t="shared" si="22"/>
        <v>9.9375</v>
      </c>
      <c r="BZ7" s="31">
        <f t="shared" si="23"/>
        <v>0</v>
      </c>
      <c r="CA7" s="34">
        <v>1</v>
      </c>
      <c r="CB7" s="34">
        <v>1</v>
      </c>
    </row>
    <row r="8" spans="1:80" x14ac:dyDescent="0.4">
      <c r="A8" s="12" t="s">
        <v>191</v>
      </c>
      <c r="B8" s="12" t="s">
        <v>182</v>
      </c>
      <c r="C8" s="4" t="s">
        <v>160</v>
      </c>
      <c r="D8" s="22">
        <v>26</v>
      </c>
      <c r="E8" s="24">
        <v>6</v>
      </c>
      <c r="F8" s="24">
        <v>38</v>
      </c>
      <c r="G8" s="10">
        <v>10340</v>
      </c>
      <c r="H8" s="5">
        <v>37</v>
      </c>
      <c r="I8" s="17">
        <f t="shared" si="0"/>
        <v>1.4230769230769231</v>
      </c>
      <c r="J8" s="7">
        <v>14</v>
      </c>
      <c r="K8" s="7">
        <v>51</v>
      </c>
      <c r="L8" s="17">
        <f t="shared" si="1"/>
        <v>0.53846153846153844</v>
      </c>
      <c r="M8" s="17">
        <f t="shared" si="2"/>
        <v>1.9615384615384615</v>
      </c>
      <c r="N8" s="33">
        <f t="shared" si="3"/>
        <v>0.27450980392156865</v>
      </c>
      <c r="O8" s="12">
        <v>8</v>
      </c>
      <c r="P8" s="12">
        <v>17</v>
      </c>
      <c r="Q8" s="17">
        <f t="shared" si="4"/>
        <v>0.30769230769230771</v>
      </c>
      <c r="R8" s="17">
        <f t="shared" si="5"/>
        <v>0.65384615384615385</v>
      </c>
      <c r="S8" s="33">
        <f t="shared" si="6"/>
        <v>0.47058823529411764</v>
      </c>
      <c r="T8" s="12">
        <v>6</v>
      </c>
      <c r="U8" s="12">
        <v>34</v>
      </c>
      <c r="V8" s="17">
        <f t="shared" si="7"/>
        <v>0.23076923076923078</v>
      </c>
      <c r="W8" s="17">
        <f t="shared" si="8"/>
        <v>1.3076923076923077</v>
      </c>
      <c r="X8" s="33">
        <f t="shared" si="9"/>
        <v>0.17647058823529413</v>
      </c>
      <c r="Y8" s="12">
        <v>3</v>
      </c>
      <c r="Z8" s="12">
        <v>6</v>
      </c>
      <c r="AA8" s="17">
        <f t="shared" si="10"/>
        <v>0.11538461538461539</v>
      </c>
      <c r="AB8" s="17">
        <f t="shared" si="11"/>
        <v>0.23076923076923078</v>
      </c>
      <c r="AC8" s="33">
        <f t="shared" si="12"/>
        <v>0.5</v>
      </c>
      <c r="AD8" s="12">
        <v>23</v>
      </c>
      <c r="AE8" s="17">
        <f t="shared" si="13"/>
        <v>0.88461538461538458</v>
      </c>
      <c r="AF8" s="12">
        <v>12</v>
      </c>
      <c r="AG8" s="17">
        <f t="shared" si="14"/>
        <v>0.46153846153846156</v>
      </c>
      <c r="AH8" s="12">
        <v>11</v>
      </c>
      <c r="AI8" s="17">
        <f t="shared" si="15"/>
        <v>0.42307692307692307</v>
      </c>
      <c r="AJ8" s="12">
        <v>4</v>
      </c>
      <c r="AK8" s="17">
        <f t="shared" si="16"/>
        <v>0.15384615384615385</v>
      </c>
      <c r="AL8" s="12">
        <v>8</v>
      </c>
      <c r="AM8" s="17">
        <f t="shared" si="17"/>
        <v>0.30769230769230771</v>
      </c>
      <c r="AN8" s="12">
        <v>2</v>
      </c>
      <c r="AO8" s="17">
        <f t="shared" si="18"/>
        <v>7.6923076923076927E-2</v>
      </c>
      <c r="AP8" s="12">
        <v>6</v>
      </c>
      <c r="AQ8" s="17">
        <f t="shared" si="19"/>
        <v>0.23076923076923078</v>
      </c>
      <c r="AR8" s="12">
        <v>17</v>
      </c>
      <c r="AS8" s="17">
        <f t="shared" si="20"/>
        <v>0.65384615384615385</v>
      </c>
      <c r="AT8" s="13">
        <v>-0.15945799632710245</v>
      </c>
      <c r="AU8" s="13">
        <v>-3.6982913721013325E-2</v>
      </c>
      <c r="AV8" s="13">
        <v>-0.26693668900443973</v>
      </c>
      <c r="AW8" s="13">
        <v>0.10747869267733728</v>
      </c>
      <c r="AX8" s="13">
        <v>79.676024304289726</v>
      </c>
      <c r="AY8" s="13">
        <v>108.49748501547236</v>
      </c>
      <c r="AZ8" s="13">
        <v>1.2855201092353714</v>
      </c>
      <c r="BA8" s="13">
        <v>1.0769230769230769</v>
      </c>
      <c r="BB8" s="13">
        <v>6.4940085040587547</v>
      </c>
      <c r="BC8" s="14">
        <v>0.34489187173750929</v>
      </c>
      <c r="BD8" s="14">
        <v>0.33333333333333331</v>
      </c>
      <c r="BE8" s="13">
        <v>8.0316540179637563</v>
      </c>
      <c r="BF8" s="14">
        <v>0.66666666666666663</v>
      </c>
      <c r="BG8" s="14">
        <v>0.11764705882352941</v>
      </c>
      <c r="BH8" s="13">
        <v>3.8449420321586678</v>
      </c>
      <c r="BI8" s="13">
        <v>3.5245301961454456</v>
      </c>
      <c r="BJ8" s="13">
        <v>3.4423794325312338</v>
      </c>
      <c r="BK8" s="13">
        <v>1.6127948390565152</v>
      </c>
      <c r="BL8" s="13">
        <v>2.6137122123318481</v>
      </c>
      <c r="BM8" s="13">
        <v>0.61942996957050267</v>
      </c>
      <c r="BN8" s="13">
        <v>10.060362173038229</v>
      </c>
      <c r="BO8" s="15" t="s">
        <v>187</v>
      </c>
      <c r="BP8" s="15">
        <v>200000</v>
      </c>
      <c r="BQ8" s="12" t="s">
        <v>273</v>
      </c>
      <c r="BR8" s="26">
        <v>80.98</v>
      </c>
      <c r="BS8" s="27">
        <v>126.58</v>
      </c>
      <c r="BT8" s="27">
        <v>45.6</v>
      </c>
      <c r="BU8" s="26">
        <f t="shared" si="24"/>
        <v>3.1146153846153846</v>
      </c>
      <c r="BV8" s="26">
        <f t="shared" si="25"/>
        <v>4.8684615384615384</v>
      </c>
      <c r="BW8" s="26">
        <f t="shared" si="25"/>
        <v>1.7538461538461538</v>
      </c>
      <c r="BX8" s="31">
        <f t="shared" si="21"/>
        <v>18.796131528046423</v>
      </c>
      <c r="BY8" s="31">
        <f t="shared" si="22"/>
        <v>29.38027079303675</v>
      </c>
      <c r="BZ8" s="31">
        <f t="shared" si="23"/>
        <v>10.584139264990329</v>
      </c>
      <c r="CA8" s="34">
        <v>13</v>
      </c>
      <c r="CB8" s="34">
        <v>13</v>
      </c>
    </row>
    <row r="9" spans="1:80" x14ac:dyDescent="0.4">
      <c r="A9" s="12" t="s">
        <v>191</v>
      </c>
      <c r="B9" s="12" t="s">
        <v>182</v>
      </c>
      <c r="C9" s="4" t="s">
        <v>223</v>
      </c>
      <c r="D9" s="22">
        <v>19</v>
      </c>
      <c r="E9" s="22">
        <v>11</v>
      </c>
      <c r="F9" s="22">
        <v>14</v>
      </c>
      <c r="G9" s="10">
        <v>12805</v>
      </c>
      <c r="H9" s="5">
        <v>86</v>
      </c>
      <c r="I9" s="17">
        <f t="shared" si="0"/>
        <v>4.5263157894736841</v>
      </c>
      <c r="J9" s="7">
        <v>37</v>
      </c>
      <c r="K9" s="7">
        <v>58</v>
      </c>
      <c r="L9" s="17">
        <f t="shared" si="1"/>
        <v>1.9473684210526316</v>
      </c>
      <c r="M9" s="17">
        <f t="shared" si="2"/>
        <v>3.0526315789473686</v>
      </c>
      <c r="N9" s="33">
        <f t="shared" si="3"/>
        <v>0.63793103448275867</v>
      </c>
      <c r="O9" s="12">
        <v>35</v>
      </c>
      <c r="P9" s="12">
        <v>52</v>
      </c>
      <c r="Q9" s="17">
        <f t="shared" si="4"/>
        <v>1.8421052631578947</v>
      </c>
      <c r="R9" s="17">
        <f t="shared" si="5"/>
        <v>2.736842105263158</v>
      </c>
      <c r="S9" s="33">
        <f t="shared" si="6"/>
        <v>0.67307692307692313</v>
      </c>
      <c r="T9" s="12">
        <v>2</v>
      </c>
      <c r="U9" s="12">
        <v>6</v>
      </c>
      <c r="V9" s="17">
        <f t="shared" si="7"/>
        <v>0.10526315789473684</v>
      </c>
      <c r="W9" s="17">
        <f t="shared" si="8"/>
        <v>0.31578947368421051</v>
      </c>
      <c r="X9" s="33">
        <f t="shared" si="9"/>
        <v>0.33333333333333331</v>
      </c>
      <c r="Y9" s="12">
        <v>10</v>
      </c>
      <c r="Z9" s="12">
        <v>18</v>
      </c>
      <c r="AA9" s="17">
        <f t="shared" si="10"/>
        <v>0.52631578947368418</v>
      </c>
      <c r="AB9" s="17">
        <f t="shared" si="11"/>
        <v>0.94736842105263153</v>
      </c>
      <c r="AC9" s="33">
        <f t="shared" si="12"/>
        <v>0.55555555555555558</v>
      </c>
      <c r="AD9" s="12">
        <v>110</v>
      </c>
      <c r="AE9" s="17">
        <f t="shared" si="13"/>
        <v>5.7894736842105265</v>
      </c>
      <c r="AF9" s="12">
        <v>40</v>
      </c>
      <c r="AG9" s="17">
        <f t="shared" si="14"/>
        <v>2.1052631578947367</v>
      </c>
      <c r="AH9" s="12">
        <v>70</v>
      </c>
      <c r="AI9" s="17">
        <f t="shared" si="15"/>
        <v>3.6842105263157894</v>
      </c>
      <c r="AJ9" s="12">
        <v>16</v>
      </c>
      <c r="AK9" s="17">
        <f t="shared" si="16"/>
        <v>0.84210526315789469</v>
      </c>
      <c r="AL9" s="12">
        <v>7</v>
      </c>
      <c r="AM9" s="17">
        <f t="shared" si="17"/>
        <v>0.36842105263157893</v>
      </c>
      <c r="AN9" s="12">
        <v>5</v>
      </c>
      <c r="AO9" s="17">
        <f t="shared" si="18"/>
        <v>0.26315789473684209</v>
      </c>
      <c r="AP9" s="12">
        <v>14</v>
      </c>
      <c r="AQ9" s="17">
        <f t="shared" si="19"/>
        <v>0.73684210526315785</v>
      </c>
      <c r="AR9" s="12">
        <v>34</v>
      </c>
      <c r="AS9" s="17">
        <f t="shared" si="20"/>
        <v>1.7894736842105263</v>
      </c>
      <c r="AT9" s="13">
        <v>1.0005614789316839</v>
      </c>
      <c r="AU9" s="13">
        <v>0.18751737852850547</v>
      </c>
      <c r="AV9" s="13">
        <v>0.62204945148081103</v>
      </c>
      <c r="AW9" s="13">
        <v>0.37851202745087298</v>
      </c>
      <c r="AX9" s="13">
        <v>123.69053026056346</v>
      </c>
      <c r="AY9" s="13">
        <v>98.21922344773067</v>
      </c>
      <c r="AZ9" s="13">
        <v>6.227203369576757</v>
      </c>
      <c r="BA9" s="13">
        <v>9.526315789473685</v>
      </c>
      <c r="BB9" s="13">
        <v>33.921599250351392</v>
      </c>
      <c r="BC9" s="14">
        <v>0.65230582524271841</v>
      </c>
      <c r="BD9" s="14">
        <v>0.65517241379310343</v>
      </c>
      <c r="BE9" s="13">
        <v>6.3554456329478857</v>
      </c>
      <c r="BF9" s="14">
        <v>0.10344827586206896</v>
      </c>
      <c r="BG9" s="14">
        <v>0.31034482758620691</v>
      </c>
      <c r="BH9" s="13">
        <v>7.5681846132499997</v>
      </c>
      <c r="BI9" s="13">
        <v>13.244323073187497</v>
      </c>
      <c r="BJ9" s="13">
        <v>9.7218018033942339</v>
      </c>
      <c r="BK9" s="13">
        <v>3.9339425480473715</v>
      </c>
      <c r="BL9" s="13">
        <v>1.8480288323097547</v>
      </c>
      <c r="BM9" s="13">
        <v>0.91444038534517835</v>
      </c>
      <c r="BN9" s="13">
        <v>17.517517517517518</v>
      </c>
      <c r="BO9" s="15" t="s">
        <v>189</v>
      </c>
      <c r="BP9" s="15">
        <v>750000</v>
      </c>
      <c r="BQ9" s="12" t="s">
        <v>272</v>
      </c>
      <c r="BR9" s="26">
        <v>258.85000000000002</v>
      </c>
      <c r="BS9" s="27">
        <v>306.85000000000002</v>
      </c>
      <c r="BT9" s="27">
        <v>48</v>
      </c>
      <c r="BU9" s="26">
        <f t="shared" si="24"/>
        <v>13.623684210526317</v>
      </c>
      <c r="BV9" s="26">
        <f t="shared" si="25"/>
        <v>16.150000000000002</v>
      </c>
      <c r="BW9" s="26">
        <f t="shared" si="25"/>
        <v>2.5263157894736841</v>
      </c>
      <c r="BX9" s="31">
        <f t="shared" si="21"/>
        <v>48.515423662631783</v>
      </c>
      <c r="BY9" s="31">
        <f t="shared" si="22"/>
        <v>57.511909410386565</v>
      </c>
      <c r="BZ9" s="31">
        <f t="shared" si="23"/>
        <v>8.9964857477547842</v>
      </c>
      <c r="CA9" s="35">
        <v>14</v>
      </c>
      <c r="CB9" s="35">
        <v>5</v>
      </c>
    </row>
    <row r="10" spans="1:80" x14ac:dyDescent="0.4">
      <c r="A10" s="12" t="s">
        <v>191</v>
      </c>
      <c r="B10" s="12" t="s">
        <v>182</v>
      </c>
      <c r="C10" s="4" t="s">
        <v>111</v>
      </c>
      <c r="D10" s="22">
        <v>16</v>
      </c>
      <c r="E10" s="22">
        <v>3</v>
      </c>
      <c r="F10" s="22">
        <v>19</v>
      </c>
      <c r="G10" s="10">
        <v>3181</v>
      </c>
      <c r="H10" s="5">
        <v>13</v>
      </c>
      <c r="I10" s="17">
        <f t="shared" si="0"/>
        <v>0.8125</v>
      </c>
      <c r="J10" s="7">
        <v>5</v>
      </c>
      <c r="K10" s="7">
        <v>13</v>
      </c>
      <c r="L10" s="17">
        <f t="shared" si="1"/>
        <v>0.3125</v>
      </c>
      <c r="M10" s="17">
        <f t="shared" si="2"/>
        <v>0.8125</v>
      </c>
      <c r="N10" s="33">
        <f t="shared" si="3"/>
        <v>0.38461538461538464</v>
      </c>
      <c r="O10" s="12">
        <v>5</v>
      </c>
      <c r="P10" s="12">
        <v>11</v>
      </c>
      <c r="Q10" s="17">
        <f t="shared" si="4"/>
        <v>0.3125</v>
      </c>
      <c r="R10" s="17">
        <f t="shared" si="5"/>
        <v>0.6875</v>
      </c>
      <c r="S10" s="33">
        <f t="shared" si="6"/>
        <v>0.45454545454545453</v>
      </c>
      <c r="T10" s="12">
        <v>0</v>
      </c>
      <c r="U10" s="12">
        <v>2</v>
      </c>
      <c r="V10" s="17">
        <f t="shared" si="7"/>
        <v>0</v>
      </c>
      <c r="W10" s="17">
        <f t="shared" si="8"/>
        <v>0.125</v>
      </c>
      <c r="X10" s="33">
        <f t="shared" si="9"/>
        <v>0</v>
      </c>
      <c r="Y10" s="12">
        <v>3</v>
      </c>
      <c r="Z10" s="12">
        <v>4</v>
      </c>
      <c r="AA10" s="17">
        <f t="shared" si="10"/>
        <v>0.1875</v>
      </c>
      <c r="AB10" s="17">
        <f t="shared" si="11"/>
        <v>0.25</v>
      </c>
      <c r="AC10" s="33">
        <f t="shared" si="12"/>
        <v>0.75</v>
      </c>
      <c r="AD10" s="12">
        <v>3</v>
      </c>
      <c r="AE10" s="17">
        <f t="shared" si="13"/>
        <v>0.1875</v>
      </c>
      <c r="AF10" s="12">
        <v>1</v>
      </c>
      <c r="AG10" s="17">
        <f t="shared" si="14"/>
        <v>6.25E-2</v>
      </c>
      <c r="AH10" s="12">
        <v>2</v>
      </c>
      <c r="AI10" s="17">
        <f t="shared" si="15"/>
        <v>0.125</v>
      </c>
      <c r="AJ10" s="12">
        <v>4</v>
      </c>
      <c r="AK10" s="17">
        <f t="shared" si="16"/>
        <v>0.25</v>
      </c>
      <c r="AL10" s="12">
        <v>2</v>
      </c>
      <c r="AM10" s="17">
        <f t="shared" si="17"/>
        <v>0.125</v>
      </c>
      <c r="AN10" s="12">
        <v>0</v>
      </c>
      <c r="AO10" s="17">
        <f t="shared" si="18"/>
        <v>0</v>
      </c>
      <c r="AP10" s="12">
        <v>2</v>
      </c>
      <c r="AQ10" s="17">
        <f t="shared" si="19"/>
        <v>0.125</v>
      </c>
      <c r="AR10" s="12">
        <v>9</v>
      </c>
      <c r="AS10" s="17">
        <f t="shared" si="20"/>
        <v>0.5625</v>
      </c>
      <c r="AT10" s="13">
        <v>9.8154996056556837E-3</v>
      </c>
      <c r="AU10" s="13">
        <v>7.3986177932078012E-3</v>
      </c>
      <c r="AV10" s="13">
        <v>-7.7111753431599213E-3</v>
      </c>
      <c r="AW10" s="13">
        <v>1.7526674948815605E-2</v>
      </c>
      <c r="AX10" s="13">
        <v>95.423211705674362</v>
      </c>
      <c r="AY10" s="13">
        <v>111.11480355402155</v>
      </c>
      <c r="AZ10" s="13">
        <v>0.64476874907204673</v>
      </c>
      <c r="BA10" s="13">
        <v>0.6875</v>
      </c>
      <c r="BB10" s="13">
        <v>8.2914572864321592</v>
      </c>
      <c r="BC10" s="14">
        <v>0.44037940379403795</v>
      </c>
      <c r="BD10" s="14">
        <v>0.38461538461538464</v>
      </c>
      <c r="BE10" s="13">
        <v>4.5141019899756047</v>
      </c>
      <c r="BF10" s="14">
        <v>0.15384615384615385</v>
      </c>
      <c r="BG10" s="14">
        <v>0.30769230769230771</v>
      </c>
      <c r="BH10" s="13">
        <v>0.64082367202644464</v>
      </c>
      <c r="BI10" s="13">
        <v>1.2816473440528893</v>
      </c>
      <c r="BJ10" s="13">
        <v>0.89801202587771323</v>
      </c>
      <c r="BK10" s="13">
        <v>3.1743932279611138</v>
      </c>
      <c r="BL10" s="13">
        <v>2.1236411725196267</v>
      </c>
      <c r="BM10" s="13">
        <v>0</v>
      </c>
      <c r="BN10" s="13">
        <v>11.933174224343677</v>
      </c>
      <c r="BO10" s="15" t="s">
        <v>187</v>
      </c>
      <c r="BP10" s="15">
        <v>70000</v>
      </c>
      <c r="BQ10" s="12" t="s">
        <v>271</v>
      </c>
      <c r="BR10" s="26">
        <v>26.15</v>
      </c>
      <c r="BS10" s="27">
        <v>37.75</v>
      </c>
      <c r="BT10" s="27">
        <v>11.6</v>
      </c>
      <c r="BU10" s="26">
        <f t="shared" si="24"/>
        <v>1.6343749999999999</v>
      </c>
      <c r="BV10" s="26">
        <f t="shared" si="25"/>
        <v>2.359375</v>
      </c>
      <c r="BW10" s="26">
        <f t="shared" si="25"/>
        <v>0.72499999999999998</v>
      </c>
      <c r="BX10" s="31">
        <f t="shared" si="21"/>
        <v>19.72964476579692</v>
      </c>
      <c r="BY10" s="31">
        <f t="shared" si="22"/>
        <v>28.481609556743162</v>
      </c>
      <c r="BZ10" s="31">
        <f t="shared" si="23"/>
        <v>8.7519647909462428</v>
      </c>
      <c r="CA10" s="34">
        <v>8</v>
      </c>
      <c r="CB10" s="34">
        <v>8</v>
      </c>
    </row>
    <row r="11" spans="1:80" x14ac:dyDescent="0.4">
      <c r="A11" s="12" t="s">
        <v>191</v>
      </c>
      <c r="B11" s="12" t="s">
        <v>182</v>
      </c>
      <c r="C11" s="4" t="s">
        <v>117</v>
      </c>
      <c r="D11" s="22">
        <v>36</v>
      </c>
      <c r="E11" s="24">
        <v>16</v>
      </c>
      <c r="F11" s="24">
        <v>42</v>
      </c>
      <c r="G11" s="10">
        <v>36077</v>
      </c>
      <c r="H11" s="5">
        <v>180</v>
      </c>
      <c r="I11" s="17">
        <f t="shared" si="0"/>
        <v>5</v>
      </c>
      <c r="J11" s="7">
        <v>72</v>
      </c>
      <c r="K11" s="7">
        <v>185</v>
      </c>
      <c r="L11" s="17">
        <f t="shared" si="1"/>
        <v>2</v>
      </c>
      <c r="M11" s="17">
        <f t="shared" si="2"/>
        <v>5.1388888888888893</v>
      </c>
      <c r="N11" s="33">
        <f t="shared" si="3"/>
        <v>0.38918918918918921</v>
      </c>
      <c r="O11" s="12">
        <v>52</v>
      </c>
      <c r="P11" s="12">
        <v>88</v>
      </c>
      <c r="Q11" s="17">
        <f t="shared" si="4"/>
        <v>1.4444444444444444</v>
      </c>
      <c r="R11" s="17">
        <f t="shared" si="5"/>
        <v>2.4444444444444446</v>
      </c>
      <c r="S11" s="33">
        <f t="shared" si="6"/>
        <v>0.59090909090909094</v>
      </c>
      <c r="T11" s="12">
        <v>20</v>
      </c>
      <c r="U11" s="12">
        <v>97</v>
      </c>
      <c r="V11" s="17">
        <f t="shared" si="7"/>
        <v>0.55555555555555558</v>
      </c>
      <c r="W11" s="17">
        <f t="shared" si="8"/>
        <v>2.6944444444444446</v>
      </c>
      <c r="X11" s="33">
        <f t="shared" si="9"/>
        <v>0.20618556701030927</v>
      </c>
      <c r="Y11" s="12">
        <v>16</v>
      </c>
      <c r="Z11" s="12">
        <v>21</v>
      </c>
      <c r="AA11" s="17">
        <f t="shared" si="10"/>
        <v>0.44444444444444442</v>
      </c>
      <c r="AB11" s="17">
        <f t="shared" si="11"/>
        <v>0.58333333333333337</v>
      </c>
      <c r="AC11" s="33">
        <f t="shared" si="12"/>
        <v>0.76190476190476186</v>
      </c>
      <c r="AD11" s="12">
        <v>67</v>
      </c>
      <c r="AE11" s="17">
        <f t="shared" si="13"/>
        <v>1.8611111111111112</v>
      </c>
      <c r="AF11" s="12">
        <v>22</v>
      </c>
      <c r="AG11" s="17">
        <f t="shared" si="14"/>
        <v>0.61111111111111116</v>
      </c>
      <c r="AH11" s="12">
        <v>45</v>
      </c>
      <c r="AI11" s="17">
        <f t="shared" si="15"/>
        <v>1.25</v>
      </c>
      <c r="AJ11" s="12">
        <v>88</v>
      </c>
      <c r="AK11" s="17">
        <f t="shared" si="16"/>
        <v>2.4444444444444446</v>
      </c>
      <c r="AL11" s="12">
        <v>25</v>
      </c>
      <c r="AM11" s="17">
        <f t="shared" si="17"/>
        <v>0.69444444444444442</v>
      </c>
      <c r="AN11" s="12">
        <v>6</v>
      </c>
      <c r="AO11" s="17">
        <f t="shared" si="18"/>
        <v>0.16666666666666666</v>
      </c>
      <c r="AP11" s="12">
        <v>36</v>
      </c>
      <c r="AQ11" s="17">
        <f t="shared" si="19"/>
        <v>1</v>
      </c>
      <c r="AR11" s="12">
        <v>44</v>
      </c>
      <c r="AS11" s="17">
        <f t="shared" si="20"/>
        <v>1.2222222222222223</v>
      </c>
      <c r="AT11" s="13">
        <v>0.55928315045712296</v>
      </c>
      <c r="AU11" s="13">
        <v>3.7211121121565063E-2</v>
      </c>
      <c r="AV11" s="13">
        <v>0.20654960971720343</v>
      </c>
      <c r="AW11" s="13">
        <v>0.35273354073991953</v>
      </c>
      <c r="AX11" s="13">
        <v>100.40002793036862</v>
      </c>
      <c r="AY11" s="13">
        <v>108.82336228495737</v>
      </c>
      <c r="AZ11" s="13">
        <v>5.5441168686041236</v>
      </c>
      <c r="BA11" s="13">
        <v>5.8888888888888893</v>
      </c>
      <c r="BB11" s="13">
        <v>14.105123087159015</v>
      </c>
      <c r="BC11" s="14">
        <v>0.46334431630971989</v>
      </c>
      <c r="BD11" s="14">
        <v>0.44324324324324327</v>
      </c>
      <c r="BE11" s="13">
        <v>12.315824293669502</v>
      </c>
      <c r="BF11" s="14">
        <v>0.5243243243243243</v>
      </c>
      <c r="BG11" s="14">
        <v>0.11351351351351352</v>
      </c>
      <c r="BH11" s="13">
        <v>2.7999261837642462</v>
      </c>
      <c r="BI11" s="13">
        <v>5.7271217395177763</v>
      </c>
      <c r="BJ11" s="13">
        <v>3.9830985831761643</v>
      </c>
      <c r="BK11" s="13">
        <v>14.974900025525399</v>
      </c>
      <c r="BL11" s="13">
        <v>2.343117062161264</v>
      </c>
      <c r="BM11" s="13">
        <v>0.73812313739239555</v>
      </c>
      <c r="BN11" s="13">
        <v>15.635858234885337</v>
      </c>
      <c r="BO11" s="15" t="s">
        <v>187</v>
      </c>
      <c r="BP11" s="15">
        <v>400000</v>
      </c>
      <c r="BQ11" s="12" t="s">
        <v>271</v>
      </c>
      <c r="BR11" s="26">
        <v>409.52</v>
      </c>
      <c r="BS11" s="27">
        <v>572.82000000000005</v>
      </c>
      <c r="BT11" s="27">
        <v>163.30000000000001</v>
      </c>
      <c r="BU11" s="26">
        <f t="shared" si="24"/>
        <v>11.375555555555557</v>
      </c>
      <c r="BV11" s="26">
        <f t="shared" si="25"/>
        <v>15.911666666666669</v>
      </c>
      <c r="BW11" s="26">
        <f t="shared" si="25"/>
        <v>4.5361111111111114</v>
      </c>
      <c r="BX11" s="31">
        <f t="shared" si="21"/>
        <v>27.243063447625918</v>
      </c>
      <c r="BY11" s="31">
        <f t="shared" si="22"/>
        <v>38.10649444244256</v>
      </c>
      <c r="BZ11" s="31">
        <f t="shared" si="23"/>
        <v>10.863430994816643</v>
      </c>
      <c r="CA11" s="34">
        <v>21</v>
      </c>
      <c r="CB11" s="34">
        <v>15</v>
      </c>
    </row>
    <row r="12" spans="1:80" x14ac:dyDescent="0.4">
      <c r="A12" s="12" t="s">
        <v>191</v>
      </c>
      <c r="B12" s="12" t="s">
        <v>182</v>
      </c>
      <c r="C12" s="12" t="s">
        <v>269</v>
      </c>
      <c r="D12" s="11">
        <v>49</v>
      </c>
      <c r="E12" s="11">
        <v>33</v>
      </c>
      <c r="F12" s="11">
        <v>55</v>
      </c>
      <c r="G12" s="10">
        <v>99702</v>
      </c>
      <c r="H12" s="7">
        <v>909</v>
      </c>
      <c r="I12" s="17">
        <f t="shared" si="0"/>
        <v>18.551020408163264</v>
      </c>
      <c r="J12" s="7">
        <v>285</v>
      </c>
      <c r="K12" s="7">
        <v>716</v>
      </c>
      <c r="L12" s="17">
        <f t="shared" si="1"/>
        <v>5.8163265306122449</v>
      </c>
      <c r="M12" s="17">
        <f t="shared" si="2"/>
        <v>14.612244897959183</v>
      </c>
      <c r="N12" s="33">
        <f t="shared" si="3"/>
        <v>0.39804469273743015</v>
      </c>
      <c r="O12" s="5">
        <v>167</v>
      </c>
      <c r="P12" s="7">
        <v>337</v>
      </c>
      <c r="Q12" s="17">
        <f t="shared" si="4"/>
        <v>3.4081632653061225</v>
      </c>
      <c r="R12" s="17">
        <f t="shared" si="5"/>
        <v>6.8775510204081636</v>
      </c>
      <c r="S12" s="33">
        <f t="shared" si="6"/>
        <v>0.49554896142433236</v>
      </c>
      <c r="T12" s="7">
        <v>118</v>
      </c>
      <c r="U12" s="7">
        <v>379</v>
      </c>
      <c r="V12" s="17">
        <f t="shared" si="7"/>
        <v>2.4081632653061225</v>
      </c>
      <c r="W12" s="17">
        <f t="shared" si="8"/>
        <v>7.7346938775510203</v>
      </c>
      <c r="X12" s="33">
        <f t="shared" si="9"/>
        <v>0.31134564643799473</v>
      </c>
      <c r="Y12" s="5">
        <v>221</v>
      </c>
      <c r="Z12" s="5">
        <v>253</v>
      </c>
      <c r="AA12" s="17">
        <f t="shared" si="10"/>
        <v>4.5102040816326534</v>
      </c>
      <c r="AB12" s="17">
        <f t="shared" si="11"/>
        <v>5.1632653061224492</v>
      </c>
      <c r="AC12" s="33">
        <f t="shared" si="12"/>
        <v>0.87351778656126478</v>
      </c>
      <c r="AD12" s="11">
        <v>126</v>
      </c>
      <c r="AE12" s="17">
        <f t="shared" si="13"/>
        <v>2.5714285714285716</v>
      </c>
      <c r="AF12" s="12">
        <v>16</v>
      </c>
      <c r="AG12" s="17">
        <f t="shared" si="14"/>
        <v>0.32653061224489793</v>
      </c>
      <c r="AH12" s="7">
        <v>110</v>
      </c>
      <c r="AI12" s="17">
        <f t="shared" si="15"/>
        <v>2.2448979591836733</v>
      </c>
      <c r="AJ12" s="7">
        <v>256</v>
      </c>
      <c r="AK12" s="17">
        <f t="shared" si="16"/>
        <v>5.2244897959183669</v>
      </c>
      <c r="AL12" s="7">
        <v>68</v>
      </c>
      <c r="AM12" s="17">
        <f t="shared" si="17"/>
        <v>1.3877551020408163</v>
      </c>
      <c r="AN12" s="7">
        <v>9</v>
      </c>
      <c r="AO12" s="17">
        <f t="shared" si="18"/>
        <v>0.18367346938775511</v>
      </c>
      <c r="AP12" s="7">
        <v>121</v>
      </c>
      <c r="AQ12" s="17">
        <f t="shared" si="19"/>
        <v>2.4693877551020407</v>
      </c>
      <c r="AR12" s="7">
        <v>120</v>
      </c>
      <c r="AS12" s="17">
        <f t="shared" si="20"/>
        <v>2.4489795918367347</v>
      </c>
      <c r="AT12" s="13">
        <v>4.6241336350969258</v>
      </c>
      <c r="AU12" s="13">
        <v>0.11129640198799198</v>
      </c>
      <c r="AV12" s="13">
        <v>3.7824588876413205</v>
      </c>
      <c r="AW12" s="13">
        <v>0.841674747455605</v>
      </c>
      <c r="AX12" s="13">
        <v>112.32180568288422</v>
      </c>
      <c r="AY12" s="13">
        <v>109.54060205172649</v>
      </c>
      <c r="AZ12" s="13">
        <v>11.482364100548269</v>
      </c>
      <c r="BA12" s="13">
        <v>16</v>
      </c>
      <c r="BB12" s="13">
        <v>18.86977886977887</v>
      </c>
      <c r="BC12" s="14">
        <v>0.54936421215490983</v>
      </c>
      <c r="BD12" s="14">
        <v>0.48044692737430167</v>
      </c>
      <c r="BE12" s="13">
        <v>24.977037483290612</v>
      </c>
      <c r="BF12" s="14">
        <v>0.52932960893854752</v>
      </c>
      <c r="BG12" s="14">
        <v>0.35335195530726254</v>
      </c>
      <c r="BH12" s="13">
        <v>1.0026449983942014</v>
      </c>
      <c r="BI12" s="13">
        <v>6.8931843639601347</v>
      </c>
      <c r="BJ12" s="13">
        <v>3.6882479175852221</v>
      </c>
      <c r="BK12" s="13">
        <v>24.272113143444081</v>
      </c>
      <c r="BL12" s="13">
        <v>2.3055397760846881</v>
      </c>
      <c r="BM12" s="13">
        <v>0.54515925086032946</v>
      </c>
      <c r="BN12" s="13">
        <v>12.75940610764299</v>
      </c>
      <c r="BO12" s="15" t="s">
        <v>187</v>
      </c>
      <c r="BP12" s="15">
        <v>40000</v>
      </c>
      <c r="BQ12" s="12" t="s">
        <v>274</v>
      </c>
      <c r="BR12" s="26">
        <v>1362.93</v>
      </c>
      <c r="BS12" s="27">
        <v>1974.93</v>
      </c>
      <c r="BT12" s="27">
        <v>612</v>
      </c>
      <c r="BU12" s="26">
        <f t="shared" si="24"/>
        <v>27.814897959183675</v>
      </c>
      <c r="BV12" s="26">
        <f t="shared" si="25"/>
        <v>40.304693877551024</v>
      </c>
      <c r="BW12" s="26">
        <f t="shared" si="25"/>
        <v>12.489795918367347</v>
      </c>
      <c r="BX12" s="31">
        <f t="shared" si="21"/>
        <v>32.808088102545582</v>
      </c>
      <c r="BY12" s="31">
        <f t="shared" si="22"/>
        <v>47.539989167719803</v>
      </c>
      <c r="BZ12" s="31">
        <f t="shared" si="23"/>
        <v>14.731901065174219</v>
      </c>
      <c r="CA12" s="35">
        <v>27</v>
      </c>
      <c r="CB12" s="35">
        <v>22</v>
      </c>
    </row>
    <row r="13" spans="1:80" x14ac:dyDescent="0.4">
      <c r="A13" s="12" t="s">
        <v>191</v>
      </c>
      <c r="B13" s="12" t="s">
        <v>182</v>
      </c>
      <c r="C13" s="9" t="s">
        <v>125</v>
      </c>
      <c r="D13" s="22">
        <v>48</v>
      </c>
      <c r="E13" s="22">
        <v>12</v>
      </c>
      <c r="F13" s="22">
        <v>50</v>
      </c>
      <c r="G13" s="10">
        <v>36937</v>
      </c>
      <c r="H13" s="5">
        <v>238</v>
      </c>
      <c r="I13" s="17">
        <f t="shared" si="0"/>
        <v>4.958333333333333</v>
      </c>
      <c r="J13" s="7">
        <v>83</v>
      </c>
      <c r="K13" s="7">
        <v>216</v>
      </c>
      <c r="L13" s="17">
        <f t="shared" si="1"/>
        <v>1.7291666666666667</v>
      </c>
      <c r="M13" s="17">
        <f t="shared" si="2"/>
        <v>4.5</v>
      </c>
      <c r="N13" s="33">
        <f t="shared" si="3"/>
        <v>0.38425925925925924</v>
      </c>
      <c r="O13" s="12">
        <v>34</v>
      </c>
      <c r="P13" s="12">
        <v>67</v>
      </c>
      <c r="Q13" s="17">
        <f t="shared" si="4"/>
        <v>0.70833333333333337</v>
      </c>
      <c r="R13" s="17">
        <f t="shared" si="5"/>
        <v>1.3958333333333333</v>
      </c>
      <c r="S13" s="33">
        <f t="shared" si="6"/>
        <v>0.5074626865671642</v>
      </c>
      <c r="T13" s="12">
        <v>49</v>
      </c>
      <c r="U13" s="12">
        <v>149</v>
      </c>
      <c r="V13" s="17">
        <f t="shared" si="7"/>
        <v>1.0208333333333333</v>
      </c>
      <c r="W13" s="17">
        <f t="shared" si="8"/>
        <v>3.1041666666666665</v>
      </c>
      <c r="X13" s="33">
        <f t="shared" si="9"/>
        <v>0.32885906040268459</v>
      </c>
      <c r="Y13" s="12">
        <v>23</v>
      </c>
      <c r="Z13" s="12">
        <v>33</v>
      </c>
      <c r="AA13" s="17">
        <f t="shared" si="10"/>
        <v>0.47916666666666669</v>
      </c>
      <c r="AB13" s="17">
        <f t="shared" si="11"/>
        <v>0.6875</v>
      </c>
      <c r="AC13" s="33">
        <f t="shared" si="12"/>
        <v>0.69696969696969702</v>
      </c>
      <c r="AD13" s="12">
        <v>85</v>
      </c>
      <c r="AE13" s="17">
        <f t="shared" si="13"/>
        <v>1.7708333333333333</v>
      </c>
      <c r="AF13" s="12">
        <v>32</v>
      </c>
      <c r="AG13" s="17">
        <f t="shared" si="14"/>
        <v>0.66666666666666663</v>
      </c>
      <c r="AH13" s="12">
        <v>53</v>
      </c>
      <c r="AI13" s="17">
        <f t="shared" si="15"/>
        <v>1.1041666666666667</v>
      </c>
      <c r="AJ13" s="12">
        <v>34</v>
      </c>
      <c r="AK13" s="17">
        <f t="shared" si="16"/>
        <v>0.70833333333333337</v>
      </c>
      <c r="AL13" s="12">
        <v>21</v>
      </c>
      <c r="AM13" s="17">
        <f t="shared" si="17"/>
        <v>0.4375</v>
      </c>
      <c r="AN13" s="12">
        <v>9</v>
      </c>
      <c r="AO13" s="17">
        <f t="shared" si="18"/>
        <v>0.1875</v>
      </c>
      <c r="AP13" s="12">
        <v>16</v>
      </c>
      <c r="AQ13" s="17">
        <f t="shared" si="19"/>
        <v>0.33333333333333331</v>
      </c>
      <c r="AR13" s="12">
        <v>79</v>
      </c>
      <c r="AS13" s="17">
        <f t="shared" si="20"/>
        <v>1.6458333333333333</v>
      </c>
      <c r="AT13" s="13">
        <v>1.2187199375289766</v>
      </c>
      <c r="AU13" s="13">
        <v>7.9137658281102377E-2</v>
      </c>
      <c r="AV13" s="13">
        <v>0.85808931103555508</v>
      </c>
      <c r="AW13" s="13">
        <v>0.36063062649342142</v>
      </c>
      <c r="AX13" s="13">
        <v>111.03678947951154</v>
      </c>
      <c r="AY13" s="13">
        <v>108.83476836096132</v>
      </c>
      <c r="AZ13" s="13">
        <v>7.6921237383512988</v>
      </c>
      <c r="BA13" s="13">
        <v>4.75</v>
      </c>
      <c r="BB13" s="13">
        <v>14.805194805194805</v>
      </c>
      <c r="BC13" s="14">
        <v>0.51622418879056042</v>
      </c>
      <c r="BD13" s="14">
        <v>0.49768518518518517</v>
      </c>
      <c r="BE13" s="13">
        <v>17.15978582983514</v>
      </c>
      <c r="BF13" s="14">
        <v>0.68981481481481477</v>
      </c>
      <c r="BG13" s="14">
        <v>0.15277777777777779</v>
      </c>
      <c r="BH13" s="13">
        <v>5.2996949915122071</v>
      </c>
      <c r="BI13" s="13">
        <v>8.7776198296920924</v>
      </c>
      <c r="BJ13" s="13">
        <v>6.5757027782344242</v>
      </c>
      <c r="BK13" s="13">
        <v>8.020444269707097</v>
      </c>
      <c r="BL13" s="13">
        <v>1.9209299696882076</v>
      </c>
      <c r="BM13" s="13">
        <v>1.4407780201308706</v>
      </c>
      <c r="BN13" s="13">
        <v>6.4903456109037805</v>
      </c>
      <c r="BO13" s="15" t="s">
        <v>187</v>
      </c>
      <c r="BP13" s="15">
        <v>85000</v>
      </c>
      <c r="BQ13" s="12" t="s">
        <v>273</v>
      </c>
      <c r="BR13" s="26">
        <v>420.4</v>
      </c>
      <c r="BS13" s="27">
        <v>575.4</v>
      </c>
      <c r="BT13" s="27">
        <v>155</v>
      </c>
      <c r="BU13" s="26">
        <f t="shared" si="24"/>
        <v>8.7583333333333329</v>
      </c>
      <c r="BV13" s="26">
        <f t="shared" si="25"/>
        <v>11.987499999999999</v>
      </c>
      <c r="BW13" s="26">
        <f t="shared" si="25"/>
        <v>3.2291666666666665</v>
      </c>
      <c r="BX13" s="31">
        <f t="shared" si="21"/>
        <v>27.31569970490294</v>
      </c>
      <c r="BY13" s="31">
        <f t="shared" si="22"/>
        <v>37.386902022362399</v>
      </c>
      <c r="BZ13" s="31">
        <f t="shared" si="23"/>
        <v>10.071202317459457</v>
      </c>
      <c r="CA13" s="35">
        <v>26</v>
      </c>
      <c r="CB13" s="35">
        <v>22</v>
      </c>
    </row>
    <row r="14" spans="1:80" x14ac:dyDescent="0.4">
      <c r="A14" s="12" t="s">
        <v>191</v>
      </c>
      <c r="B14" s="12" t="s">
        <v>182</v>
      </c>
      <c r="C14" s="19" t="s">
        <v>119</v>
      </c>
      <c r="D14" s="22">
        <v>49</v>
      </c>
      <c r="E14" s="24">
        <v>16</v>
      </c>
      <c r="F14" s="24">
        <v>6</v>
      </c>
      <c r="G14" s="10">
        <v>47320</v>
      </c>
      <c r="H14" s="5">
        <v>131</v>
      </c>
      <c r="I14" s="17">
        <f t="shared" si="0"/>
        <v>2.6734693877551021</v>
      </c>
      <c r="J14" s="7">
        <v>40</v>
      </c>
      <c r="K14" s="7">
        <v>146</v>
      </c>
      <c r="L14" s="17">
        <f t="shared" si="1"/>
        <v>0.81632653061224492</v>
      </c>
      <c r="M14" s="17">
        <f t="shared" si="2"/>
        <v>2.9795918367346941</v>
      </c>
      <c r="N14" s="33">
        <f t="shared" si="3"/>
        <v>0.27397260273972601</v>
      </c>
      <c r="O14" s="12">
        <v>9</v>
      </c>
      <c r="P14" s="12">
        <v>23</v>
      </c>
      <c r="Q14" s="17">
        <f t="shared" si="4"/>
        <v>0.18367346938775511</v>
      </c>
      <c r="R14" s="17">
        <f t="shared" si="5"/>
        <v>0.46938775510204084</v>
      </c>
      <c r="S14" s="33">
        <f t="shared" si="6"/>
        <v>0.39130434782608697</v>
      </c>
      <c r="T14" s="12">
        <v>31</v>
      </c>
      <c r="U14" s="12">
        <v>123</v>
      </c>
      <c r="V14" s="17">
        <f t="shared" si="7"/>
        <v>0.63265306122448983</v>
      </c>
      <c r="W14" s="17">
        <f t="shared" si="8"/>
        <v>2.510204081632653</v>
      </c>
      <c r="X14" s="33">
        <f t="shared" si="9"/>
        <v>0.25203252032520324</v>
      </c>
      <c r="Y14" s="12">
        <v>20</v>
      </c>
      <c r="Z14" s="12">
        <v>24</v>
      </c>
      <c r="AA14" s="17">
        <f t="shared" si="10"/>
        <v>0.40816326530612246</v>
      </c>
      <c r="AB14" s="17">
        <f t="shared" si="11"/>
        <v>0.48979591836734693</v>
      </c>
      <c r="AC14" s="33">
        <f t="shared" si="12"/>
        <v>0.83333333333333337</v>
      </c>
      <c r="AD14" s="12">
        <v>105</v>
      </c>
      <c r="AE14" s="17">
        <f t="shared" si="13"/>
        <v>2.1428571428571428</v>
      </c>
      <c r="AF14" s="12">
        <v>39</v>
      </c>
      <c r="AG14" s="17">
        <f t="shared" si="14"/>
        <v>0.79591836734693877</v>
      </c>
      <c r="AH14" s="12">
        <v>66</v>
      </c>
      <c r="AI14" s="17">
        <f t="shared" si="15"/>
        <v>1.346938775510204</v>
      </c>
      <c r="AJ14" s="12">
        <v>42</v>
      </c>
      <c r="AK14" s="17">
        <f t="shared" si="16"/>
        <v>0.8571428571428571</v>
      </c>
      <c r="AL14" s="12">
        <v>26</v>
      </c>
      <c r="AM14" s="17">
        <f t="shared" si="17"/>
        <v>0.53061224489795922</v>
      </c>
      <c r="AN14" s="12">
        <v>8</v>
      </c>
      <c r="AO14" s="17">
        <f t="shared" si="18"/>
        <v>0.16326530612244897</v>
      </c>
      <c r="AP14" s="12">
        <v>28</v>
      </c>
      <c r="AQ14" s="17">
        <f t="shared" si="19"/>
        <v>0.5714285714285714</v>
      </c>
      <c r="AR14" s="12">
        <v>111</v>
      </c>
      <c r="AS14" s="17">
        <f t="shared" si="20"/>
        <v>2.2653061224489797</v>
      </c>
      <c r="AT14" s="13">
        <v>0.25174096385543443</v>
      </c>
      <c r="AU14" s="13">
        <v>1.2764150784912382E-2</v>
      </c>
      <c r="AV14" s="13">
        <v>-0.16956545324080977</v>
      </c>
      <c r="AW14" s="13">
        <v>0.42130641709624422</v>
      </c>
      <c r="AX14" s="13">
        <v>93.794751094560141</v>
      </c>
      <c r="AY14" s="13">
        <v>109.29402710770762</v>
      </c>
      <c r="AZ14" s="13">
        <v>2.2725077463212875</v>
      </c>
      <c r="BA14" s="13">
        <v>3.5510204081632653</v>
      </c>
      <c r="BB14" s="13">
        <v>8.8224109519584246</v>
      </c>
      <c r="BC14" s="14">
        <v>0.41836995401124172</v>
      </c>
      <c r="BD14" s="14">
        <v>0.38013698630136988</v>
      </c>
      <c r="BE14" s="13">
        <v>10.240257662105231</v>
      </c>
      <c r="BF14" s="14">
        <v>0.84246575342465757</v>
      </c>
      <c r="BG14" s="14">
        <v>0.16438356164383561</v>
      </c>
      <c r="BH14" s="13">
        <v>5.148480868113082</v>
      </c>
      <c r="BI14" s="13">
        <v>8.7128137768067528</v>
      </c>
      <c r="BJ14" s="13">
        <v>6.474796853248729</v>
      </c>
      <c r="BK14" s="13">
        <v>7.0475711049584691</v>
      </c>
      <c r="BL14" s="13">
        <v>1.8570531840311908</v>
      </c>
      <c r="BM14" s="13">
        <v>1.0208411092714702</v>
      </c>
      <c r="BN14" s="13">
        <v>15.17121803207629</v>
      </c>
      <c r="BO14" s="15" t="s">
        <v>187</v>
      </c>
      <c r="BP14" s="15">
        <v>600000</v>
      </c>
      <c r="BQ14" s="12" t="s">
        <v>273</v>
      </c>
      <c r="BR14" s="26">
        <v>427.17</v>
      </c>
      <c r="BS14" s="27">
        <v>569.16999999999996</v>
      </c>
      <c r="BT14" s="27">
        <v>142</v>
      </c>
      <c r="BU14" s="26">
        <f t="shared" si="24"/>
        <v>8.7177551020408153</v>
      </c>
      <c r="BV14" s="26">
        <f t="shared" si="25"/>
        <v>11.615714285714285</v>
      </c>
      <c r="BW14" s="26">
        <f t="shared" si="25"/>
        <v>2.8979591836734695</v>
      </c>
      <c r="BX14" s="31">
        <f t="shared" ref="BX14:BX77" si="26">BY14-BZ14</f>
        <v>21.665426880811495</v>
      </c>
      <c r="BY14" s="31">
        <f t="shared" ref="BY14:BY77" si="27">BS14*2400/$G14</f>
        <v>28.867455621301776</v>
      </c>
      <c r="BZ14" s="31">
        <f t="shared" ref="BZ14:BZ77" si="28">BT14*2400/$G14</f>
        <v>7.2020287404902792</v>
      </c>
      <c r="CA14" s="35">
        <v>25</v>
      </c>
      <c r="CB14" s="35">
        <v>24</v>
      </c>
    </row>
    <row r="15" spans="1:80" x14ac:dyDescent="0.4">
      <c r="A15" s="12" t="s">
        <v>191</v>
      </c>
      <c r="B15" s="12" t="s">
        <v>182</v>
      </c>
      <c r="C15" s="12" t="s">
        <v>219</v>
      </c>
      <c r="D15" s="22">
        <v>35</v>
      </c>
      <c r="E15" s="24">
        <v>8</v>
      </c>
      <c r="F15" s="24">
        <v>29</v>
      </c>
      <c r="G15" s="10">
        <v>17811</v>
      </c>
      <c r="H15" s="5">
        <v>130</v>
      </c>
      <c r="I15" s="17">
        <f t="shared" si="0"/>
        <v>3.7142857142857144</v>
      </c>
      <c r="J15" s="7">
        <v>53</v>
      </c>
      <c r="K15" s="7">
        <v>128</v>
      </c>
      <c r="L15" s="17">
        <f t="shared" si="1"/>
        <v>1.5142857142857142</v>
      </c>
      <c r="M15" s="17">
        <f t="shared" si="2"/>
        <v>3.657142857142857</v>
      </c>
      <c r="N15" s="33">
        <f t="shared" si="3"/>
        <v>0.4140625</v>
      </c>
      <c r="O15" s="12">
        <v>42</v>
      </c>
      <c r="P15" s="12">
        <v>88</v>
      </c>
      <c r="Q15" s="17">
        <f t="shared" si="4"/>
        <v>1.2</v>
      </c>
      <c r="R15" s="17">
        <f t="shared" si="5"/>
        <v>2.5142857142857142</v>
      </c>
      <c r="S15" s="33">
        <f t="shared" si="6"/>
        <v>0.47727272727272729</v>
      </c>
      <c r="T15" s="12">
        <v>11</v>
      </c>
      <c r="U15" s="12">
        <v>40</v>
      </c>
      <c r="V15" s="17">
        <f t="shared" si="7"/>
        <v>0.31428571428571428</v>
      </c>
      <c r="W15" s="17">
        <f t="shared" si="8"/>
        <v>1.1428571428571428</v>
      </c>
      <c r="X15" s="33">
        <f t="shared" si="9"/>
        <v>0.27500000000000002</v>
      </c>
      <c r="Y15" s="12">
        <v>13</v>
      </c>
      <c r="Z15" s="12">
        <v>22</v>
      </c>
      <c r="AA15" s="17">
        <f t="shared" si="10"/>
        <v>0.37142857142857144</v>
      </c>
      <c r="AB15" s="17">
        <f t="shared" si="11"/>
        <v>0.62857142857142856</v>
      </c>
      <c r="AC15" s="33">
        <f t="shared" si="12"/>
        <v>0.59090909090909094</v>
      </c>
      <c r="AD15" s="12">
        <v>100</v>
      </c>
      <c r="AE15" s="17">
        <f t="shared" si="13"/>
        <v>2.8571428571428572</v>
      </c>
      <c r="AF15" s="12">
        <v>41</v>
      </c>
      <c r="AG15" s="17">
        <f t="shared" si="14"/>
        <v>1.1714285714285715</v>
      </c>
      <c r="AH15" s="12">
        <v>59</v>
      </c>
      <c r="AI15" s="17">
        <f t="shared" si="15"/>
        <v>1.6857142857142857</v>
      </c>
      <c r="AJ15" s="12">
        <v>20</v>
      </c>
      <c r="AK15" s="17">
        <f t="shared" si="16"/>
        <v>0.5714285714285714</v>
      </c>
      <c r="AL15" s="12">
        <v>7</v>
      </c>
      <c r="AM15" s="17">
        <f t="shared" si="17"/>
        <v>0.2</v>
      </c>
      <c r="AN15" s="12">
        <v>12</v>
      </c>
      <c r="AO15" s="17">
        <f t="shared" si="18"/>
        <v>0.34285714285714286</v>
      </c>
      <c r="AP15" s="12">
        <v>19</v>
      </c>
      <c r="AQ15" s="17">
        <f t="shared" si="19"/>
        <v>0.54285714285714282</v>
      </c>
      <c r="AR15" s="12">
        <v>56</v>
      </c>
      <c r="AS15" s="17">
        <f t="shared" si="20"/>
        <v>1.6</v>
      </c>
      <c r="AT15" s="13">
        <v>0.46973400451570813</v>
      </c>
      <c r="AU15" s="13">
        <v>6.3281594770569716E-2</v>
      </c>
      <c r="AV15" s="13">
        <v>0.12580221564224256</v>
      </c>
      <c r="AW15" s="13">
        <v>0.34393178887346559</v>
      </c>
      <c r="AX15" s="13">
        <v>100.17104492896603</v>
      </c>
      <c r="AY15" s="13">
        <v>103.71551113187363</v>
      </c>
      <c r="AZ15" s="13">
        <v>6.7301659554406807</v>
      </c>
      <c r="BA15" s="13">
        <v>4.7428571428571429</v>
      </c>
      <c r="BB15" s="13">
        <v>22.363177097951162</v>
      </c>
      <c r="BC15" s="14">
        <v>0.47210923881464262</v>
      </c>
      <c r="BD15" s="14">
        <v>0.45703125</v>
      </c>
      <c r="BE15" s="13">
        <v>16.498566431686232</v>
      </c>
      <c r="BF15" s="14">
        <v>0.3125</v>
      </c>
      <c r="BG15" s="14">
        <v>0.171875</v>
      </c>
      <c r="BH15" s="13">
        <v>10.272063536471045</v>
      </c>
      <c r="BI15" s="13">
        <v>14.78174996711687</v>
      </c>
      <c r="BJ15" s="13">
        <v>11.702972701353303</v>
      </c>
      <c r="BK15" s="13">
        <v>7.0898939470030422</v>
      </c>
      <c r="BL15" s="13">
        <v>1.3284230831635542</v>
      </c>
      <c r="BM15" s="13">
        <v>2.9060879515409832</v>
      </c>
      <c r="BN15" s="13">
        <v>12.126627521062037</v>
      </c>
      <c r="BO15" s="15" t="s">
        <v>189</v>
      </c>
      <c r="BP15" s="15">
        <v>600000</v>
      </c>
      <c r="BQ15" s="12" t="s">
        <v>272</v>
      </c>
      <c r="BR15" s="26">
        <v>267.41000000000003</v>
      </c>
      <c r="BS15" s="27">
        <v>375.21</v>
      </c>
      <c r="BT15" s="27">
        <v>107.8</v>
      </c>
      <c r="BU15" s="26">
        <f t="shared" si="24"/>
        <v>7.6402857142857137</v>
      </c>
      <c r="BV15" s="26">
        <f t="shared" si="25"/>
        <v>10.720285714285714</v>
      </c>
      <c r="BW15" s="26">
        <f t="shared" si="25"/>
        <v>3.08</v>
      </c>
      <c r="BX15" s="31">
        <f t="shared" si="26"/>
        <v>36.033013306383701</v>
      </c>
      <c r="BY15" s="31">
        <f t="shared" si="27"/>
        <v>50.558868115209705</v>
      </c>
      <c r="BZ15" s="31">
        <f t="shared" si="28"/>
        <v>14.525854808826006</v>
      </c>
      <c r="CA15" s="35">
        <v>14</v>
      </c>
      <c r="CB15" s="35">
        <v>21</v>
      </c>
    </row>
    <row r="16" spans="1:80" x14ac:dyDescent="0.4">
      <c r="A16" s="12" t="s">
        <v>191</v>
      </c>
      <c r="B16" s="12" t="s">
        <v>182</v>
      </c>
      <c r="C16" s="4" t="s">
        <v>255</v>
      </c>
      <c r="D16" s="22">
        <v>2</v>
      </c>
      <c r="E16" s="22">
        <v>0</v>
      </c>
      <c r="F16" s="22">
        <v>47</v>
      </c>
      <c r="G16" s="10">
        <v>93</v>
      </c>
      <c r="H16" s="5">
        <v>0</v>
      </c>
      <c r="I16" s="17">
        <f t="shared" si="0"/>
        <v>0</v>
      </c>
      <c r="J16" s="7">
        <v>0</v>
      </c>
      <c r="K16" s="7">
        <v>1</v>
      </c>
      <c r="L16" s="17">
        <f t="shared" si="1"/>
        <v>0</v>
      </c>
      <c r="M16" s="17">
        <f t="shared" si="2"/>
        <v>0.5</v>
      </c>
      <c r="N16" s="33">
        <f t="shared" si="3"/>
        <v>0</v>
      </c>
      <c r="O16" s="12">
        <v>0</v>
      </c>
      <c r="P16" s="12">
        <v>0</v>
      </c>
      <c r="Q16" s="17">
        <f t="shared" si="4"/>
        <v>0</v>
      </c>
      <c r="R16" s="17">
        <f t="shared" si="5"/>
        <v>0</v>
      </c>
      <c r="S16" s="33" t="e">
        <f t="shared" si="6"/>
        <v>#DIV/0!</v>
      </c>
      <c r="T16" s="12">
        <v>0</v>
      </c>
      <c r="U16" s="12">
        <v>1</v>
      </c>
      <c r="V16" s="17">
        <f t="shared" si="7"/>
        <v>0</v>
      </c>
      <c r="W16" s="17">
        <f t="shared" si="8"/>
        <v>0.5</v>
      </c>
      <c r="X16" s="33">
        <f t="shared" si="9"/>
        <v>0</v>
      </c>
      <c r="Y16" s="12">
        <v>0</v>
      </c>
      <c r="Z16" s="12">
        <v>0</v>
      </c>
      <c r="AA16" s="17">
        <f t="shared" si="10"/>
        <v>0</v>
      </c>
      <c r="AB16" s="17">
        <f t="shared" si="11"/>
        <v>0</v>
      </c>
      <c r="AC16" s="33" t="e">
        <f t="shared" si="12"/>
        <v>#DIV/0!</v>
      </c>
      <c r="AD16" s="12">
        <v>0</v>
      </c>
      <c r="AE16" s="17">
        <f t="shared" si="13"/>
        <v>0</v>
      </c>
      <c r="AF16" s="12">
        <v>0</v>
      </c>
      <c r="AG16" s="17">
        <f t="shared" si="14"/>
        <v>0</v>
      </c>
      <c r="AH16" s="12">
        <v>0</v>
      </c>
      <c r="AI16" s="17">
        <f t="shared" si="15"/>
        <v>0</v>
      </c>
      <c r="AJ16" s="12">
        <v>0</v>
      </c>
      <c r="AK16" s="17">
        <f t="shared" si="16"/>
        <v>0</v>
      </c>
      <c r="AL16" s="12">
        <v>0</v>
      </c>
      <c r="AM16" s="17">
        <f t="shared" si="17"/>
        <v>0</v>
      </c>
      <c r="AN16" s="12">
        <v>0</v>
      </c>
      <c r="AO16" s="17">
        <f t="shared" si="18"/>
        <v>0</v>
      </c>
      <c r="AP16" s="12">
        <v>0</v>
      </c>
      <c r="AQ16" s="17">
        <f t="shared" si="19"/>
        <v>0</v>
      </c>
      <c r="AR16" s="12">
        <v>1</v>
      </c>
      <c r="AS16" s="17">
        <f t="shared" si="20"/>
        <v>0.5</v>
      </c>
      <c r="AT16" s="13">
        <v>-2.1017174379593693E-2</v>
      </c>
      <c r="AU16" s="13">
        <v>-0.53660870756409429</v>
      </c>
      <c r="AV16" s="13">
        <v>-2.0714220201677291E-2</v>
      </c>
      <c r="AW16" s="13">
        <v>-3.0295417791640023E-4</v>
      </c>
      <c r="AX16" s="13">
        <v>0</v>
      </c>
      <c r="AY16" s="13">
        <v>115.79394955485914</v>
      </c>
      <c r="AZ16" s="13">
        <v>-1.2796219628632941</v>
      </c>
      <c r="BA16" s="13">
        <v>-0.5</v>
      </c>
      <c r="BB16" s="13">
        <v>-25.531914893617021</v>
      </c>
      <c r="BC16" s="14">
        <v>0</v>
      </c>
      <c r="BD16" s="14">
        <v>0</v>
      </c>
      <c r="BE16" s="13">
        <v>1.1403878230908766</v>
      </c>
      <c r="BF16" s="14">
        <v>1</v>
      </c>
      <c r="BG16" s="14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5" t="s">
        <v>187</v>
      </c>
      <c r="BP16" s="15">
        <v>120000</v>
      </c>
      <c r="BQ16" s="12" t="s">
        <v>271</v>
      </c>
      <c r="BR16" s="26">
        <v>-0.51</v>
      </c>
      <c r="BS16" s="27">
        <v>0.39</v>
      </c>
      <c r="BT16" s="27">
        <v>0.9</v>
      </c>
      <c r="BU16" s="26">
        <f t="shared" si="24"/>
        <v>-0.255</v>
      </c>
      <c r="BV16" s="26">
        <f t="shared" si="25"/>
        <v>0.19500000000000001</v>
      </c>
      <c r="BW16" s="26">
        <f t="shared" si="25"/>
        <v>0.45</v>
      </c>
      <c r="BX16" s="31">
        <f t="shared" si="26"/>
        <v>-13.161290322580646</v>
      </c>
      <c r="BY16" s="31">
        <f t="shared" si="27"/>
        <v>10.064516129032258</v>
      </c>
      <c r="BZ16" s="31">
        <f t="shared" si="28"/>
        <v>23.225806451612904</v>
      </c>
      <c r="CA16" s="34">
        <v>1</v>
      </c>
      <c r="CB16" s="34">
        <v>1</v>
      </c>
    </row>
    <row r="17" spans="1:80" x14ac:dyDescent="0.4">
      <c r="A17" s="12" t="s">
        <v>191</v>
      </c>
      <c r="B17" s="12" t="s">
        <v>182</v>
      </c>
      <c r="C17" s="8" t="s">
        <v>109</v>
      </c>
      <c r="D17" s="22">
        <v>42</v>
      </c>
      <c r="E17" s="22">
        <v>5</v>
      </c>
      <c r="F17" s="22">
        <v>50</v>
      </c>
      <c r="G17" s="10">
        <v>14708</v>
      </c>
      <c r="H17" s="5">
        <v>33</v>
      </c>
      <c r="I17" s="17">
        <f t="shared" si="0"/>
        <v>0.7857142857142857</v>
      </c>
      <c r="J17" s="7">
        <v>14</v>
      </c>
      <c r="K17" s="7">
        <v>36</v>
      </c>
      <c r="L17" s="17">
        <f t="shared" si="1"/>
        <v>0.33333333333333331</v>
      </c>
      <c r="M17" s="17">
        <f t="shared" si="2"/>
        <v>0.8571428571428571</v>
      </c>
      <c r="N17" s="33">
        <f t="shared" si="3"/>
        <v>0.3888888888888889</v>
      </c>
      <c r="O17" s="12">
        <v>12</v>
      </c>
      <c r="P17" s="12">
        <v>25</v>
      </c>
      <c r="Q17" s="17">
        <f t="shared" si="4"/>
        <v>0.2857142857142857</v>
      </c>
      <c r="R17" s="17">
        <f t="shared" si="5"/>
        <v>0.59523809523809523</v>
      </c>
      <c r="S17" s="33">
        <f t="shared" si="6"/>
        <v>0.48</v>
      </c>
      <c r="T17" s="12">
        <v>2</v>
      </c>
      <c r="U17" s="12">
        <v>11</v>
      </c>
      <c r="V17" s="17">
        <f t="shared" si="7"/>
        <v>4.7619047619047616E-2</v>
      </c>
      <c r="W17" s="17">
        <f t="shared" si="8"/>
        <v>0.26190476190476192</v>
      </c>
      <c r="X17" s="33">
        <f t="shared" si="9"/>
        <v>0.18181818181818182</v>
      </c>
      <c r="Y17" s="12">
        <v>3</v>
      </c>
      <c r="Z17" s="12">
        <v>10</v>
      </c>
      <c r="AA17" s="17">
        <f t="shared" si="10"/>
        <v>7.1428571428571425E-2</v>
      </c>
      <c r="AB17" s="17">
        <f t="shared" si="11"/>
        <v>0.23809523809523808</v>
      </c>
      <c r="AC17" s="33">
        <f t="shared" si="12"/>
        <v>0.3</v>
      </c>
      <c r="AD17" s="12">
        <v>21</v>
      </c>
      <c r="AE17" s="17">
        <f t="shared" si="13"/>
        <v>0.5</v>
      </c>
      <c r="AF17" s="12">
        <v>12</v>
      </c>
      <c r="AG17" s="17">
        <f t="shared" si="14"/>
        <v>0.2857142857142857</v>
      </c>
      <c r="AH17" s="12">
        <v>9</v>
      </c>
      <c r="AI17" s="17">
        <f t="shared" si="15"/>
        <v>0.21428571428571427</v>
      </c>
      <c r="AJ17" s="12">
        <v>27</v>
      </c>
      <c r="AK17" s="17">
        <f t="shared" si="16"/>
        <v>0.6428571428571429</v>
      </c>
      <c r="AL17" s="12">
        <v>13</v>
      </c>
      <c r="AM17" s="17">
        <f t="shared" si="17"/>
        <v>0.30952380952380953</v>
      </c>
      <c r="AN17" s="12">
        <v>0</v>
      </c>
      <c r="AO17" s="17">
        <f t="shared" si="18"/>
        <v>0</v>
      </c>
      <c r="AP17" s="12">
        <v>15</v>
      </c>
      <c r="AQ17" s="17">
        <f t="shared" si="19"/>
        <v>0.35714285714285715</v>
      </c>
      <c r="AR17" s="12">
        <v>50</v>
      </c>
      <c r="AS17" s="17">
        <f t="shared" si="20"/>
        <v>1.1904761904761905</v>
      </c>
      <c r="AT17" s="13">
        <v>-2.1624149879526433E-2</v>
      </c>
      <c r="AU17" s="13">
        <v>-3.5304734497186015E-3</v>
      </c>
      <c r="AV17" s="13">
        <v>-0.15801649853380934</v>
      </c>
      <c r="AW17" s="13">
        <v>0.1363923486542829</v>
      </c>
      <c r="AX17" s="13">
        <v>87.874467868335316</v>
      </c>
      <c r="AY17" s="13">
        <v>109.09154084303141</v>
      </c>
      <c r="AZ17" s="13">
        <v>0.89376368179912469</v>
      </c>
      <c r="BA17" s="13">
        <v>1.1904761904761905</v>
      </c>
      <c r="BB17" s="13">
        <v>8.1632653061224492</v>
      </c>
      <c r="BC17" s="14">
        <v>0.40841584158415845</v>
      </c>
      <c r="BD17" s="14">
        <v>0.41666666666666669</v>
      </c>
      <c r="BE17" s="13">
        <v>8.4838337536114992</v>
      </c>
      <c r="BF17" s="14">
        <v>0.30555555555555558</v>
      </c>
      <c r="BG17" s="14">
        <v>0.27777777777777779</v>
      </c>
      <c r="BH17" s="13">
        <v>4.372248367997571</v>
      </c>
      <c r="BI17" s="13">
        <v>3.2791862759981782</v>
      </c>
      <c r="BJ17" s="13">
        <v>3.5740878629932986</v>
      </c>
      <c r="BK17" s="13">
        <v>12.475933769734308</v>
      </c>
      <c r="BL17" s="13">
        <v>2.989855626290217</v>
      </c>
      <c r="BM17" s="13">
        <v>0</v>
      </c>
      <c r="BN17" s="13">
        <v>27.075812274368232</v>
      </c>
      <c r="BO17" s="15" t="s">
        <v>187</v>
      </c>
      <c r="BP17" s="15">
        <v>390000</v>
      </c>
      <c r="BQ17" s="12" t="s">
        <v>271</v>
      </c>
      <c r="BR17" s="26">
        <v>131.58000000000001</v>
      </c>
      <c r="BS17" s="27">
        <v>180.78</v>
      </c>
      <c r="BT17" s="27">
        <v>49.2</v>
      </c>
      <c r="BU17" s="26">
        <f t="shared" si="24"/>
        <v>3.1328571428571426</v>
      </c>
      <c r="BV17" s="26">
        <f t="shared" si="25"/>
        <v>4.3042857142857143</v>
      </c>
      <c r="BW17" s="26">
        <f t="shared" si="25"/>
        <v>1.1714285714285715</v>
      </c>
      <c r="BX17" s="31">
        <f t="shared" si="26"/>
        <v>21.470764209953764</v>
      </c>
      <c r="BY17" s="31">
        <f t="shared" si="27"/>
        <v>29.499048137068261</v>
      </c>
      <c r="BZ17" s="31">
        <f t="shared" si="28"/>
        <v>8.0282839271144955</v>
      </c>
      <c r="CA17" s="35">
        <v>20</v>
      </c>
      <c r="CB17" s="35">
        <v>22</v>
      </c>
    </row>
    <row r="18" spans="1:80" x14ac:dyDescent="0.4">
      <c r="A18" s="12" t="s">
        <v>191</v>
      </c>
      <c r="B18" s="12" t="s">
        <v>182</v>
      </c>
      <c r="C18" s="4" t="s">
        <v>95</v>
      </c>
      <c r="D18" s="22">
        <v>48</v>
      </c>
      <c r="E18" s="22">
        <v>24</v>
      </c>
      <c r="F18" s="22">
        <v>51</v>
      </c>
      <c r="G18" s="10">
        <v>71567</v>
      </c>
      <c r="H18" s="5">
        <v>278</v>
      </c>
      <c r="I18" s="17">
        <f t="shared" si="0"/>
        <v>5.791666666666667</v>
      </c>
      <c r="J18" s="7">
        <v>108</v>
      </c>
      <c r="K18" s="7">
        <v>267</v>
      </c>
      <c r="L18" s="17">
        <f t="shared" si="1"/>
        <v>2.25</v>
      </c>
      <c r="M18" s="17">
        <f t="shared" si="2"/>
        <v>5.5625</v>
      </c>
      <c r="N18" s="33">
        <f t="shared" si="3"/>
        <v>0.4044943820224719</v>
      </c>
      <c r="O18" s="12">
        <v>59</v>
      </c>
      <c r="P18" s="12">
        <v>120</v>
      </c>
      <c r="Q18" s="17">
        <f t="shared" si="4"/>
        <v>1.2291666666666667</v>
      </c>
      <c r="R18" s="17">
        <f t="shared" si="5"/>
        <v>2.5</v>
      </c>
      <c r="S18" s="33">
        <f t="shared" si="6"/>
        <v>0.49166666666666664</v>
      </c>
      <c r="T18" s="12">
        <v>49</v>
      </c>
      <c r="U18" s="12">
        <v>147</v>
      </c>
      <c r="V18" s="17">
        <f t="shared" si="7"/>
        <v>1.0208333333333333</v>
      </c>
      <c r="W18" s="17">
        <f t="shared" si="8"/>
        <v>3.0625</v>
      </c>
      <c r="X18" s="33">
        <f t="shared" si="9"/>
        <v>0.33333333333333331</v>
      </c>
      <c r="Y18" s="12">
        <v>13</v>
      </c>
      <c r="Z18" s="12">
        <v>16</v>
      </c>
      <c r="AA18" s="17">
        <f t="shared" si="10"/>
        <v>0.27083333333333331</v>
      </c>
      <c r="AB18" s="17">
        <f t="shared" si="11"/>
        <v>0.33333333333333331</v>
      </c>
      <c r="AC18" s="33">
        <f t="shared" si="12"/>
        <v>0.8125</v>
      </c>
      <c r="AD18" s="11">
        <v>111</v>
      </c>
      <c r="AE18" s="17">
        <f t="shared" si="13"/>
        <v>2.3125</v>
      </c>
      <c r="AF18" s="12">
        <v>48</v>
      </c>
      <c r="AG18" s="17">
        <f t="shared" si="14"/>
        <v>1</v>
      </c>
      <c r="AH18" s="12">
        <v>63</v>
      </c>
      <c r="AI18" s="17">
        <f t="shared" si="15"/>
        <v>1.3125</v>
      </c>
      <c r="AJ18" s="12">
        <v>61</v>
      </c>
      <c r="AK18" s="17">
        <f t="shared" si="16"/>
        <v>1.2708333333333333</v>
      </c>
      <c r="AL18" s="12">
        <v>38</v>
      </c>
      <c r="AM18" s="17">
        <f t="shared" si="17"/>
        <v>0.79166666666666663</v>
      </c>
      <c r="AN18" s="12">
        <v>9</v>
      </c>
      <c r="AO18" s="17">
        <f t="shared" si="18"/>
        <v>0.1875</v>
      </c>
      <c r="AP18" s="12">
        <v>24</v>
      </c>
      <c r="AQ18" s="17">
        <f t="shared" si="19"/>
        <v>0.5</v>
      </c>
      <c r="AR18" s="12">
        <v>85</v>
      </c>
      <c r="AS18" s="17">
        <f t="shared" si="20"/>
        <v>1.7708333333333333</v>
      </c>
      <c r="AT18" s="13">
        <v>1.4209851588366851</v>
      </c>
      <c r="AU18" s="13">
        <v>4.7652084468031021E-2</v>
      </c>
      <c r="AV18" s="13">
        <v>1.0283836366019066</v>
      </c>
      <c r="AW18" s="13">
        <v>0.39260152223477857</v>
      </c>
      <c r="AX18" s="13">
        <v>110.4763408991154</v>
      </c>
      <c r="AY18" s="13">
        <v>111.12493426644788</v>
      </c>
      <c r="AZ18" s="13">
        <v>5.7417284353370937</v>
      </c>
      <c r="BA18" s="13">
        <v>6.479166666666667</v>
      </c>
      <c r="BB18" s="13">
        <v>10.429242119382964</v>
      </c>
      <c r="BC18" s="14">
        <v>0.5072252225952415</v>
      </c>
      <c r="BD18" s="14">
        <v>0.49625468164794007</v>
      </c>
      <c r="BE18" s="13">
        <v>10.713893882842541</v>
      </c>
      <c r="BF18" s="14">
        <v>0.550561797752809</v>
      </c>
      <c r="BG18" s="14">
        <v>5.9925093632958802E-2</v>
      </c>
      <c r="BH18" s="13">
        <v>4.1053975286362165</v>
      </c>
      <c r="BI18" s="13">
        <v>5.3883342563350345</v>
      </c>
      <c r="BJ18" s="13">
        <v>4.4346495952633145</v>
      </c>
      <c r="BK18" s="13">
        <v>6.9828005609134882</v>
      </c>
      <c r="BL18" s="13">
        <v>1.7951011118481348</v>
      </c>
      <c r="BM18" s="13">
        <v>0.74406376626476889</v>
      </c>
      <c r="BN18" s="13">
        <v>8.0526103878674</v>
      </c>
      <c r="BO18" s="15" t="s">
        <v>187</v>
      </c>
      <c r="BP18" s="15"/>
      <c r="BQ18" s="12" t="s">
        <v>273</v>
      </c>
      <c r="BR18" s="26">
        <v>663.6</v>
      </c>
      <c r="BS18" s="27">
        <v>851.2</v>
      </c>
      <c r="BT18" s="27">
        <v>187.6</v>
      </c>
      <c r="BU18" s="26">
        <f t="shared" si="24"/>
        <v>13.825000000000001</v>
      </c>
      <c r="BV18" s="26">
        <f t="shared" si="25"/>
        <v>17.733333333333334</v>
      </c>
      <c r="BW18" s="26">
        <f t="shared" si="25"/>
        <v>3.9083333333333332</v>
      </c>
      <c r="BX18" s="31">
        <f t="shared" si="26"/>
        <v>22.253832073441671</v>
      </c>
      <c r="BY18" s="31">
        <f t="shared" si="27"/>
        <v>28.544999790406195</v>
      </c>
      <c r="BZ18" s="31">
        <f t="shared" si="28"/>
        <v>6.291167716964523</v>
      </c>
      <c r="CA18" s="34">
        <v>24</v>
      </c>
      <c r="CB18" s="34">
        <v>24</v>
      </c>
    </row>
    <row r="19" spans="1:80" x14ac:dyDescent="0.4">
      <c r="A19" s="12" t="s">
        <v>191</v>
      </c>
      <c r="B19" s="12" t="s">
        <v>182</v>
      </c>
      <c r="C19" s="12" t="s">
        <v>159</v>
      </c>
      <c r="D19" s="11">
        <v>54</v>
      </c>
      <c r="E19" s="11">
        <v>34</v>
      </c>
      <c r="F19" s="11">
        <v>46</v>
      </c>
      <c r="G19" s="10">
        <v>112629</v>
      </c>
      <c r="H19" s="7">
        <v>826</v>
      </c>
      <c r="I19" s="17">
        <f t="shared" si="0"/>
        <v>15.296296296296296</v>
      </c>
      <c r="J19" s="7">
        <v>308</v>
      </c>
      <c r="K19" s="7">
        <v>724</v>
      </c>
      <c r="L19" s="17">
        <f t="shared" si="1"/>
        <v>5.7037037037037033</v>
      </c>
      <c r="M19" s="17">
        <f t="shared" si="2"/>
        <v>13.407407407407407</v>
      </c>
      <c r="N19" s="33">
        <f t="shared" si="3"/>
        <v>0.425414364640884</v>
      </c>
      <c r="O19" s="5">
        <v>192</v>
      </c>
      <c r="P19" s="7">
        <v>356</v>
      </c>
      <c r="Q19" s="17">
        <f t="shared" si="4"/>
        <v>3.5555555555555554</v>
      </c>
      <c r="R19" s="17">
        <f t="shared" si="5"/>
        <v>6.5925925925925926</v>
      </c>
      <c r="S19" s="33">
        <f t="shared" si="6"/>
        <v>0.5393258426966292</v>
      </c>
      <c r="T19" s="7">
        <v>116</v>
      </c>
      <c r="U19" s="7">
        <v>368</v>
      </c>
      <c r="V19" s="17">
        <f t="shared" si="7"/>
        <v>2.1481481481481484</v>
      </c>
      <c r="W19" s="17">
        <f t="shared" si="8"/>
        <v>6.8148148148148149</v>
      </c>
      <c r="X19" s="33">
        <f t="shared" si="9"/>
        <v>0.31521739130434784</v>
      </c>
      <c r="Y19" s="5">
        <v>94</v>
      </c>
      <c r="Z19" s="5">
        <v>106</v>
      </c>
      <c r="AA19" s="17">
        <f t="shared" si="10"/>
        <v>1.7407407407407407</v>
      </c>
      <c r="AB19" s="17">
        <f t="shared" si="11"/>
        <v>1.962962962962963</v>
      </c>
      <c r="AC19" s="33">
        <f t="shared" si="12"/>
        <v>0.8867924528301887</v>
      </c>
      <c r="AD19" s="11">
        <v>353</v>
      </c>
      <c r="AE19" s="17">
        <f t="shared" si="13"/>
        <v>6.5370370370370372</v>
      </c>
      <c r="AF19" s="12">
        <v>116</v>
      </c>
      <c r="AG19" s="17">
        <f t="shared" si="14"/>
        <v>2.1481481481481484</v>
      </c>
      <c r="AH19" s="7">
        <v>237</v>
      </c>
      <c r="AI19" s="17">
        <f t="shared" si="15"/>
        <v>4.3888888888888893</v>
      </c>
      <c r="AJ19" s="7">
        <v>216</v>
      </c>
      <c r="AK19" s="17">
        <f t="shared" si="16"/>
        <v>4</v>
      </c>
      <c r="AL19" s="7">
        <v>59</v>
      </c>
      <c r="AM19" s="17">
        <f t="shared" si="17"/>
        <v>1.0925925925925926</v>
      </c>
      <c r="AN19" s="7">
        <v>21</v>
      </c>
      <c r="AO19" s="17">
        <f t="shared" si="18"/>
        <v>0.3888888888888889</v>
      </c>
      <c r="AP19" s="7">
        <v>114</v>
      </c>
      <c r="AQ19" s="17">
        <f t="shared" si="19"/>
        <v>2.1111111111111112</v>
      </c>
      <c r="AR19" s="7">
        <v>78</v>
      </c>
      <c r="AS19" s="17">
        <f t="shared" si="20"/>
        <v>1.4444444444444444</v>
      </c>
      <c r="AT19" s="13">
        <v>4.4410332229247036</v>
      </c>
      <c r="AU19" s="13">
        <v>9.4620927302113633E-2</v>
      </c>
      <c r="AV19" s="13">
        <v>3.1645976559886915</v>
      </c>
      <c r="AW19" s="13">
        <v>1.2764355669360117</v>
      </c>
      <c r="AX19" s="13">
        <v>110.54140905272325</v>
      </c>
      <c r="AY19" s="13">
        <v>107.9907460141726</v>
      </c>
      <c r="AZ19" s="13">
        <v>13.115850532157109</v>
      </c>
      <c r="BA19" s="13">
        <v>17.277777777777779</v>
      </c>
      <c r="BB19" s="13">
        <v>19.878555449025246</v>
      </c>
      <c r="BC19" s="14">
        <v>0.53591819786151773</v>
      </c>
      <c r="BD19" s="14">
        <v>0.50552486187845302</v>
      </c>
      <c r="BE19" s="13">
        <v>22.730170728426806</v>
      </c>
      <c r="BF19" s="14">
        <v>0.50828729281767959</v>
      </c>
      <c r="BG19" s="14">
        <v>0.14640883977900551</v>
      </c>
      <c r="BH19" s="13">
        <v>7.0914542881392375</v>
      </c>
      <c r="BI19" s="13">
        <v>14.488574709387924</v>
      </c>
      <c r="BJ19" s="13">
        <v>10.080321313811396</v>
      </c>
      <c r="BK19" s="13">
        <v>20.276295821143044</v>
      </c>
      <c r="BL19" s="13">
        <v>1.7707944324812992</v>
      </c>
      <c r="BM19" s="13">
        <v>1.240938563199967</v>
      </c>
      <c r="BN19" s="13">
        <v>12.88659793814433</v>
      </c>
      <c r="BO19" s="15" t="s">
        <v>188</v>
      </c>
      <c r="BP19" s="15"/>
      <c r="BQ19" s="12" t="s">
        <v>273</v>
      </c>
      <c r="BR19" s="26">
        <v>1550.89</v>
      </c>
      <c r="BS19" s="27">
        <v>2122.29</v>
      </c>
      <c r="BT19" s="27">
        <v>571.4</v>
      </c>
      <c r="BU19" s="26">
        <f t="shared" si="24"/>
        <v>28.720185185185187</v>
      </c>
      <c r="BV19" s="26">
        <f t="shared" si="25"/>
        <v>39.301666666666669</v>
      </c>
      <c r="BW19" s="26">
        <f t="shared" si="25"/>
        <v>10.581481481481481</v>
      </c>
      <c r="BX19" s="31">
        <f t="shared" si="26"/>
        <v>33.047758570172867</v>
      </c>
      <c r="BY19" s="31">
        <f t="shared" si="27"/>
        <v>45.223663532482753</v>
      </c>
      <c r="BZ19" s="31">
        <f t="shared" si="28"/>
        <v>12.175904962309884</v>
      </c>
      <c r="CA19" s="34">
        <v>28</v>
      </c>
      <c r="CB19" s="34">
        <v>26</v>
      </c>
    </row>
    <row r="20" spans="1:80" x14ac:dyDescent="0.4">
      <c r="A20" s="12" t="s">
        <v>191</v>
      </c>
      <c r="B20" s="12" t="s">
        <v>182</v>
      </c>
      <c r="C20" s="4" t="s">
        <v>113</v>
      </c>
      <c r="D20" s="22">
        <v>18</v>
      </c>
      <c r="E20" s="22">
        <v>8</v>
      </c>
      <c r="F20" s="22">
        <v>32</v>
      </c>
      <c r="G20" s="10">
        <v>9219</v>
      </c>
      <c r="H20" s="5">
        <v>55</v>
      </c>
      <c r="I20" s="17">
        <f t="shared" si="0"/>
        <v>3.0555555555555554</v>
      </c>
      <c r="J20" s="6">
        <v>20</v>
      </c>
      <c r="K20" s="6">
        <v>55</v>
      </c>
      <c r="L20" s="17">
        <f t="shared" si="1"/>
        <v>1.1111111111111112</v>
      </c>
      <c r="M20" s="17">
        <f t="shared" si="2"/>
        <v>3.0555555555555554</v>
      </c>
      <c r="N20" s="33">
        <f t="shared" si="3"/>
        <v>0.36363636363636365</v>
      </c>
      <c r="O20" s="12">
        <v>12</v>
      </c>
      <c r="P20" s="12">
        <v>19</v>
      </c>
      <c r="Q20" s="17">
        <f t="shared" si="4"/>
        <v>0.66666666666666663</v>
      </c>
      <c r="R20" s="17">
        <f t="shared" si="5"/>
        <v>1.0555555555555556</v>
      </c>
      <c r="S20" s="33">
        <f t="shared" si="6"/>
        <v>0.63157894736842102</v>
      </c>
      <c r="T20" s="12">
        <v>8</v>
      </c>
      <c r="U20" s="12">
        <v>36</v>
      </c>
      <c r="V20" s="17">
        <f t="shared" si="7"/>
        <v>0.44444444444444442</v>
      </c>
      <c r="W20" s="17">
        <f t="shared" si="8"/>
        <v>2</v>
      </c>
      <c r="X20" s="33">
        <f t="shared" si="9"/>
        <v>0.22222222222222221</v>
      </c>
      <c r="Y20" s="12">
        <v>7</v>
      </c>
      <c r="Z20" s="12">
        <v>10</v>
      </c>
      <c r="AA20" s="17">
        <f t="shared" si="10"/>
        <v>0.3888888888888889</v>
      </c>
      <c r="AB20" s="17">
        <f t="shared" si="11"/>
        <v>0.55555555555555558</v>
      </c>
      <c r="AC20" s="33">
        <f t="shared" si="12"/>
        <v>0.7</v>
      </c>
      <c r="AD20" s="12">
        <v>6</v>
      </c>
      <c r="AE20" s="17">
        <f t="shared" si="13"/>
        <v>0.33333333333333331</v>
      </c>
      <c r="AF20" s="12">
        <v>1</v>
      </c>
      <c r="AG20" s="17">
        <f t="shared" si="14"/>
        <v>5.5555555555555552E-2</v>
      </c>
      <c r="AH20" s="12">
        <v>5</v>
      </c>
      <c r="AI20" s="17">
        <f t="shared" si="15"/>
        <v>0.27777777777777779</v>
      </c>
      <c r="AJ20" s="12">
        <v>11</v>
      </c>
      <c r="AK20" s="17">
        <f t="shared" si="16"/>
        <v>0.61111111111111116</v>
      </c>
      <c r="AL20" s="12">
        <v>3</v>
      </c>
      <c r="AM20" s="17">
        <f t="shared" si="17"/>
        <v>0.16666666666666666</v>
      </c>
      <c r="AN20" s="12">
        <v>0</v>
      </c>
      <c r="AO20" s="17">
        <f t="shared" si="18"/>
        <v>0</v>
      </c>
      <c r="AP20" s="12">
        <v>7</v>
      </c>
      <c r="AQ20" s="17">
        <f t="shared" si="19"/>
        <v>0.3888888888888889</v>
      </c>
      <c r="AR20" s="12">
        <v>18</v>
      </c>
      <c r="AS20" s="17">
        <f t="shared" si="20"/>
        <v>1</v>
      </c>
      <c r="AT20" s="13">
        <v>-2.7113157171635989E-2</v>
      </c>
      <c r="AU20" s="13">
        <v>-7.0607180134468726E-3</v>
      </c>
      <c r="AV20" s="13">
        <v>-3.153436141215428E-2</v>
      </c>
      <c r="AW20" s="13">
        <v>4.4212042405182917E-3</v>
      </c>
      <c r="AX20" s="13">
        <v>95.266870137419076</v>
      </c>
      <c r="AY20" s="13">
        <v>113.80882435775037</v>
      </c>
      <c r="AZ20" s="13">
        <v>1.1991945182598689</v>
      </c>
      <c r="BA20" s="13">
        <v>1.6666666666666667</v>
      </c>
      <c r="BB20" s="13">
        <v>7.8125</v>
      </c>
      <c r="BC20" s="14">
        <v>0.46296296296296297</v>
      </c>
      <c r="BD20" s="14">
        <v>0.43636363636363634</v>
      </c>
      <c r="BE20" s="13">
        <v>6.9510201529336095</v>
      </c>
      <c r="BF20" s="14">
        <v>0.65454545454545454</v>
      </c>
      <c r="BG20" s="14">
        <v>0.18181818181818182</v>
      </c>
      <c r="BH20" s="13">
        <v>0.24907013815090329</v>
      </c>
      <c r="BI20" s="13">
        <v>1.2453506907545164</v>
      </c>
      <c r="BJ20" s="13">
        <v>0.69806403574087861</v>
      </c>
      <c r="BK20" s="13">
        <v>3.4693019343986542</v>
      </c>
      <c r="BL20" s="13">
        <v>1.1005327951338688</v>
      </c>
      <c r="BM20" s="13">
        <v>0</v>
      </c>
      <c r="BN20" s="13">
        <v>10.542168674698795</v>
      </c>
      <c r="BO20" s="15" t="s">
        <v>187</v>
      </c>
      <c r="BP20" s="15">
        <v>500000</v>
      </c>
      <c r="BQ20" s="12" t="s">
        <v>271</v>
      </c>
      <c r="BR20" s="26">
        <v>83.31</v>
      </c>
      <c r="BS20" s="27">
        <v>128.41</v>
      </c>
      <c r="BT20" s="27">
        <v>45.1</v>
      </c>
      <c r="BU20" s="26">
        <f t="shared" si="24"/>
        <v>4.628333333333333</v>
      </c>
      <c r="BV20" s="26">
        <f t="shared" si="25"/>
        <v>7.1338888888888885</v>
      </c>
      <c r="BW20" s="26">
        <f t="shared" si="25"/>
        <v>2.5055555555555555</v>
      </c>
      <c r="BX20" s="31">
        <f t="shared" si="26"/>
        <v>21.688252521965506</v>
      </c>
      <c r="BY20" s="31">
        <f t="shared" si="27"/>
        <v>33.429222258379433</v>
      </c>
      <c r="BZ20" s="31">
        <f t="shared" si="28"/>
        <v>11.740969736413927</v>
      </c>
      <c r="CA20" s="34">
        <v>5</v>
      </c>
      <c r="CB20" s="34">
        <v>13</v>
      </c>
    </row>
    <row r="21" spans="1:80" x14ac:dyDescent="0.4">
      <c r="A21" s="12" t="s">
        <v>191</v>
      </c>
      <c r="B21" s="12" t="s">
        <v>198</v>
      </c>
      <c r="C21" s="8" t="s">
        <v>87</v>
      </c>
      <c r="D21" s="23">
        <v>37</v>
      </c>
      <c r="E21" s="24">
        <v>13</v>
      </c>
      <c r="F21" s="24">
        <v>59</v>
      </c>
      <c r="G21" s="10">
        <v>31033</v>
      </c>
      <c r="H21" s="5">
        <v>133</v>
      </c>
      <c r="I21" s="17">
        <f t="shared" si="0"/>
        <v>3.5945945945945947</v>
      </c>
      <c r="J21" s="7">
        <v>49</v>
      </c>
      <c r="K21" s="7">
        <v>159</v>
      </c>
      <c r="L21" s="17">
        <f t="shared" si="1"/>
        <v>1.3243243243243243</v>
      </c>
      <c r="M21" s="17">
        <f t="shared" si="2"/>
        <v>4.2972972972972974</v>
      </c>
      <c r="N21" s="33">
        <f t="shared" si="3"/>
        <v>0.3081761006289308</v>
      </c>
      <c r="O21" s="12">
        <v>21</v>
      </c>
      <c r="P21" s="12">
        <v>60</v>
      </c>
      <c r="Q21" s="17">
        <f t="shared" si="4"/>
        <v>0.56756756756756754</v>
      </c>
      <c r="R21" s="17">
        <f t="shared" si="5"/>
        <v>1.6216216216216217</v>
      </c>
      <c r="S21" s="33">
        <f t="shared" si="6"/>
        <v>0.35</v>
      </c>
      <c r="T21" s="12">
        <v>28</v>
      </c>
      <c r="U21" s="12">
        <v>99</v>
      </c>
      <c r="V21" s="17">
        <f t="shared" si="7"/>
        <v>0.7567567567567568</v>
      </c>
      <c r="W21" s="17">
        <f t="shared" si="8"/>
        <v>2.6756756756756759</v>
      </c>
      <c r="X21" s="33">
        <f t="shared" si="9"/>
        <v>0.28282828282828282</v>
      </c>
      <c r="Y21" s="12">
        <v>7</v>
      </c>
      <c r="Z21" s="12">
        <v>7</v>
      </c>
      <c r="AA21" s="17">
        <f t="shared" si="10"/>
        <v>0.1891891891891892</v>
      </c>
      <c r="AB21" s="17">
        <f t="shared" si="11"/>
        <v>0.1891891891891892</v>
      </c>
      <c r="AC21" s="33">
        <f t="shared" si="12"/>
        <v>1</v>
      </c>
      <c r="AD21" s="12">
        <v>71</v>
      </c>
      <c r="AE21" s="17">
        <f t="shared" si="13"/>
        <v>1.9189189189189189</v>
      </c>
      <c r="AF21" s="12">
        <v>21</v>
      </c>
      <c r="AG21" s="17">
        <f t="shared" si="14"/>
        <v>0.56756756756756754</v>
      </c>
      <c r="AH21" s="12">
        <v>50</v>
      </c>
      <c r="AI21" s="17">
        <f t="shared" si="15"/>
        <v>1.3513513513513513</v>
      </c>
      <c r="AJ21" s="12">
        <v>21</v>
      </c>
      <c r="AK21" s="17">
        <f t="shared" si="16"/>
        <v>0.56756756756756754</v>
      </c>
      <c r="AL21" s="12">
        <v>21</v>
      </c>
      <c r="AM21" s="17">
        <f t="shared" si="17"/>
        <v>0.56756756756756754</v>
      </c>
      <c r="AN21" s="12">
        <v>2</v>
      </c>
      <c r="AO21" s="17">
        <f t="shared" si="18"/>
        <v>5.4054054054054057E-2</v>
      </c>
      <c r="AP21" s="12">
        <v>17</v>
      </c>
      <c r="AQ21" s="17">
        <f t="shared" si="19"/>
        <v>0.45945945945945948</v>
      </c>
      <c r="AR21" s="12">
        <v>39</v>
      </c>
      <c r="AS21" s="17">
        <f t="shared" si="20"/>
        <v>1.0540540540540539</v>
      </c>
      <c r="AT21" s="13">
        <v>-0.34992926997709511</v>
      </c>
      <c r="AU21" s="13">
        <v>-2.7053772120768878E-2</v>
      </c>
      <c r="AV21" s="13">
        <v>-0.40762431849212716</v>
      </c>
      <c r="AW21" s="13">
        <v>5.7695048515032044E-2</v>
      </c>
      <c r="AX21" s="13">
        <v>87.732989413275376</v>
      </c>
      <c r="AY21" s="13">
        <v>112.98112891790515</v>
      </c>
      <c r="AZ21" s="13">
        <v>3.0666018786466802</v>
      </c>
      <c r="BA21" s="13">
        <v>3.2702702702702702</v>
      </c>
      <c r="BB21" s="13">
        <v>9.3547659697838483</v>
      </c>
      <c r="BC21" s="14">
        <v>0.41029121421520232</v>
      </c>
      <c r="BD21" s="14">
        <v>0.39622641509433965</v>
      </c>
      <c r="BE21" s="13">
        <v>11.440251029652405</v>
      </c>
      <c r="BF21" s="14">
        <v>0.62264150943396224</v>
      </c>
      <c r="BG21" s="14">
        <v>4.40251572327044E-2</v>
      </c>
      <c r="BH21" s="13">
        <v>3.1918976464821363</v>
      </c>
      <c r="BI21" s="13">
        <v>7.5997563011479432</v>
      </c>
      <c r="BJ21" s="13">
        <v>5.0409264654851844</v>
      </c>
      <c r="BK21" s="13">
        <v>4.1721163556894751</v>
      </c>
      <c r="BL21" s="13">
        <v>2.2870718577352749</v>
      </c>
      <c r="BM21" s="13">
        <v>0.29384163038028621</v>
      </c>
      <c r="BN21" s="13">
        <v>9.4929640384185827</v>
      </c>
      <c r="BO21" s="15" t="s">
        <v>187</v>
      </c>
      <c r="BP21" s="15">
        <v>45000</v>
      </c>
      <c r="BQ21" s="12" t="s">
        <v>273</v>
      </c>
      <c r="BR21" s="26">
        <v>271.39999999999998</v>
      </c>
      <c r="BS21" s="27">
        <v>399.8</v>
      </c>
      <c r="BT21" s="27">
        <v>128.4</v>
      </c>
      <c r="BU21" s="26">
        <f t="shared" si="24"/>
        <v>7.3351351351351353</v>
      </c>
      <c r="BV21" s="26">
        <f t="shared" si="25"/>
        <v>10.805405405405406</v>
      </c>
      <c r="BW21" s="26">
        <f t="shared" si="25"/>
        <v>3.4702702702702704</v>
      </c>
      <c r="BX21" s="31">
        <f t="shared" si="26"/>
        <v>20.989269487319952</v>
      </c>
      <c r="BY21" s="31">
        <f t="shared" si="27"/>
        <v>30.919343924209713</v>
      </c>
      <c r="BZ21" s="31">
        <f t="shared" si="28"/>
        <v>9.9300744368897629</v>
      </c>
      <c r="CA21" s="35">
        <v>14</v>
      </c>
      <c r="CB21" s="35">
        <v>23</v>
      </c>
    </row>
    <row r="22" spans="1:80" x14ac:dyDescent="0.4">
      <c r="A22" s="12" t="s">
        <v>191</v>
      </c>
      <c r="B22" s="12" t="s">
        <v>198</v>
      </c>
      <c r="C22" s="4" t="s">
        <v>221</v>
      </c>
      <c r="D22" s="22">
        <v>30</v>
      </c>
      <c r="E22" s="22">
        <v>13</v>
      </c>
      <c r="F22" s="22">
        <v>38</v>
      </c>
      <c r="G22" s="10">
        <v>24536</v>
      </c>
      <c r="H22" s="5">
        <v>98</v>
      </c>
      <c r="I22" s="17">
        <f t="shared" si="0"/>
        <v>3.2666666666666666</v>
      </c>
      <c r="J22" s="7">
        <v>37</v>
      </c>
      <c r="K22" s="7">
        <v>89</v>
      </c>
      <c r="L22" s="17">
        <f t="shared" si="1"/>
        <v>1.2333333333333334</v>
      </c>
      <c r="M22" s="17">
        <f t="shared" si="2"/>
        <v>2.9666666666666668</v>
      </c>
      <c r="N22" s="33">
        <f t="shared" si="3"/>
        <v>0.4157303370786517</v>
      </c>
      <c r="O22" s="12">
        <v>22</v>
      </c>
      <c r="P22" s="12">
        <v>36</v>
      </c>
      <c r="Q22" s="17">
        <f t="shared" si="4"/>
        <v>0.73333333333333328</v>
      </c>
      <c r="R22" s="17">
        <f t="shared" si="5"/>
        <v>1.2</v>
      </c>
      <c r="S22" s="33">
        <f t="shared" si="6"/>
        <v>0.61111111111111116</v>
      </c>
      <c r="T22" s="12">
        <v>15</v>
      </c>
      <c r="U22" s="12">
        <v>53</v>
      </c>
      <c r="V22" s="17">
        <f t="shared" si="7"/>
        <v>0.5</v>
      </c>
      <c r="W22" s="17">
        <f t="shared" si="8"/>
        <v>1.7666666666666666</v>
      </c>
      <c r="X22" s="33">
        <f t="shared" si="9"/>
        <v>0.28301886792452829</v>
      </c>
      <c r="Y22" s="12">
        <v>9</v>
      </c>
      <c r="Z22" s="12">
        <v>10</v>
      </c>
      <c r="AA22" s="17">
        <f t="shared" si="10"/>
        <v>0.3</v>
      </c>
      <c r="AB22" s="17">
        <f t="shared" si="11"/>
        <v>0.33333333333333331</v>
      </c>
      <c r="AC22" s="33">
        <f t="shared" si="12"/>
        <v>0.9</v>
      </c>
      <c r="AD22" s="12">
        <v>65</v>
      </c>
      <c r="AE22" s="17">
        <f t="shared" si="13"/>
        <v>2.1666666666666665</v>
      </c>
      <c r="AF22" s="12">
        <v>17</v>
      </c>
      <c r="AG22" s="17">
        <f t="shared" si="14"/>
        <v>0.56666666666666665</v>
      </c>
      <c r="AH22" s="12">
        <v>48</v>
      </c>
      <c r="AI22" s="17">
        <f t="shared" si="15"/>
        <v>1.6</v>
      </c>
      <c r="AJ22" s="12">
        <v>14</v>
      </c>
      <c r="AK22" s="17">
        <f t="shared" si="16"/>
        <v>0.46666666666666667</v>
      </c>
      <c r="AL22" s="12">
        <v>12</v>
      </c>
      <c r="AM22" s="17">
        <f t="shared" si="17"/>
        <v>0.4</v>
      </c>
      <c r="AN22" s="12">
        <v>4</v>
      </c>
      <c r="AO22" s="17">
        <f t="shared" si="18"/>
        <v>0.13333333333333333</v>
      </c>
      <c r="AP22" s="12">
        <v>14</v>
      </c>
      <c r="AQ22" s="17">
        <f t="shared" si="19"/>
        <v>0.46666666666666667</v>
      </c>
      <c r="AR22" s="12">
        <v>45</v>
      </c>
      <c r="AS22" s="17">
        <f t="shared" si="20"/>
        <v>1.5</v>
      </c>
      <c r="AT22" s="13">
        <v>0.18634483202971536</v>
      </c>
      <c r="AU22" s="13">
        <v>1.822443345033891E-2</v>
      </c>
      <c r="AV22" s="13">
        <v>0.14392971254539158</v>
      </c>
      <c r="AW22" s="13">
        <v>4.2415119484323777E-2</v>
      </c>
      <c r="AX22" s="13">
        <v>102.58266450810881</v>
      </c>
      <c r="AY22" s="13">
        <v>113.05709881850484</v>
      </c>
      <c r="AZ22" s="13">
        <v>2.8948094421494073</v>
      </c>
      <c r="BA22" s="13">
        <v>4.2</v>
      </c>
      <c r="BB22" s="13">
        <v>12.322738386308068</v>
      </c>
      <c r="BC22" s="14">
        <v>0.52462526766595285</v>
      </c>
      <c r="BD22" s="14">
        <v>0.5</v>
      </c>
      <c r="BE22" s="13">
        <v>7.0372245151566339</v>
      </c>
      <c r="BF22" s="14">
        <v>0.5955056179775281</v>
      </c>
      <c r="BG22" s="14">
        <v>0.11235955056179775</v>
      </c>
      <c r="BH22" s="13">
        <v>2.65025242355191</v>
      </c>
      <c r="BI22" s="13">
        <v>7.4830656664995097</v>
      </c>
      <c r="BJ22" s="13">
        <v>4.7334089465070175</v>
      </c>
      <c r="BK22" s="13">
        <v>2.7915323518660067</v>
      </c>
      <c r="BL22" s="13">
        <v>1.6532209030079439</v>
      </c>
      <c r="BM22" s="13">
        <v>0.6027704838363328</v>
      </c>
      <c r="BN22" s="13">
        <v>13.035381750465548</v>
      </c>
      <c r="BO22" s="15" t="s">
        <v>187</v>
      </c>
      <c r="BP22" s="15"/>
      <c r="BQ22" s="12" t="s">
        <v>273</v>
      </c>
      <c r="BR22" s="26">
        <v>240.73</v>
      </c>
      <c r="BS22" s="27">
        <v>310.73</v>
      </c>
      <c r="BT22" s="27">
        <v>70</v>
      </c>
      <c r="BU22" s="26">
        <f t="shared" si="24"/>
        <v>8.0243333333333329</v>
      </c>
      <c r="BV22" s="26">
        <f t="shared" si="25"/>
        <v>10.357666666666667</v>
      </c>
      <c r="BW22" s="26">
        <f t="shared" si="25"/>
        <v>2.3333333333333335</v>
      </c>
      <c r="BX22" s="31">
        <f t="shared" si="26"/>
        <v>23.547114444082162</v>
      </c>
      <c r="BY22" s="31">
        <f t="shared" si="27"/>
        <v>30.394196283012715</v>
      </c>
      <c r="BZ22" s="31">
        <f t="shared" si="28"/>
        <v>6.847081838930551</v>
      </c>
      <c r="CA22" s="35">
        <v>10</v>
      </c>
      <c r="CB22" s="35">
        <v>20</v>
      </c>
    </row>
    <row r="23" spans="1:80" x14ac:dyDescent="0.4">
      <c r="A23" s="12" t="s">
        <v>191</v>
      </c>
      <c r="B23" s="12" t="s">
        <v>198</v>
      </c>
      <c r="C23" s="4" t="s">
        <v>86</v>
      </c>
      <c r="D23" s="22">
        <v>53</v>
      </c>
      <c r="E23" s="22">
        <v>20</v>
      </c>
      <c r="F23" s="22">
        <v>59</v>
      </c>
      <c r="G23" s="10">
        <v>66710</v>
      </c>
      <c r="H23" s="5">
        <v>378</v>
      </c>
      <c r="I23" s="17">
        <f t="shared" si="0"/>
        <v>7.132075471698113</v>
      </c>
      <c r="J23" s="7">
        <v>170</v>
      </c>
      <c r="K23" s="7">
        <v>354</v>
      </c>
      <c r="L23" s="17">
        <f t="shared" si="1"/>
        <v>3.2075471698113209</v>
      </c>
      <c r="M23" s="17">
        <f t="shared" si="2"/>
        <v>6.6792452830188678</v>
      </c>
      <c r="N23" s="33">
        <f t="shared" si="3"/>
        <v>0.48022598870056499</v>
      </c>
      <c r="O23" s="12">
        <v>170</v>
      </c>
      <c r="P23" s="12">
        <v>349</v>
      </c>
      <c r="Q23" s="17">
        <f t="shared" si="4"/>
        <v>3.2075471698113209</v>
      </c>
      <c r="R23" s="17">
        <f t="shared" si="5"/>
        <v>6.5849056603773581</v>
      </c>
      <c r="S23" s="33">
        <f t="shared" si="6"/>
        <v>0.4871060171919771</v>
      </c>
      <c r="T23" s="12">
        <v>0</v>
      </c>
      <c r="U23" s="12">
        <v>5</v>
      </c>
      <c r="V23" s="17">
        <f t="shared" si="7"/>
        <v>0</v>
      </c>
      <c r="W23" s="17">
        <f t="shared" si="8"/>
        <v>9.4339622641509441E-2</v>
      </c>
      <c r="X23" s="33">
        <f t="shared" si="9"/>
        <v>0</v>
      </c>
      <c r="Y23" s="12">
        <v>38</v>
      </c>
      <c r="Z23" s="12">
        <v>49</v>
      </c>
      <c r="AA23" s="17">
        <f t="shared" si="10"/>
        <v>0.71698113207547165</v>
      </c>
      <c r="AB23" s="17">
        <f t="shared" si="11"/>
        <v>0.92452830188679247</v>
      </c>
      <c r="AC23" s="33">
        <f t="shared" si="12"/>
        <v>0.77551020408163263</v>
      </c>
      <c r="AD23" s="12">
        <v>236</v>
      </c>
      <c r="AE23" s="17">
        <f t="shared" si="13"/>
        <v>4.4528301886792452</v>
      </c>
      <c r="AF23" s="12">
        <v>76</v>
      </c>
      <c r="AG23" s="17">
        <f t="shared" si="14"/>
        <v>1.4339622641509433</v>
      </c>
      <c r="AH23" s="12">
        <v>160</v>
      </c>
      <c r="AI23" s="17">
        <f t="shared" si="15"/>
        <v>3.0188679245283021</v>
      </c>
      <c r="AJ23" s="12">
        <v>78</v>
      </c>
      <c r="AK23" s="17">
        <f t="shared" si="16"/>
        <v>1.4716981132075471</v>
      </c>
      <c r="AL23" s="12">
        <v>21</v>
      </c>
      <c r="AM23" s="17">
        <f t="shared" si="17"/>
        <v>0.39622641509433965</v>
      </c>
      <c r="AN23" s="12">
        <v>21</v>
      </c>
      <c r="AO23" s="17">
        <f t="shared" si="18"/>
        <v>0.39622641509433965</v>
      </c>
      <c r="AP23" s="12">
        <v>61</v>
      </c>
      <c r="AQ23" s="17">
        <f t="shared" si="19"/>
        <v>1.1509433962264151</v>
      </c>
      <c r="AR23" s="12">
        <v>134</v>
      </c>
      <c r="AS23" s="17">
        <f t="shared" si="20"/>
        <v>2.5283018867924527</v>
      </c>
      <c r="AT23" s="13">
        <v>0.52662358763199146</v>
      </c>
      <c r="AU23" s="13">
        <v>1.8941307271670833E-2</v>
      </c>
      <c r="AV23" s="13">
        <v>0.36780259352681116</v>
      </c>
      <c r="AW23" s="13">
        <v>0.15882099410518033</v>
      </c>
      <c r="AX23" s="13">
        <v>100.47785685675031</v>
      </c>
      <c r="AY23" s="13">
        <v>112.67664938526832</v>
      </c>
      <c r="AZ23" s="13">
        <v>7.5082081332684023</v>
      </c>
      <c r="BA23" s="13">
        <v>9.0188679245283012</v>
      </c>
      <c r="BB23" s="13">
        <v>17.192440841038859</v>
      </c>
      <c r="BC23" s="14">
        <v>0.503248482266482</v>
      </c>
      <c r="BD23" s="14">
        <v>0.48022598870056499</v>
      </c>
      <c r="BE23" s="13">
        <v>18.585259950978553</v>
      </c>
      <c r="BF23" s="14">
        <v>1.4124293785310734E-2</v>
      </c>
      <c r="BG23" s="14">
        <v>0.1384180790960452</v>
      </c>
      <c r="BH23" s="13">
        <v>7.6980279711897932</v>
      </c>
      <c r="BI23" s="13">
        <v>16.206374676189036</v>
      </c>
      <c r="BJ23" s="13">
        <v>11.166067456531882</v>
      </c>
      <c r="BK23" s="13">
        <v>11.838959790541482</v>
      </c>
      <c r="BL23" s="13">
        <v>1.064000654602727</v>
      </c>
      <c r="BM23" s="13">
        <v>2.0560745375974037</v>
      </c>
      <c r="BN23" s="13">
        <v>13.972878871174638</v>
      </c>
      <c r="BO23" s="15" t="s">
        <v>187</v>
      </c>
      <c r="BP23" s="15"/>
      <c r="BQ23" s="12" t="s">
        <v>272</v>
      </c>
      <c r="BR23" s="26">
        <v>818.66</v>
      </c>
      <c r="BS23" s="27">
        <v>1102.46</v>
      </c>
      <c r="BT23" s="27">
        <v>283.8</v>
      </c>
      <c r="BU23" s="26">
        <f t="shared" si="24"/>
        <v>15.446415094339624</v>
      </c>
      <c r="BV23" s="26">
        <f t="shared" si="25"/>
        <v>20.801132075471699</v>
      </c>
      <c r="BW23" s="26">
        <f t="shared" si="25"/>
        <v>5.3547169811320758</v>
      </c>
      <c r="BX23" s="31">
        <f t="shared" si="26"/>
        <v>29.452615799730175</v>
      </c>
      <c r="BY23" s="31">
        <f t="shared" si="27"/>
        <v>39.662779193524209</v>
      </c>
      <c r="BZ23" s="31">
        <f t="shared" si="28"/>
        <v>10.210163393794033</v>
      </c>
      <c r="CA23" s="34">
        <v>16</v>
      </c>
      <c r="CB23" s="34">
        <v>37</v>
      </c>
    </row>
    <row r="24" spans="1:80" x14ac:dyDescent="0.4">
      <c r="A24" s="12" t="s">
        <v>191</v>
      </c>
      <c r="B24" s="12" t="s">
        <v>198</v>
      </c>
      <c r="C24" s="8" t="s">
        <v>207</v>
      </c>
      <c r="D24" s="22">
        <v>20</v>
      </c>
      <c r="E24" s="22">
        <v>20</v>
      </c>
      <c r="F24" s="22">
        <v>4</v>
      </c>
      <c r="G24" s="10">
        <v>24085</v>
      </c>
      <c r="H24" s="5">
        <v>283</v>
      </c>
      <c r="I24" s="17">
        <f t="shared" si="0"/>
        <v>14.15</v>
      </c>
      <c r="J24" s="7">
        <v>113</v>
      </c>
      <c r="K24" s="7">
        <v>246</v>
      </c>
      <c r="L24" s="17">
        <f t="shared" si="1"/>
        <v>5.65</v>
      </c>
      <c r="M24" s="17">
        <f t="shared" si="2"/>
        <v>12.3</v>
      </c>
      <c r="N24" s="33">
        <f t="shared" si="3"/>
        <v>0.45934959349593496</v>
      </c>
      <c r="O24" s="12">
        <v>83</v>
      </c>
      <c r="P24" s="12">
        <v>157</v>
      </c>
      <c r="Q24" s="17">
        <f t="shared" si="4"/>
        <v>4.1500000000000004</v>
      </c>
      <c r="R24" s="17">
        <f t="shared" si="5"/>
        <v>7.85</v>
      </c>
      <c r="S24" s="33">
        <f t="shared" si="6"/>
        <v>0.5286624203821656</v>
      </c>
      <c r="T24" s="12">
        <v>30</v>
      </c>
      <c r="U24" s="12">
        <v>89</v>
      </c>
      <c r="V24" s="17">
        <f t="shared" si="7"/>
        <v>1.5</v>
      </c>
      <c r="W24" s="17">
        <f t="shared" si="8"/>
        <v>4.45</v>
      </c>
      <c r="X24" s="33">
        <f t="shared" si="9"/>
        <v>0.33707865168539325</v>
      </c>
      <c r="Y24" s="12">
        <v>27</v>
      </c>
      <c r="Z24" s="12">
        <v>56</v>
      </c>
      <c r="AA24" s="17">
        <f t="shared" si="10"/>
        <v>1.35</v>
      </c>
      <c r="AB24" s="17">
        <f t="shared" si="11"/>
        <v>2.8</v>
      </c>
      <c r="AC24" s="33">
        <f t="shared" si="12"/>
        <v>0.48214285714285715</v>
      </c>
      <c r="AD24" s="12">
        <v>120</v>
      </c>
      <c r="AE24" s="17">
        <f t="shared" si="13"/>
        <v>6</v>
      </c>
      <c r="AF24" s="12">
        <v>31</v>
      </c>
      <c r="AG24" s="17">
        <f t="shared" si="14"/>
        <v>1.55</v>
      </c>
      <c r="AH24" s="12">
        <v>89</v>
      </c>
      <c r="AI24" s="17">
        <f t="shared" si="15"/>
        <v>4.45</v>
      </c>
      <c r="AJ24" s="12">
        <v>26</v>
      </c>
      <c r="AK24" s="17">
        <f t="shared" si="16"/>
        <v>1.3</v>
      </c>
      <c r="AL24" s="12">
        <v>9</v>
      </c>
      <c r="AM24" s="17">
        <f t="shared" si="17"/>
        <v>0.45</v>
      </c>
      <c r="AN24" s="12">
        <v>9</v>
      </c>
      <c r="AO24" s="17">
        <f t="shared" si="18"/>
        <v>0.45</v>
      </c>
      <c r="AP24" s="12">
        <v>35</v>
      </c>
      <c r="AQ24" s="17">
        <f t="shared" si="19"/>
        <v>1.75</v>
      </c>
      <c r="AR24" s="12">
        <v>43</v>
      </c>
      <c r="AS24" s="17">
        <f t="shared" si="20"/>
        <v>2.15</v>
      </c>
      <c r="AT24" s="13">
        <v>0.23481187285755734</v>
      </c>
      <c r="AU24" s="13">
        <v>2.340317669676651E-2</v>
      </c>
      <c r="AV24" s="13">
        <v>1.1949353578066337E-2</v>
      </c>
      <c r="AW24" s="13">
        <v>0.22286251927949099</v>
      </c>
      <c r="AX24" s="13">
        <v>97.333054182824213</v>
      </c>
      <c r="AY24" s="13">
        <v>108.66353310628647</v>
      </c>
      <c r="AZ24" s="13">
        <v>5.2510252154437067</v>
      </c>
      <c r="BA24" s="13">
        <v>12.5</v>
      </c>
      <c r="BB24" s="13">
        <v>24.916943521594686</v>
      </c>
      <c r="BC24" s="14">
        <v>0.52283476204552171</v>
      </c>
      <c r="BD24" s="14">
        <v>0.52032520325203258</v>
      </c>
      <c r="BE24" s="13">
        <v>13.60611487518795</v>
      </c>
      <c r="BF24" s="14">
        <v>0.36178861788617889</v>
      </c>
      <c r="BG24" s="14">
        <v>0.22764227642276422</v>
      </c>
      <c r="BH24" s="13">
        <v>3.2834229507733697</v>
      </c>
      <c r="BI24" s="13">
        <v>9.4266013748009652</v>
      </c>
      <c r="BJ24" s="13">
        <v>5.9370230282280705</v>
      </c>
      <c r="BK24" s="13">
        <v>3.825592231105007</v>
      </c>
      <c r="BL24" s="13">
        <v>1.2636017740806149</v>
      </c>
      <c r="BM24" s="13">
        <v>0.92142780357206844</v>
      </c>
      <c r="BN24" s="13">
        <v>11.451380709331239</v>
      </c>
      <c r="BO24" s="15" t="s">
        <v>190</v>
      </c>
      <c r="BP24" s="15">
        <v>270000</v>
      </c>
      <c r="BQ24" s="12" t="s">
        <v>273</v>
      </c>
      <c r="BR24" s="26">
        <v>376.05</v>
      </c>
      <c r="BS24" s="27">
        <v>578.85</v>
      </c>
      <c r="BT24" s="27">
        <v>202.8</v>
      </c>
      <c r="BU24" s="26">
        <f t="shared" si="24"/>
        <v>18.802500000000002</v>
      </c>
      <c r="BV24" s="26">
        <f t="shared" si="25"/>
        <v>28.942500000000003</v>
      </c>
      <c r="BW24" s="26">
        <f t="shared" si="25"/>
        <v>10.14</v>
      </c>
      <c r="BX24" s="31">
        <f t="shared" si="26"/>
        <v>37.472285654971976</v>
      </c>
      <c r="BY24" s="31">
        <f t="shared" si="27"/>
        <v>57.680714137429938</v>
      </c>
      <c r="BZ24" s="31">
        <f t="shared" si="28"/>
        <v>20.208428482457961</v>
      </c>
      <c r="CA24" s="35">
        <v>8</v>
      </c>
      <c r="CB24" s="35">
        <v>12</v>
      </c>
    </row>
    <row r="25" spans="1:80" x14ac:dyDescent="0.4">
      <c r="A25" s="12" t="s">
        <v>191</v>
      </c>
      <c r="B25" s="12" t="s">
        <v>198</v>
      </c>
      <c r="C25" s="12" t="s">
        <v>199</v>
      </c>
      <c r="D25" s="11">
        <v>53</v>
      </c>
      <c r="E25" s="11">
        <v>26</v>
      </c>
      <c r="F25" s="11">
        <v>27</v>
      </c>
      <c r="G25" s="10">
        <v>84092</v>
      </c>
      <c r="H25" s="7">
        <v>820</v>
      </c>
      <c r="I25" s="17">
        <f t="shared" si="0"/>
        <v>15.471698113207546</v>
      </c>
      <c r="J25" s="7">
        <v>344</v>
      </c>
      <c r="K25" s="7">
        <v>595</v>
      </c>
      <c r="L25" s="17">
        <f t="shared" si="1"/>
        <v>6.4905660377358494</v>
      </c>
      <c r="M25" s="17">
        <f t="shared" si="2"/>
        <v>11.226415094339623</v>
      </c>
      <c r="N25" s="33">
        <f t="shared" si="3"/>
        <v>0.57815126050420174</v>
      </c>
      <c r="O25" s="5">
        <v>284</v>
      </c>
      <c r="P25" s="7">
        <v>458</v>
      </c>
      <c r="Q25" s="17">
        <f t="shared" si="4"/>
        <v>5.3584905660377355</v>
      </c>
      <c r="R25" s="17">
        <f t="shared" si="5"/>
        <v>8.6415094339622645</v>
      </c>
      <c r="S25" s="33">
        <f t="shared" si="6"/>
        <v>0.62008733624454149</v>
      </c>
      <c r="T25" s="7">
        <v>60</v>
      </c>
      <c r="U25" s="7">
        <v>137</v>
      </c>
      <c r="V25" s="17">
        <f t="shared" si="7"/>
        <v>1.1320754716981132</v>
      </c>
      <c r="W25" s="17">
        <f t="shared" si="8"/>
        <v>2.5849056603773586</v>
      </c>
      <c r="X25" s="33">
        <f t="shared" si="9"/>
        <v>0.43795620437956206</v>
      </c>
      <c r="Y25" s="5">
        <v>72</v>
      </c>
      <c r="Z25" s="5">
        <v>94</v>
      </c>
      <c r="AA25" s="17">
        <f t="shared" si="10"/>
        <v>1.3584905660377358</v>
      </c>
      <c r="AB25" s="17">
        <f t="shared" si="11"/>
        <v>1.7735849056603774</v>
      </c>
      <c r="AC25" s="33">
        <f t="shared" si="12"/>
        <v>0.76595744680851063</v>
      </c>
      <c r="AD25" s="12">
        <v>499</v>
      </c>
      <c r="AE25" s="17">
        <f t="shared" si="13"/>
        <v>9.415094339622641</v>
      </c>
      <c r="AF25" s="12">
        <v>166</v>
      </c>
      <c r="AG25" s="17">
        <f t="shared" si="14"/>
        <v>3.1320754716981134</v>
      </c>
      <c r="AH25" s="7">
        <v>333</v>
      </c>
      <c r="AI25" s="17">
        <f t="shared" si="15"/>
        <v>6.283018867924528</v>
      </c>
      <c r="AJ25" s="7">
        <v>115</v>
      </c>
      <c r="AK25" s="17">
        <f t="shared" si="16"/>
        <v>2.1698113207547172</v>
      </c>
      <c r="AL25" s="7">
        <v>24</v>
      </c>
      <c r="AM25" s="17">
        <f t="shared" si="17"/>
        <v>0.45283018867924529</v>
      </c>
      <c r="AN25" s="7">
        <v>34</v>
      </c>
      <c r="AO25" s="17">
        <f t="shared" si="18"/>
        <v>0.64150943396226412</v>
      </c>
      <c r="AP25" s="7">
        <v>85</v>
      </c>
      <c r="AQ25" s="17">
        <f t="shared" si="19"/>
        <v>1.6037735849056605</v>
      </c>
      <c r="AR25" s="7">
        <v>106</v>
      </c>
      <c r="AS25" s="17">
        <f t="shared" si="20"/>
        <v>2</v>
      </c>
      <c r="AT25" s="13">
        <v>5.4489740596679264</v>
      </c>
      <c r="AU25" s="13">
        <v>0.15547951805593827</v>
      </c>
      <c r="AV25" s="13">
        <v>4.6675570296483739</v>
      </c>
      <c r="AW25" s="13">
        <v>0.78141703001955209</v>
      </c>
      <c r="AX25" s="13">
        <v>123.01698779847803</v>
      </c>
      <c r="AY25" s="13">
        <v>108.64297452356485</v>
      </c>
      <c r="AZ25" s="13">
        <v>18.651848531421162</v>
      </c>
      <c r="BA25" s="13">
        <v>21.39622641509434</v>
      </c>
      <c r="BB25" s="13">
        <v>32.357242215643616</v>
      </c>
      <c r="BC25" s="14">
        <v>0.64428939593940537</v>
      </c>
      <c r="BD25" s="14">
        <v>0.62857142857142856</v>
      </c>
      <c r="BE25" s="13">
        <v>24.362707954031027</v>
      </c>
      <c r="BF25" s="14">
        <v>0.23025210084033612</v>
      </c>
      <c r="BG25" s="14">
        <v>0.15798319327731092</v>
      </c>
      <c r="BH25" s="13">
        <v>13.338984991633001</v>
      </c>
      <c r="BI25" s="13">
        <v>26.758325314540897</v>
      </c>
      <c r="BJ25" s="13">
        <v>18.72999205664415</v>
      </c>
      <c r="BK25" s="13">
        <v>16.410402768363596</v>
      </c>
      <c r="BL25" s="13">
        <v>0.96467860231872049</v>
      </c>
      <c r="BM25" s="13">
        <v>2.6408715652892387</v>
      </c>
      <c r="BN25" s="13">
        <v>11.783298214483752</v>
      </c>
      <c r="BO25" s="15" t="s">
        <v>190</v>
      </c>
      <c r="BP25" s="15">
        <v>250000</v>
      </c>
      <c r="BQ25" s="12" t="s">
        <v>272</v>
      </c>
      <c r="BR25" s="26">
        <v>1594.48</v>
      </c>
      <c r="BS25" s="27">
        <v>1982.88</v>
      </c>
      <c r="BT25" s="27">
        <v>388.4</v>
      </c>
      <c r="BU25" s="26">
        <f t="shared" si="24"/>
        <v>30.084528301886792</v>
      </c>
      <c r="BV25" s="26">
        <f t="shared" si="25"/>
        <v>37.412830188679244</v>
      </c>
      <c r="BW25" s="26">
        <f t="shared" si="25"/>
        <v>7.3283018867924525</v>
      </c>
      <c r="BX25" s="31">
        <f t="shared" si="26"/>
        <v>45.50673072349332</v>
      </c>
      <c r="BY25" s="31">
        <f t="shared" si="27"/>
        <v>56.59173286400609</v>
      </c>
      <c r="BZ25" s="31">
        <f t="shared" si="28"/>
        <v>11.085002140512772</v>
      </c>
      <c r="CA25" s="35">
        <v>16</v>
      </c>
      <c r="CB25" s="35">
        <v>37</v>
      </c>
    </row>
    <row r="26" spans="1:80" x14ac:dyDescent="0.4">
      <c r="A26" s="12" t="s">
        <v>191</v>
      </c>
      <c r="B26" s="12" t="s">
        <v>198</v>
      </c>
      <c r="C26" s="4" t="s">
        <v>234</v>
      </c>
      <c r="D26" s="5">
        <v>7</v>
      </c>
      <c r="E26" s="22">
        <v>11</v>
      </c>
      <c r="F26" s="22">
        <v>56</v>
      </c>
      <c r="G26" s="10">
        <v>5011</v>
      </c>
      <c r="H26" s="5">
        <v>37</v>
      </c>
      <c r="I26" s="17">
        <f t="shared" si="0"/>
        <v>5.2857142857142856</v>
      </c>
      <c r="J26" s="7">
        <v>16</v>
      </c>
      <c r="K26" s="7">
        <v>28</v>
      </c>
      <c r="L26" s="17">
        <f t="shared" si="1"/>
        <v>2.2857142857142856</v>
      </c>
      <c r="M26" s="17">
        <f t="shared" si="2"/>
        <v>4</v>
      </c>
      <c r="N26" s="33">
        <f t="shared" si="3"/>
        <v>0.5714285714285714</v>
      </c>
      <c r="O26" s="12">
        <v>16</v>
      </c>
      <c r="P26" s="12">
        <v>26</v>
      </c>
      <c r="Q26" s="17">
        <f t="shared" si="4"/>
        <v>2.2857142857142856</v>
      </c>
      <c r="R26" s="17">
        <f t="shared" si="5"/>
        <v>3.7142857142857144</v>
      </c>
      <c r="S26" s="33">
        <f t="shared" si="6"/>
        <v>0.61538461538461542</v>
      </c>
      <c r="T26" s="12">
        <v>0</v>
      </c>
      <c r="U26" s="12">
        <v>2</v>
      </c>
      <c r="V26" s="17">
        <f t="shared" si="7"/>
        <v>0</v>
      </c>
      <c r="W26" s="17">
        <f t="shared" si="8"/>
        <v>0.2857142857142857</v>
      </c>
      <c r="X26" s="33">
        <f t="shared" si="9"/>
        <v>0</v>
      </c>
      <c r="Y26" s="12">
        <v>5</v>
      </c>
      <c r="Z26" s="12">
        <v>9</v>
      </c>
      <c r="AA26" s="17">
        <f t="shared" si="10"/>
        <v>0.7142857142857143</v>
      </c>
      <c r="AB26" s="17">
        <f t="shared" si="11"/>
        <v>1.2857142857142858</v>
      </c>
      <c r="AC26" s="33">
        <f t="shared" si="12"/>
        <v>0.55555555555555558</v>
      </c>
      <c r="AD26" s="12">
        <v>32</v>
      </c>
      <c r="AE26" s="17">
        <f t="shared" si="13"/>
        <v>4.5714285714285712</v>
      </c>
      <c r="AF26" s="12">
        <v>15</v>
      </c>
      <c r="AG26" s="17">
        <f t="shared" si="14"/>
        <v>2.1428571428571428</v>
      </c>
      <c r="AH26" s="12">
        <v>17</v>
      </c>
      <c r="AI26" s="17">
        <f t="shared" si="15"/>
        <v>2.4285714285714284</v>
      </c>
      <c r="AJ26" s="12">
        <v>5</v>
      </c>
      <c r="AK26" s="17">
        <f t="shared" si="16"/>
        <v>0.7142857142857143</v>
      </c>
      <c r="AL26" s="12">
        <v>7</v>
      </c>
      <c r="AM26" s="17">
        <f t="shared" si="17"/>
        <v>1</v>
      </c>
      <c r="AN26" s="12">
        <v>2</v>
      </c>
      <c r="AO26" s="17">
        <f t="shared" si="18"/>
        <v>0.2857142857142857</v>
      </c>
      <c r="AP26" s="12">
        <v>7</v>
      </c>
      <c r="AQ26" s="17">
        <f t="shared" si="19"/>
        <v>1</v>
      </c>
      <c r="AR26" s="12">
        <v>11</v>
      </c>
      <c r="AS26" s="17">
        <f t="shared" si="20"/>
        <v>1.5714285714285714</v>
      </c>
      <c r="AT26" s="13">
        <v>0.23215306123909837</v>
      </c>
      <c r="AU26" s="13">
        <v>0.11116666938823545</v>
      </c>
      <c r="AV26" s="13">
        <v>0.12442074855039052</v>
      </c>
      <c r="AW26" s="13">
        <v>0.10773231268870785</v>
      </c>
      <c r="AX26" s="13">
        <v>109.0854664427541</v>
      </c>
      <c r="AY26" s="13">
        <v>101.51877553388537</v>
      </c>
      <c r="AZ26" s="13">
        <v>2.0756420421440445</v>
      </c>
      <c r="BA26" s="13">
        <v>8.5714285714285712</v>
      </c>
      <c r="BB26" s="13">
        <v>28.73104549082203</v>
      </c>
      <c r="BC26" s="14">
        <v>0.57884856070087609</v>
      </c>
      <c r="BD26" s="14">
        <v>0.5714285714285714</v>
      </c>
      <c r="BE26" s="13">
        <v>2.9164622215337515</v>
      </c>
      <c r="BF26" s="14">
        <v>7.1428571428571425E-2</v>
      </c>
      <c r="BG26" s="14">
        <v>0.32142857142857145</v>
      </c>
      <c r="BH26" s="13">
        <v>2.6715903086577337</v>
      </c>
      <c r="BI26" s="13">
        <v>3.0278023498120983</v>
      </c>
      <c r="BJ26" s="13">
        <v>2.6622628402184718</v>
      </c>
      <c r="BK26" s="13">
        <v>1.0980162506405096</v>
      </c>
      <c r="BL26" s="13">
        <v>4.7218390316358176</v>
      </c>
      <c r="BM26" s="13">
        <v>0.34432001101824034</v>
      </c>
      <c r="BN26" s="13">
        <v>17.967145790554415</v>
      </c>
      <c r="BO26" s="15" t="s">
        <v>188</v>
      </c>
      <c r="BP26" s="15">
        <v>67000</v>
      </c>
      <c r="BQ26" s="12" t="s">
        <v>272</v>
      </c>
      <c r="BR26" s="26">
        <v>88.38</v>
      </c>
      <c r="BS26" s="27">
        <v>113.88</v>
      </c>
      <c r="BT26" s="27">
        <v>25.5</v>
      </c>
      <c r="BU26" s="26">
        <f t="shared" si="24"/>
        <v>12.625714285714285</v>
      </c>
      <c r="BV26" s="26">
        <f t="shared" si="25"/>
        <v>16.268571428571427</v>
      </c>
      <c r="BW26" s="26">
        <f t="shared" si="25"/>
        <v>3.6428571428571428</v>
      </c>
      <c r="BX26" s="31">
        <f t="shared" si="26"/>
        <v>42.329275593693872</v>
      </c>
      <c r="BY26" s="31">
        <f t="shared" si="27"/>
        <v>54.542406705248453</v>
      </c>
      <c r="BZ26" s="31">
        <f t="shared" si="28"/>
        <v>12.21313111155458</v>
      </c>
      <c r="CA26" s="34">
        <v>0</v>
      </c>
      <c r="CB26" s="34">
        <v>7</v>
      </c>
    </row>
    <row r="27" spans="1:80" x14ac:dyDescent="0.4">
      <c r="A27" s="12" t="s">
        <v>191</v>
      </c>
      <c r="B27" s="12" t="s">
        <v>198</v>
      </c>
      <c r="C27" s="8" t="s">
        <v>132</v>
      </c>
      <c r="D27" s="22">
        <v>22</v>
      </c>
      <c r="E27" s="22">
        <v>7</v>
      </c>
      <c r="F27" s="22">
        <v>31</v>
      </c>
      <c r="G27" s="10">
        <v>9913</v>
      </c>
      <c r="H27" s="5">
        <v>14</v>
      </c>
      <c r="I27" s="17">
        <f t="shared" si="0"/>
        <v>0.63636363636363635</v>
      </c>
      <c r="J27" s="7">
        <v>5</v>
      </c>
      <c r="K27" s="7">
        <v>21</v>
      </c>
      <c r="L27" s="17">
        <f t="shared" si="1"/>
        <v>0.22727272727272727</v>
      </c>
      <c r="M27" s="17">
        <f t="shared" si="2"/>
        <v>0.95454545454545459</v>
      </c>
      <c r="N27" s="33">
        <f t="shared" si="3"/>
        <v>0.23809523809523808</v>
      </c>
      <c r="O27" s="12">
        <v>2</v>
      </c>
      <c r="P27" s="12">
        <v>6</v>
      </c>
      <c r="Q27" s="17">
        <f t="shared" si="4"/>
        <v>9.0909090909090912E-2</v>
      </c>
      <c r="R27" s="17">
        <f t="shared" si="5"/>
        <v>0.27272727272727271</v>
      </c>
      <c r="S27" s="33">
        <f t="shared" si="6"/>
        <v>0.33333333333333331</v>
      </c>
      <c r="T27" s="12">
        <v>3</v>
      </c>
      <c r="U27" s="12">
        <v>15</v>
      </c>
      <c r="V27" s="17">
        <f t="shared" si="7"/>
        <v>0.13636363636363635</v>
      </c>
      <c r="W27" s="17">
        <f t="shared" si="8"/>
        <v>0.68181818181818177</v>
      </c>
      <c r="X27" s="33">
        <f t="shared" si="9"/>
        <v>0.2</v>
      </c>
      <c r="Y27" s="12">
        <v>1</v>
      </c>
      <c r="Z27" s="12">
        <v>2</v>
      </c>
      <c r="AA27" s="17">
        <f t="shared" si="10"/>
        <v>4.5454545454545456E-2</v>
      </c>
      <c r="AB27" s="17">
        <f t="shared" si="11"/>
        <v>9.0909090909090912E-2</v>
      </c>
      <c r="AC27" s="33">
        <f t="shared" si="12"/>
        <v>0.5</v>
      </c>
      <c r="AD27" s="12">
        <v>21</v>
      </c>
      <c r="AE27" s="17">
        <f t="shared" si="13"/>
        <v>0.95454545454545459</v>
      </c>
      <c r="AF27" s="12">
        <v>7</v>
      </c>
      <c r="AG27" s="17">
        <f t="shared" si="14"/>
        <v>0.31818181818181818</v>
      </c>
      <c r="AH27" s="12">
        <v>14</v>
      </c>
      <c r="AI27" s="17">
        <f t="shared" si="15"/>
        <v>0.63636363636363635</v>
      </c>
      <c r="AJ27" s="12">
        <v>6</v>
      </c>
      <c r="AK27" s="17">
        <f t="shared" si="16"/>
        <v>0.27272727272727271</v>
      </c>
      <c r="AL27" s="12">
        <v>1</v>
      </c>
      <c r="AM27" s="17">
        <f t="shared" si="17"/>
        <v>4.5454545454545456E-2</v>
      </c>
      <c r="AN27" s="12">
        <v>2</v>
      </c>
      <c r="AO27" s="17">
        <f t="shared" si="18"/>
        <v>9.0909090909090912E-2</v>
      </c>
      <c r="AP27" s="12">
        <v>2</v>
      </c>
      <c r="AQ27" s="17">
        <f t="shared" si="19"/>
        <v>9.0909090909090912E-2</v>
      </c>
      <c r="AR27" s="12">
        <v>21</v>
      </c>
      <c r="AS27" s="17">
        <f t="shared" si="20"/>
        <v>0.95454545454545459</v>
      </c>
      <c r="AT27" s="13">
        <v>-0.11836103017479849</v>
      </c>
      <c r="AU27" s="13">
        <v>-2.8629960937262281E-2</v>
      </c>
      <c r="AV27" s="13">
        <v>-6.4150363912359454E-2</v>
      </c>
      <c r="AW27" s="13">
        <v>-5.4210666262439026E-2</v>
      </c>
      <c r="AX27" s="13">
        <v>87.002686675608714</v>
      </c>
      <c r="AY27" s="13">
        <v>117.25535375255413</v>
      </c>
      <c r="AZ27" s="13">
        <v>0.14341608570194062</v>
      </c>
      <c r="BA27" s="13">
        <v>1.1363636363636365</v>
      </c>
      <c r="BB27" s="13">
        <v>6.0471679096956255</v>
      </c>
      <c r="BC27" s="14">
        <v>0.31992687385740404</v>
      </c>
      <c r="BD27" s="14">
        <v>0.30952380952380953</v>
      </c>
      <c r="BE27" s="13">
        <v>2.837972676550502</v>
      </c>
      <c r="BF27" s="14">
        <v>0.7142857142857143</v>
      </c>
      <c r="BG27" s="14">
        <v>9.5238095238095233E-2</v>
      </c>
      <c r="BH27" s="13">
        <v>1.979306818476358</v>
      </c>
      <c r="BI27" s="13">
        <v>3.9586136369527161</v>
      </c>
      <c r="BJ27" s="13">
        <v>2.7736823770457972</v>
      </c>
      <c r="BK27" s="13">
        <v>2.055439778469268</v>
      </c>
      <c r="BL27" s="13">
        <v>0.34074145803781952</v>
      </c>
      <c r="BM27" s="13">
        <v>0.5466366472041243</v>
      </c>
      <c r="BN27" s="13">
        <v>8.3752093802345069</v>
      </c>
      <c r="BO27" s="15" t="s">
        <v>187</v>
      </c>
      <c r="BP27" s="15"/>
      <c r="BQ27" s="12" t="s">
        <v>273</v>
      </c>
      <c r="BR27" s="26">
        <v>74.7</v>
      </c>
      <c r="BS27" s="27">
        <v>93.3</v>
      </c>
      <c r="BT27" s="27">
        <v>18.600000000000001</v>
      </c>
      <c r="BU27" s="26">
        <f t="shared" si="24"/>
        <v>3.3954545454545455</v>
      </c>
      <c r="BV27" s="26">
        <f t="shared" si="25"/>
        <v>4.2409090909090912</v>
      </c>
      <c r="BW27" s="26">
        <f t="shared" si="25"/>
        <v>0.84545454545454557</v>
      </c>
      <c r="BX27" s="31">
        <f t="shared" si="26"/>
        <v>18.085342479572279</v>
      </c>
      <c r="BY27" s="31">
        <f t="shared" si="27"/>
        <v>22.588520125088269</v>
      </c>
      <c r="BZ27" s="31">
        <f t="shared" si="28"/>
        <v>4.5031776455159891</v>
      </c>
      <c r="CA27" s="35">
        <v>6</v>
      </c>
      <c r="CB27" s="35">
        <v>16</v>
      </c>
    </row>
    <row r="28" spans="1:80" x14ac:dyDescent="0.4">
      <c r="A28" s="12" t="s">
        <v>191</v>
      </c>
      <c r="B28" s="12" t="s">
        <v>198</v>
      </c>
      <c r="C28" s="4" t="s">
        <v>209</v>
      </c>
      <c r="D28" s="22">
        <v>21</v>
      </c>
      <c r="E28" s="22">
        <v>13</v>
      </c>
      <c r="F28" s="22">
        <v>33</v>
      </c>
      <c r="G28" s="10">
        <v>17065</v>
      </c>
      <c r="H28" s="5">
        <v>241</v>
      </c>
      <c r="I28" s="17">
        <f t="shared" si="0"/>
        <v>11.476190476190476</v>
      </c>
      <c r="J28" s="7">
        <v>86</v>
      </c>
      <c r="K28" s="7">
        <v>211</v>
      </c>
      <c r="L28" s="17">
        <f t="shared" si="1"/>
        <v>4.0952380952380949</v>
      </c>
      <c r="M28" s="17">
        <f t="shared" si="2"/>
        <v>10.047619047619047</v>
      </c>
      <c r="N28" s="33">
        <f t="shared" si="3"/>
        <v>0.40758293838862558</v>
      </c>
      <c r="O28" s="12">
        <v>55</v>
      </c>
      <c r="P28" s="12">
        <v>110</v>
      </c>
      <c r="Q28" s="17">
        <f t="shared" si="4"/>
        <v>2.6190476190476191</v>
      </c>
      <c r="R28" s="17">
        <f t="shared" si="5"/>
        <v>5.2380952380952381</v>
      </c>
      <c r="S28" s="33">
        <f t="shared" si="6"/>
        <v>0.5</v>
      </c>
      <c r="T28" s="12">
        <v>31</v>
      </c>
      <c r="U28" s="12">
        <v>101</v>
      </c>
      <c r="V28" s="17">
        <f t="shared" si="7"/>
        <v>1.4761904761904763</v>
      </c>
      <c r="W28" s="17">
        <f t="shared" si="8"/>
        <v>4.8095238095238093</v>
      </c>
      <c r="X28" s="33">
        <f t="shared" si="9"/>
        <v>0.30693069306930693</v>
      </c>
      <c r="Y28" s="12">
        <v>38</v>
      </c>
      <c r="Z28" s="12">
        <v>47</v>
      </c>
      <c r="AA28" s="17">
        <f t="shared" si="10"/>
        <v>1.8095238095238095</v>
      </c>
      <c r="AB28" s="17">
        <f t="shared" si="11"/>
        <v>2.2380952380952381</v>
      </c>
      <c r="AC28" s="33">
        <f t="shared" si="12"/>
        <v>0.80851063829787229</v>
      </c>
      <c r="AD28" s="12">
        <v>83</v>
      </c>
      <c r="AE28" s="17">
        <f t="shared" si="13"/>
        <v>3.9523809523809526</v>
      </c>
      <c r="AF28" s="12">
        <v>12</v>
      </c>
      <c r="AG28" s="17">
        <f t="shared" si="14"/>
        <v>0.5714285714285714</v>
      </c>
      <c r="AH28" s="12">
        <v>71</v>
      </c>
      <c r="AI28" s="17">
        <f t="shared" si="15"/>
        <v>3.3809523809523809</v>
      </c>
      <c r="AJ28" s="12">
        <v>26</v>
      </c>
      <c r="AK28" s="17">
        <f t="shared" si="16"/>
        <v>1.2380952380952381</v>
      </c>
      <c r="AL28" s="12">
        <v>4</v>
      </c>
      <c r="AM28" s="17">
        <f t="shared" si="17"/>
        <v>0.19047619047619047</v>
      </c>
      <c r="AN28" s="12">
        <v>8</v>
      </c>
      <c r="AO28" s="17">
        <f t="shared" si="18"/>
        <v>0.38095238095238093</v>
      </c>
      <c r="AP28" s="12">
        <v>24</v>
      </c>
      <c r="AQ28" s="17">
        <f t="shared" si="19"/>
        <v>1.1428571428571428</v>
      </c>
      <c r="AR28" s="12">
        <v>46</v>
      </c>
      <c r="AS28" s="17">
        <f t="shared" si="20"/>
        <v>2.1904761904761907</v>
      </c>
      <c r="AT28" s="13">
        <v>0.38673000713061539</v>
      </c>
      <c r="AU28" s="13">
        <v>5.4363733211121479E-2</v>
      </c>
      <c r="AV28" s="13">
        <v>0.2097773082957908</v>
      </c>
      <c r="AW28" s="13">
        <v>0.17695269883482459</v>
      </c>
      <c r="AX28" s="13">
        <v>100.69881260041358</v>
      </c>
      <c r="AY28" s="13">
        <v>108.01594762213779</v>
      </c>
      <c r="AZ28" s="13">
        <v>5.764803697343857</v>
      </c>
      <c r="BA28" s="13">
        <v>9.7142857142857135</v>
      </c>
      <c r="BB28" s="13">
        <v>28.6768581971534</v>
      </c>
      <c r="BC28" s="14">
        <v>0.52011395027624308</v>
      </c>
      <c r="BD28" s="14">
        <v>0.48104265402843605</v>
      </c>
      <c r="BE28" s="13">
        <v>16.856082231943592</v>
      </c>
      <c r="BF28" s="14">
        <v>0.47867298578199052</v>
      </c>
      <c r="BG28" s="14">
        <v>0.22274881516587677</v>
      </c>
      <c r="BH28" s="13">
        <v>1.8822717451404056</v>
      </c>
      <c r="BI28" s="13">
        <v>11.136774492080734</v>
      </c>
      <c r="BJ28" s="13">
        <v>6.0813713125962234</v>
      </c>
      <c r="BK28" s="13">
        <v>5.7877455618008788</v>
      </c>
      <c r="BL28" s="13">
        <v>0.79208967296930721</v>
      </c>
      <c r="BM28" s="13">
        <v>1.2129551187653633</v>
      </c>
      <c r="BN28" s="13">
        <v>9.386733416770964</v>
      </c>
      <c r="BO28" s="15" t="s">
        <v>190</v>
      </c>
      <c r="BP28" s="15">
        <v>80000</v>
      </c>
      <c r="BQ28" s="12" t="s">
        <v>273</v>
      </c>
      <c r="BR28" s="26">
        <v>290.89999999999998</v>
      </c>
      <c r="BS28" s="27">
        <v>452.1</v>
      </c>
      <c r="BT28" s="27">
        <v>161.19999999999999</v>
      </c>
      <c r="BU28" s="26">
        <f t="shared" si="24"/>
        <v>13.852380952380953</v>
      </c>
      <c r="BV28" s="26">
        <f t="shared" si="25"/>
        <v>21.528571428571428</v>
      </c>
      <c r="BW28" s="26">
        <f t="shared" si="25"/>
        <v>7.6761904761904756</v>
      </c>
      <c r="BX28" s="31">
        <f t="shared" si="26"/>
        <v>40.911807793729857</v>
      </c>
      <c r="BY28" s="31">
        <f t="shared" si="27"/>
        <v>63.582771755054203</v>
      </c>
      <c r="BZ28" s="31">
        <f t="shared" si="28"/>
        <v>22.670963961324347</v>
      </c>
      <c r="CA28" s="34">
        <v>6</v>
      </c>
      <c r="CB28" s="34">
        <v>15</v>
      </c>
    </row>
    <row r="29" spans="1:80" x14ac:dyDescent="0.4">
      <c r="A29" s="12" t="s">
        <v>191</v>
      </c>
      <c r="B29" s="12" t="s">
        <v>198</v>
      </c>
      <c r="C29" s="12" t="s">
        <v>135</v>
      </c>
      <c r="D29" s="11">
        <v>53</v>
      </c>
      <c r="E29" s="11">
        <v>31</v>
      </c>
      <c r="F29" s="11">
        <v>56</v>
      </c>
      <c r="G29" s="10">
        <v>101564</v>
      </c>
      <c r="H29" s="7">
        <v>840</v>
      </c>
      <c r="I29" s="17">
        <f t="shared" si="0"/>
        <v>15.849056603773585</v>
      </c>
      <c r="J29" s="7">
        <v>305</v>
      </c>
      <c r="K29" s="7">
        <v>716</v>
      </c>
      <c r="L29" s="17">
        <f t="shared" si="1"/>
        <v>5.7547169811320753</v>
      </c>
      <c r="M29" s="17">
        <f t="shared" si="2"/>
        <v>13.509433962264151</v>
      </c>
      <c r="N29" s="33">
        <f t="shared" si="3"/>
        <v>0.42597765363128492</v>
      </c>
      <c r="O29" s="5">
        <v>200</v>
      </c>
      <c r="P29" s="7">
        <v>382</v>
      </c>
      <c r="Q29" s="17">
        <f t="shared" si="4"/>
        <v>3.7735849056603774</v>
      </c>
      <c r="R29" s="17">
        <f t="shared" si="5"/>
        <v>7.2075471698113205</v>
      </c>
      <c r="S29" s="33">
        <f t="shared" si="6"/>
        <v>0.52356020942408377</v>
      </c>
      <c r="T29" s="7">
        <v>105</v>
      </c>
      <c r="U29" s="7">
        <v>334</v>
      </c>
      <c r="V29" s="17">
        <f t="shared" si="7"/>
        <v>1.9811320754716981</v>
      </c>
      <c r="W29" s="17">
        <f t="shared" si="8"/>
        <v>6.3018867924528301</v>
      </c>
      <c r="X29" s="33">
        <f t="shared" si="9"/>
        <v>0.31437125748502992</v>
      </c>
      <c r="Y29" s="5">
        <v>125</v>
      </c>
      <c r="Z29" s="5">
        <v>161</v>
      </c>
      <c r="AA29" s="17">
        <f t="shared" si="10"/>
        <v>2.358490566037736</v>
      </c>
      <c r="AB29" s="17">
        <f t="shared" si="11"/>
        <v>3.0377358490566038</v>
      </c>
      <c r="AC29" s="33">
        <f t="shared" si="12"/>
        <v>0.77639751552795033</v>
      </c>
      <c r="AD29" s="12">
        <v>147</v>
      </c>
      <c r="AE29" s="17">
        <f t="shared" si="13"/>
        <v>2.7735849056603774</v>
      </c>
      <c r="AF29" s="12">
        <v>19</v>
      </c>
      <c r="AG29" s="17">
        <f t="shared" si="14"/>
        <v>0.35849056603773582</v>
      </c>
      <c r="AH29" s="7">
        <v>128</v>
      </c>
      <c r="AI29" s="17">
        <f t="shared" si="15"/>
        <v>2.4150943396226414</v>
      </c>
      <c r="AJ29" s="7">
        <v>250</v>
      </c>
      <c r="AK29" s="17">
        <f t="shared" si="16"/>
        <v>4.716981132075472</v>
      </c>
      <c r="AL29" s="7">
        <v>64</v>
      </c>
      <c r="AM29" s="17">
        <f t="shared" si="17"/>
        <v>1.2075471698113207</v>
      </c>
      <c r="AN29" s="7">
        <v>2</v>
      </c>
      <c r="AO29" s="17">
        <f t="shared" si="18"/>
        <v>3.7735849056603772E-2</v>
      </c>
      <c r="AP29" s="7">
        <v>77</v>
      </c>
      <c r="AQ29" s="17">
        <f t="shared" si="19"/>
        <v>1.4528301886792452</v>
      </c>
      <c r="AR29" s="7">
        <v>88</v>
      </c>
      <c r="AS29" s="17">
        <f t="shared" si="20"/>
        <v>1.6603773584905661</v>
      </c>
      <c r="AT29" s="13">
        <v>3.1221249979993257</v>
      </c>
      <c r="AU29" s="13">
        <v>7.3788750100429165E-2</v>
      </c>
      <c r="AV29" s="13">
        <v>3.1937069517099435</v>
      </c>
      <c r="AW29" s="13">
        <v>-7.1581953710617555E-2</v>
      </c>
      <c r="AX29" s="13">
        <v>112.04177800259001</v>
      </c>
      <c r="AY29" s="13">
        <v>114.47750313903396</v>
      </c>
      <c r="AZ29" s="13">
        <v>11.968545620095414</v>
      </c>
      <c r="BA29" s="13">
        <v>14.69811320754717</v>
      </c>
      <c r="BB29" s="13">
        <v>18.410997754756369</v>
      </c>
      <c r="BC29" s="14">
        <v>0.53378069238981241</v>
      </c>
      <c r="BD29" s="14">
        <v>0.49930167597765363</v>
      </c>
      <c r="BE29" s="13">
        <v>24.165079855764446</v>
      </c>
      <c r="BF29" s="14">
        <v>0.46648044692737428</v>
      </c>
      <c r="BG29" s="14">
        <v>0.22486033519553073</v>
      </c>
      <c r="BH29" s="13">
        <v>1.2645899289832918</v>
      </c>
      <c r="BI29" s="13">
        <v>8.5193426794663871</v>
      </c>
      <c r="BJ29" s="13">
        <v>4.5702062966250425</v>
      </c>
      <c r="BK29" s="13">
        <v>26.140601582377744</v>
      </c>
      <c r="BL29" s="13">
        <v>2.1307514848709941</v>
      </c>
      <c r="BM29" s="13">
        <v>0.12867073480639879</v>
      </c>
      <c r="BN29" s="13">
        <v>8.9136877199481379</v>
      </c>
      <c r="BO29" s="15" t="s">
        <v>188</v>
      </c>
      <c r="BP29" s="15">
        <v>50000</v>
      </c>
      <c r="BQ29" s="12" t="s">
        <v>271</v>
      </c>
      <c r="BR29" s="26">
        <v>1347.78</v>
      </c>
      <c r="BS29" s="27">
        <v>1880.18</v>
      </c>
      <c r="BT29" s="27">
        <v>532.4</v>
      </c>
      <c r="BU29" s="26">
        <f t="shared" si="24"/>
        <v>25.42981132075472</v>
      </c>
      <c r="BV29" s="26">
        <f t="shared" si="25"/>
        <v>35.475094339622643</v>
      </c>
      <c r="BW29" s="26">
        <f t="shared" si="25"/>
        <v>10.045283018867924</v>
      </c>
      <c r="BX29" s="31">
        <f t="shared" si="26"/>
        <v>31.848607774408251</v>
      </c>
      <c r="BY29" s="31">
        <f t="shared" si="27"/>
        <v>44.429443503603636</v>
      </c>
      <c r="BZ29" s="31">
        <f t="shared" si="28"/>
        <v>12.580835729195384</v>
      </c>
      <c r="CA29" s="34">
        <v>17</v>
      </c>
      <c r="CB29" s="34">
        <v>36</v>
      </c>
    </row>
    <row r="30" spans="1:80" x14ac:dyDescent="0.4">
      <c r="A30" s="12" t="s">
        <v>191</v>
      </c>
      <c r="B30" s="12" t="s">
        <v>198</v>
      </c>
      <c r="C30" s="4" t="s">
        <v>172</v>
      </c>
      <c r="D30" s="22">
        <v>2</v>
      </c>
      <c r="E30" s="22">
        <v>4</v>
      </c>
      <c r="F30" s="22">
        <v>36</v>
      </c>
      <c r="G30" s="10">
        <v>551</v>
      </c>
      <c r="H30" s="5">
        <v>2</v>
      </c>
      <c r="I30" s="17">
        <f t="shared" si="0"/>
        <v>1</v>
      </c>
      <c r="J30" s="7">
        <v>0</v>
      </c>
      <c r="K30" s="7">
        <v>0</v>
      </c>
      <c r="L30" s="17">
        <f t="shared" si="1"/>
        <v>0</v>
      </c>
      <c r="M30" s="17">
        <f t="shared" si="2"/>
        <v>0</v>
      </c>
      <c r="N30" s="33" t="e">
        <f t="shared" si="3"/>
        <v>#DIV/0!</v>
      </c>
      <c r="O30" s="12">
        <v>0</v>
      </c>
      <c r="P30" s="12">
        <v>0</v>
      </c>
      <c r="Q30" s="17">
        <f t="shared" si="4"/>
        <v>0</v>
      </c>
      <c r="R30" s="17">
        <f t="shared" si="5"/>
        <v>0</v>
      </c>
      <c r="S30" s="33" t="e">
        <f t="shared" si="6"/>
        <v>#DIV/0!</v>
      </c>
      <c r="T30" s="12">
        <v>0</v>
      </c>
      <c r="U30" s="12">
        <v>0</v>
      </c>
      <c r="V30" s="17">
        <f t="shared" si="7"/>
        <v>0</v>
      </c>
      <c r="W30" s="17">
        <f t="shared" si="8"/>
        <v>0</v>
      </c>
      <c r="X30" s="33" t="e">
        <f t="shared" si="9"/>
        <v>#DIV/0!</v>
      </c>
      <c r="Y30" s="12">
        <v>2</v>
      </c>
      <c r="Z30" s="12">
        <v>2</v>
      </c>
      <c r="AA30" s="17">
        <f t="shared" si="10"/>
        <v>1</v>
      </c>
      <c r="AB30" s="17">
        <f t="shared" si="11"/>
        <v>1</v>
      </c>
      <c r="AC30" s="33">
        <f t="shared" si="12"/>
        <v>1</v>
      </c>
      <c r="AD30" s="12">
        <v>1</v>
      </c>
      <c r="AE30" s="17">
        <f t="shared" si="13"/>
        <v>0.5</v>
      </c>
      <c r="AF30" s="12">
        <v>0</v>
      </c>
      <c r="AG30" s="17">
        <f t="shared" si="14"/>
        <v>0</v>
      </c>
      <c r="AH30" s="12">
        <v>1</v>
      </c>
      <c r="AI30" s="17">
        <f t="shared" si="15"/>
        <v>0.5</v>
      </c>
      <c r="AJ30" s="12">
        <v>0</v>
      </c>
      <c r="AK30" s="17">
        <f t="shared" si="16"/>
        <v>0</v>
      </c>
      <c r="AL30" s="12">
        <v>0</v>
      </c>
      <c r="AM30" s="17">
        <f t="shared" si="17"/>
        <v>0</v>
      </c>
      <c r="AN30" s="12">
        <v>0</v>
      </c>
      <c r="AO30" s="17">
        <f t="shared" si="18"/>
        <v>0</v>
      </c>
      <c r="AP30" s="12">
        <v>2</v>
      </c>
      <c r="AQ30" s="17">
        <f t="shared" si="19"/>
        <v>1</v>
      </c>
      <c r="AR30" s="12">
        <v>4</v>
      </c>
      <c r="AS30" s="17">
        <f t="shared" si="20"/>
        <v>2</v>
      </c>
      <c r="AT30" s="13">
        <v>-2.6345686166495151E-2</v>
      </c>
      <c r="AU30" s="13">
        <v>-0.11454646159345719</v>
      </c>
      <c r="AV30" s="13">
        <v>-2.3881220448410803E-2</v>
      </c>
      <c r="AW30" s="13">
        <v>-2.4644657180843466E-3</v>
      </c>
      <c r="AX30" s="13">
        <v>67.136929495574265</v>
      </c>
      <c r="AY30" s="13">
        <v>116.67216352953069</v>
      </c>
      <c r="AZ30" s="13">
        <v>-0.42112917980720338</v>
      </c>
      <c r="BA30" s="13">
        <v>0.5</v>
      </c>
      <c r="BB30" s="13">
        <v>4.3478260869565224</v>
      </c>
      <c r="BC30" s="14">
        <v>1.1363636363636365</v>
      </c>
      <c r="BD30" s="14"/>
      <c r="BE30" s="13">
        <v>0.55928585410717779</v>
      </c>
      <c r="BF30" s="14"/>
      <c r="BG30" s="14"/>
      <c r="BH30" s="13">
        <v>0</v>
      </c>
      <c r="BI30" s="13">
        <v>0.46204315483066116</v>
      </c>
      <c r="BJ30" s="13">
        <v>0.21582656177495765</v>
      </c>
      <c r="BK30" s="13">
        <v>0</v>
      </c>
      <c r="BL30" s="13">
        <v>0</v>
      </c>
      <c r="BM30" s="13">
        <v>0</v>
      </c>
      <c r="BN30" s="13">
        <v>69.444444444444443</v>
      </c>
      <c r="BO30" s="15" t="s">
        <v>187</v>
      </c>
      <c r="BP30" s="15">
        <v>500000</v>
      </c>
      <c r="BQ30" s="12" t="s">
        <v>273</v>
      </c>
      <c r="BR30" s="26">
        <v>2.2999999999999998</v>
      </c>
      <c r="BS30" s="27">
        <v>5.3</v>
      </c>
      <c r="BT30" s="27">
        <v>3</v>
      </c>
      <c r="BU30" s="26">
        <f t="shared" si="24"/>
        <v>1.1499999999999999</v>
      </c>
      <c r="BV30" s="26">
        <f t="shared" si="25"/>
        <v>2.65</v>
      </c>
      <c r="BW30" s="26">
        <f t="shared" si="25"/>
        <v>1.5</v>
      </c>
      <c r="BX30" s="31">
        <f t="shared" si="26"/>
        <v>10.01814882032668</v>
      </c>
      <c r="BY30" s="31">
        <f t="shared" si="27"/>
        <v>23.085299455535392</v>
      </c>
      <c r="BZ30" s="31">
        <f t="shared" si="28"/>
        <v>13.067150635208712</v>
      </c>
      <c r="CA30" s="34">
        <v>1</v>
      </c>
      <c r="CB30" s="34">
        <v>1</v>
      </c>
    </row>
    <row r="31" spans="1:80" x14ac:dyDescent="0.4">
      <c r="A31" s="12" t="s">
        <v>191</v>
      </c>
      <c r="B31" s="12" t="s">
        <v>198</v>
      </c>
      <c r="C31" s="4" t="s">
        <v>131</v>
      </c>
      <c r="D31" s="22">
        <v>54</v>
      </c>
      <c r="E31" s="22">
        <v>28</v>
      </c>
      <c r="F31" s="22">
        <v>0</v>
      </c>
      <c r="G31" s="10">
        <v>90741</v>
      </c>
      <c r="H31" s="5">
        <v>459</v>
      </c>
      <c r="I31" s="17">
        <f t="shared" si="0"/>
        <v>8.5</v>
      </c>
      <c r="J31" s="7">
        <v>159</v>
      </c>
      <c r="K31" s="7">
        <v>395</v>
      </c>
      <c r="L31" s="17">
        <f t="shared" si="1"/>
        <v>2.9444444444444446</v>
      </c>
      <c r="M31" s="17">
        <f t="shared" si="2"/>
        <v>7.3148148148148149</v>
      </c>
      <c r="N31" s="33">
        <f t="shared" si="3"/>
        <v>0.40253164556962023</v>
      </c>
      <c r="O31" s="12">
        <v>103</v>
      </c>
      <c r="P31" s="12">
        <v>230</v>
      </c>
      <c r="Q31" s="17">
        <f t="shared" si="4"/>
        <v>1.9074074074074074</v>
      </c>
      <c r="R31" s="17">
        <f t="shared" si="5"/>
        <v>4.2592592592592595</v>
      </c>
      <c r="S31" s="33">
        <f t="shared" si="6"/>
        <v>0.44782608695652176</v>
      </c>
      <c r="T31" s="12">
        <v>56</v>
      </c>
      <c r="U31" s="12">
        <v>165</v>
      </c>
      <c r="V31" s="17">
        <f t="shared" si="7"/>
        <v>1.037037037037037</v>
      </c>
      <c r="W31" s="17">
        <f t="shared" si="8"/>
        <v>3.0555555555555554</v>
      </c>
      <c r="X31" s="33">
        <f t="shared" si="9"/>
        <v>0.33939393939393941</v>
      </c>
      <c r="Y31" s="12">
        <v>85</v>
      </c>
      <c r="Z31" s="12">
        <v>109</v>
      </c>
      <c r="AA31" s="17">
        <f t="shared" si="10"/>
        <v>1.5740740740740742</v>
      </c>
      <c r="AB31" s="17">
        <f t="shared" si="11"/>
        <v>2.0185185185185186</v>
      </c>
      <c r="AC31" s="33">
        <f t="shared" si="12"/>
        <v>0.77981651376146788</v>
      </c>
      <c r="AD31" s="12">
        <v>223</v>
      </c>
      <c r="AE31" s="17">
        <f t="shared" si="13"/>
        <v>4.1296296296296298</v>
      </c>
      <c r="AF31" s="12">
        <v>62</v>
      </c>
      <c r="AG31" s="17">
        <f t="shared" si="14"/>
        <v>1.1481481481481481</v>
      </c>
      <c r="AH31" s="12">
        <v>161</v>
      </c>
      <c r="AI31" s="17">
        <f t="shared" si="15"/>
        <v>2.9814814814814814</v>
      </c>
      <c r="AJ31" s="12">
        <v>76</v>
      </c>
      <c r="AK31" s="17">
        <f t="shared" si="16"/>
        <v>1.4074074074074074</v>
      </c>
      <c r="AL31" s="12">
        <v>50</v>
      </c>
      <c r="AM31" s="17">
        <f t="shared" si="17"/>
        <v>0.92592592592592593</v>
      </c>
      <c r="AN31" s="12">
        <v>4</v>
      </c>
      <c r="AO31" s="17">
        <f t="shared" si="18"/>
        <v>7.407407407407407E-2</v>
      </c>
      <c r="AP31" s="12">
        <v>63</v>
      </c>
      <c r="AQ31" s="17">
        <f t="shared" si="19"/>
        <v>1.1666666666666667</v>
      </c>
      <c r="AR31" s="12">
        <v>124</v>
      </c>
      <c r="AS31" s="17">
        <f t="shared" si="20"/>
        <v>2.2962962962962963</v>
      </c>
      <c r="AT31" s="13">
        <v>0.83059579535811934</v>
      </c>
      <c r="AU31" s="13">
        <v>2.1973433739632786E-2</v>
      </c>
      <c r="AV31" s="13">
        <v>0.75063316527859314</v>
      </c>
      <c r="AW31" s="13">
        <v>7.9962630079526226E-2</v>
      </c>
      <c r="AX31" s="13">
        <v>103.15012873487244</v>
      </c>
      <c r="AY31" s="13">
        <v>113.55151133716774</v>
      </c>
      <c r="AZ31" s="13">
        <v>6.5833217479465596</v>
      </c>
      <c r="BA31" s="13">
        <v>9.0555555555555554</v>
      </c>
      <c r="BB31" s="13">
        <v>12.936507936507937</v>
      </c>
      <c r="BC31" s="14">
        <v>0.51810547227740655</v>
      </c>
      <c r="BD31" s="14">
        <v>0.47341772151898737</v>
      </c>
      <c r="BE31" s="13">
        <v>16.141999571214178</v>
      </c>
      <c r="BF31" s="14">
        <v>0.41772151898734178</v>
      </c>
      <c r="BG31" s="14">
        <v>0.27594936708860762</v>
      </c>
      <c r="BH31" s="13">
        <v>4.7062395627751634</v>
      </c>
      <c r="BI31" s="13">
        <v>12.221041445270989</v>
      </c>
      <c r="BJ31" s="13">
        <v>7.9069602524554128</v>
      </c>
      <c r="BK31" s="13">
        <v>8.025343189017951</v>
      </c>
      <c r="BL31" s="13">
        <v>1.8633359494330057</v>
      </c>
      <c r="BM31" s="13">
        <v>0.29349181891554771</v>
      </c>
      <c r="BN31" s="13">
        <v>12.451577199778638</v>
      </c>
      <c r="BO31" s="15" t="s">
        <v>187</v>
      </c>
      <c r="BP31" s="15">
        <v>60000</v>
      </c>
      <c r="BQ31" s="12" t="s">
        <v>273</v>
      </c>
      <c r="BR31" s="26">
        <v>939.79</v>
      </c>
      <c r="BS31" s="27">
        <v>1278.5899999999999</v>
      </c>
      <c r="BT31" s="27">
        <v>338.8</v>
      </c>
      <c r="BU31" s="26">
        <f t="shared" si="24"/>
        <v>17.403518518518517</v>
      </c>
      <c r="BV31" s="26">
        <f t="shared" si="25"/>
        <v>23.677592592592593</v>
      </c>
      <c r="BW31" s="26">
        <f t="shared" si="25"/>
        <v>6.2740740740740746</v>
      </c>
      <c r="BX31" s="31">
        <f t="shared" si="26"/>
        <v>24.856415512282211</v>
      </c>
      <c r="BY31" s="31">
        <f t="shared" si="27"/>
        <v>33.817304195457403</v>
      </c>
      <c r="BZ31" s="31">
        <f t="shared" si="28"/>
        <v>8.9608886831751917</v>
      </c>
      <c r="CA31" s="34">
        <v>17</v>
      </c>
      <c r="CB31" s="34">
        <v>37</v>
      </c>
    </row>
    <row r="32" spans="1:80" x14ac:dyDescent="0.4">
      <c r="A32" s="12" t="s">
        <v>191</v>
      </c>
      <c r="B32" s="12" t="s">
        <v>198</v>
      </c>
      <c r="C32" s="4" t="s">
        <v>133</v>
      </c>
      <c r="D32" s="22">
        <v>41</v>
      </c>
      <c r="E32" s="22">
        <v>9</v>
      </c>
      <c r="F32" s="22">
        <v>21</v>
      </c>
      <c r="G32" s="10">
        <v>23021</v>
      </c>
      <c r="H32" s="5">
        <v>66</v>
      </c>
      <c r="I32" s="17">
        <f t="shared" si="0"/>
        <v>1.6097560975609757</v>
      </c>
      <c r="J32" s="7">
        <v>21</v>
      </c>
      <c r="K32" s="7">
        <v>89</v>
      </c>
      <c r="L32" s="17">
        <f t="shared" si="1"/>
        <v>0.51219512195121952</v>
      </c>
      <c r="M32" s="17">
        <f t="shared" si="2"/>
        <v>2.1707317073170733</v>
      </c>
      <c r="N32" s="33">
        <f t="shared" si="3"/>
        <v>0.23595505617977527</v>
      </c>
      <c r="O32" s="12">
        <v>12</v>
      </c>
      <c r="P32" s="12">
        <v>40</v>
      </c>
      <c r="Q32" s="17">
        <f t="shared" si="4"/>
        <v>0.29268292682926828</v>
      </c>
      <c r="R32" s="17">
        <f t="shared" si="5"/>
        <v>0.97560975609756095</v>
      </c>
      <c r="S32" s="33">
        <f t="shared" si="6"/>
        <v>0.3</v>
      </c>
      <c r="T32" s="12">
        <v>9</v>
      </c>
      <c r="U32" s="12">
        <v>49</v>
      </c>
      <c r="V32" s="17">
        <f t="shared" si="7"/>
        <v>0.21951219512195122</v>
      </c>
      <c r="W32" s="17">
        <f t="shared" si="8"/>
        <v>1.1951219512195121</v>
      </c>
      <c r="X32" s="33">
        <f t="shared" si="9"/>
        <v>0.18367346938775511</v>
      </c>
      <c r="Y32" s="12">
        <v>15</v>
      </c>
      <c r="Z32" s="12">
        <v>18</v>
      </c>
      <c r="AA32" s="17">
        <f t="shared" si="10"/>
        <v>0.36585365853658536</v>
      </c>
      <c r="AB32" s="17">
        <f t="shared" si="11"/>
        <v>0.43902439024390244</v>
      </c>
      <c r="AC32" s="33">
        <f t="shared" si="12"/>
        <v>0.83333333333333337</v>
      </c>
      <c r="AD32" s="12">
        <v>52</v>
      </c>
      <c r="AE32" s="17">
        <f t="shared" si="13"/>
        <v>1.2682926829268293</v>
      </c>
      <c r="AF32" s="12">
        <v>23</v>
      </c>
      <c r="AG32" s="17">
        <f t="shared" si="14"/>
        <v>0.56097560975609762</v>
      </c>
      <c r="AH32" s="12">
        <v>29</v>
      </c>
      <c r="AI32" s="17">
        <f t="shared" si="15"/>
        <v>0.70731707317073167</v>
      </c>
      <c r="AJ32" s="12">
        <v>24</v>
      </c>
      <c r="AK32" s="17">
        <f t="shared" si="16"/>
        <v>0.58536585365853655</v>
      </c>
      <c r="AL32" s="12">
        <v>7</v>
      </c>
      <c r="AM32" s="17">
        <f t="shared" si="17"/>
        <v>0.17073170731707318</v>
      </c>
      <c r="AN32" s="12">
        <v>0</v>
      </c>
      <c r="AO32" s="17">
        <f t="shared" si="18"/>
        <v>0</v>
      </c>
      <c r="AP32" s="12">
        <v>5</v>
      </c>
      <c r="AQ32" s="17">
        <f t="shared" si="19"/>
        <v>0.12195121951219512</v>
      </c>
      <c r="AR32" s="12">
        <v>52</v>
      </c>
      <c r="AS32" s="17">
        <f t="shared" si="20"/>
        <v>1.2682926829268293</v>
      </c>
      <c r="AT32" s="13">
        <v>-0.25262040603774516</v>
      </c>
      <c r="AU32" s="13">
        <v>-2.635924414114988E-2</v>
      </c>
      <c r="AV32" s="13">
        <v>-0.14664535396891959</v>
      </c>
      <c r="AW32" s="13">
        <v>-0.1059750520688256</v>
      </c>
      <c r="AX32" s="13">
        <v>91.564010577725483</v>
      </c>
      <c r="AY32" s="13">
        <v>116.75551980284641</v>
      </c>
      <c r="AZ32" s="13">
        <v>1.2564256632791113</v>
      </c>
      <c r="BA32" s="13">
        <v>1.7804878048780488</v>
      </c>
      <c r="BB32" s="13">
        <v>7.6170601278205288</v>
      </c>
      <c r="BC32" s="14">
        <v>0.34048699958728845</v>
      </c>
      <c r="BD32" s="14">
        <v>0.28651685393258425</v>
      </c>
      <c r="BE32" s="13">
        <v>9.7374890653883082</v>
      </c>
      <c r="BF32" s="14">
        <v>0.550561797752809</v>
      </c>
      <c r="BG32" s="14">
        <v>0.20224719101123595</v>
      </c>
      <c r="BH32" s="13">
        <v>5.2282530247148618</v>
      </c>
      <c r="BI32" s="13">
        <v>6.5921451181187374</v>
      </c>
      <c r="BJ32" s="13">
        <v>5.521466692681269</v>
      </c>
      <c r="BK32" s="13">
        <v>6.8901169884446984</v>
      </c>
      <c r="BL32" s="13">
        <v>1.0289055791730239</v>
      </c>
      <c r="BM32" s="13">
        <v>0</v>
      </c>
      <c r="BN32" s="13">
        <v>4.9058084772370485</v>
      </c>
      <c r="BO32" s="15" t="s">
        <v>187</v>
      </c>
      <c r="BP32" s="15"/>
      <c r="BQ32" s="12" t="s">
        <v>273</v>
      </c>
      <c r="BR32" s="26">
        <v>199.02</v>
      </c>
      <c r="BS32" s="27">
        <v>272.92</v>
      </c>
      <c r="BT32" s="27">
        <v>73.900000000000006</v>
      </c>
      <c r="BU32" s="26">
        <f t="shared" si="24"/>
        <v>4.8541463414634149</v>
      </c>
      <c r="BV32" s="26">
        <f t="shared" si="25"/>
        <v>6.6565853658536591</v>
      </c>
      <c r="BW32" s="26">
        <f t="shared" si="25"/>
        <v>1.8024390243902439</v>
      </c>
      <c r="BX32" s="31">
        <f t="shared" si="26"/>
        <v>20.748360192867381</v>
      </c>
      <c r="BY32" s="31">
        <f t="shared" si="27"/>
        <v>28.45263020720212</v>
      </c>
      <c r="BZ32" s="31">
        <f t="shared" si="28"/>
        <v>7.704270014334738</v>
      </c>
      <c r="CA32" s="34">
        <v>14</v>
      </c>
      <c r="CB32" s="34">
        <v>27</v>
      </c>
    </row>
    <row r="33" spans="1:80" x14ac:dyDescent="0.4">
      <c r="A33" s="12" t="s">
        <v>191</v>
      </c>
      <c r="B33" s="12" t="s">
        <v>198</v>
      </c>
      <c r="C33" s="4" t="s">
        <v>218</v>
      </c>
      <c r="D33" s="23">
        <v>35</v>
      </c>
      <c r="E33" s="24">
        <v>15</v>
      </c>
      <c r="F33" s="24">
        <v>17</v>
      </c>
      <c r="G33" s="10">
        <v>32093</v>
      </c>
      <c r="H33" s="5">
        <v>169</v>
      </c>
      <c r="I33" s="17">
        <f t="shared" si="0"/>
        <v>4.8285714285714283</v>
      </c>
      <c r="J33" s="7">
        <v>63</v>
      </c>
      <c r="K33" s="7">
        <v>178</v>
      </c>
      <c r="L33" s="17">
        <f t="shared" si="1"/>
        <v>1.8</v>
      </c>
      <c r="M33" s="17">
        <f t="shared" si="2"/>
        <v>5.0857142857142854</v>
      </c>
      <c r="N33" s="33">
        <f t="shared" si="3"/>
        <v>0.3539325842696629</v>
      </c>
      <c r="O33" s="12">
        <v>47</v>
      </c>
      <c r="P33" s="12">
        <v>114</v>
      </c>
      <c r="Q33" s="17">
        <f t="shared" si="4"/>
        <v>1.3428571428571427</v>
      </c>
      <c r="R33" s="17">
        <f t="shared" si="5"/>
        <v>3.2571428571428571</v>
      </c>
      <c r="S33" s="33">
        <f t="shared" si="6"/>
        <v>0.41228070175438597</v>
      </c>
      <c r="T33" s="12">
        <v>16</v>
      </c>
      <c r="U33" s="12">
        <v>64</v>
      </c>
      <c r="V33" s="17">
        <f t="shared" si="7"/>
        <v>0.45714285714285713</v>
      </c>
      <c r="W33" s="17">
        <f t="shared" si="8"/>
        <v>1.8285714285714285</v>
      </c>
      <c r="X33" s="33">
        <f t="shared" si="9"/>
        <v>0.25</v>
      </c>
      <c r="Y33" s="12">
        <v>27</v>
      </c>
      <c r="Z33" s="12">
        <v>33</v>
      </c>
      <c r="AA33" s="17">
        <f t="shared" si="10"/>
        <v>0.77142857142857146</v>
      </c>
      <c r="AB33" s="17">
        <f t="shared" si="11"/>
        <v>0.94285714285714284</v>
      </c>
      <c r="AC33" s="33">
        <f t="shared" si="12"/>
        <v>0.81818181818181823</v>
      </c>
      <c r="AD33" s="12">
        <v>40</v>
      </c>
      <c r="AE33" s="17">
        <f t="shared" si="13"/>
        <v>1.1428571428571428</v>
      </c>
      <c r="AF33" s="12">
        <v>17</v>
      </c>
      <c r="AG33" s="17">
        <f t="shared" si="14"/>
        <v>0.48571428571428571</v>
      </c>
      <c r="AH33" s="12">
        <v>23</v>
      </c>
      <c r="AI33" s="17">
        <f t="shared" si="15"/>
        <v>0.65714285714285714</v>
      </c>
      <c r="AJ33" s="12">
        <v>58</v>
      </c>
      <c r="AK33" s="17">
        <f t="shared" si="16"/>
        <v>1.6571428571428573</v>
      </c>
      <c r="AL33" s="12">
        <v>7</v>
      </c>
      <c r="AM33" s="17">
        <f t="shared" si="17"/>
        <v>0.2</v>
      </c>
      <c r="AN33" s="12">
        <v>1</v>
      </c>
      <c r="AO33" s="17">
        <f t="shared" si="18"/>
        <v>2.8571428571428571E-2</v>
      </c>
      <c r="AP33" s="12">
        <v>43</v>
      </c>
      <c r="AQ33" s="17">
        <f t="shared" si="19"/>
        <v>1.2285714285714286</v>
      </c>
      <c r="AR33" s="12">
        <v>82</v>
      </c>
      <c r="AS33" s="17">
        <f t="shared" si="20"/>
        <v>2.342857142857143</v>
      </c>
      <c r="AT33" s="13">
        <v>-0.85617516062139876</v>
      </c>
      <c r="AU33" s="13">
        <v>-6.402306856181203E-2</v>
      </c>
      <c r="AV33" s="13">
        <v>-0.60259903517205726</v>
      </c>
      <c r="AW33" s="13">
        <v>-0.25357612544934144</v>
      </c>
      <c r="AX33" s="13">
        <v>87.164217505937287</v>
      </c>
      <c r="AY33" s="13">
        <v>118.67797626920574</v>
      </c>
      <c r="AZ33" s="13">
        <v>1.1174422435961084</v>
      </c>
      <c r="BA33" s="13">
        <v>3.1714285714285713</v>
      </c>
      <c r="BB33" s="13">
        <v>8.3003583112634374</v>
      </c>
      <c r="BC33" s="14">
        <v>0.43891543735715766</v>
      </c>
      <c r="BD33" s="14">
        <v>0.398876404494382</v>
      </c>
      <c r="BE33" s="13">
        <v>13.766035533735085</v>
      </c>
      <c r="BF33" s="14">
        <v>0.3595505617977528</v>
      </c>
      <c r="BG33" s="14">
        <v>0.1853932584269663</v>
      </c>
      <c r="BH33" s="13">
        <v>2.3641292066144626</v>
      </c>
      <c r="BI33" s="13">
        <v>3.1985277501254497</v>
      </c>
      <c r="BJ33" s="13">
        <v>2.5983917579013438</v>
      </c>
      <c r="BK33" s="13">
        <v>10.727000909329101</v>
      </c>
      <c r="BL33" s="13">
        <v>0.73736897418783987</v>
      </c>
      <c r="BM33" s="13">
        <v>0.13442373385444933</v>
      </c>
      <c r="BN33" s="13">
        <v>18.257472826086957</v>
      </c>
      <c r="BO33" s="15" t="s">
        <v>187</v>
      </c>
      <c r="BP33" s="15">
        <v>560000</v>
      </c>
      <c r="BQ33" s="12" t="s">
        <v>271</v>
      </c>
      <c r="BR33" s="26">
        <v>271.22000000000003</v>
      </c>
      <c r="BS33" s="27">
        <v>450.72</v>
      </c>
      <c r="BT33" s="27">
        <v>179.5</v>
      </c>
      <c r="BU33" s="26">
        <f t="shared" si="24"/>
        <v>7.749142857142858</v>
      </c>
      <c r="BV33" s="26">
        <f t="shared" si="25"/>
        <v>12.877714285714287</v>
      </c>
      <c r="BW33" s="26">
        <f t="shared" si="25"/>
        <v>5.128571428571429</v>
      </c>
      <c r="BX33" s="31">
        <f t="shared" si="26"/>
        <v>20.282553827937555</v>
      </c>
      <c r="BY33" s="31">
        <f t="shared" si="27"/>
        <v>33.706041815972327</v>
      </c>
      <c r="BZ33" s="31">
        <f t="shared" si="28"/>
        <v>13.423487988034774</v>
      </c>
      <c r="CA33" s="35">
        <v>11</v>
      </c>
      <c r="CB33" s="35">
        <v>24</v>
      </c>
    </row>
    <row r="34" spans="1:80" x14ac:dyDescent="0.4">
      <c r="A34" s="12" t="s">
        <v>191</v>
      </c>
      <c r="B34" s="12" t="s">
        <v>198</v>
      </c>
      <c r="C34" s="4" t="s">
        <v>136</v>
      </c>
      <c r="D34" s="22">
        <v>27</v>
      </c>
      <c r="E34" s="22">
        <v>7</v>
      </c>
      <c r="F34" s="22">
        <v>35</v>
      </c>
      <c r="G34" s="10">
        <v>12296</v>
      </c>
      <c r="H34" s="5">
        <v>25</v>
      </c>
      <c r="I34" s="17">
        <f t="shared" ref="I34:I65" si="29">H34/$D34</f>
        <v>0.92592592592592593</v>
      </c>
      <c r="J34" s="7">
        <v>9</v>
      </c>
      <c r="K34" s="7">
        <v>26</v>
      </c>
      <c r="L34" s="17">
        <f t="shared" ref="L34:L65" si="30">J34/$D34</f>
        <v>0.33333333333333331</v>
      </c>
      <c r="M34" s="17">
        <f t="shared" ref="M34:M65" si="31">K34/$D34</f>
        <v>0.96296296296296291</v>
      </c>
      <c r="N34" s="33">
        <f t="shared" ref="N34:N65" si="32">J34/K34</f>
        <v>0.34615384615384615</v>
      </c>
      <c r="O34" s="12">
        <v>2</v>
      </c>
      <c r="P34" s="12">
        <v>3</v>
      </c>
      <c r="Q34" s="17">
        <f t="shared" ref="Q34:Q65" si="33">O34/$D34</f>
        <v>7.407407407407407E-2</v>
      </c>
      <c r="R34" s="17">
        <f t="shared" ref="R34:R65" si="34">P34/$D34</f>
        <v>0.1111111111111111</v>
      </c>
      <c r="S34" s="33">
        <f t="shared" ref="S34:S65" si="35">O34/P34</f>
        <v>0.66666666666666663</v>
      </c>
      <c r="T34" s="12">
        <v>7</v>
      </c>
      <c r="U34" s="12">
        <v>23</v>
      </c>
      <c r="V34" s="17">
        <f t="shared" ref="V34:V65" si="36">T34/$D34</f>
        <v>0.25925925925925924</v>
      </c>
      <c r="W34" s="17">
        <f t="shared" ref="W34:W65" si="37">U34/$D34</f>
        <v>0.85185185185185186</v>
      </c>
      <c r="X34" s="33">
        <f t="shared" ref="X34:X65" si="38">T34/U34</f>
        <v>0.30434782608695654</v>
      </c>
      <c r="Y34" s="12">
        <v>0</v>
      </c>
      <c r="Z34" s="12">
        <v>0</v>
      </c>
      <c r="AA34" s="17">
        <f t="shared" ref="AA34:AA65" si="39">Y34/$D34</f>
        <v>0</v>
      </c>
      <c r="AB34" s="17">
        <f t="shared" ref="AB34:AB65" si="40">Z34/$D34</f>
        <v>0</v>
      </c>
      <c r="AC34" s="33" t="e">
        <f t="shared" ref="AC34:AC65" si="41">Y34/Z34</f>
        <v>#DIV/0!</v>
      </c>
      <c r="AD34" s="12">
        <v>31</v>
      </c>
      <c r="AE34" s="17">
        <f t="shared" ref="AE34:AE65" si="42">AD34/$D34</f>
        <v>1.1481481481481481</v>
      </c>
      <c r="AF34" s="12">
        <v>14</v>
      </c>
      <c r="AG34" s="17">
        <f t="shared" ref="AG34:AG65" si="43">AF34/$D34</f>
        <v>0.51851851851851849</v>
      </c>
      <c r="AH34" s="12">
        <v>17</v>
      </c>
      <c r="AI34" s="17">
        <f t="shared" ref="AI34:AI65" si="44">AH34/$D34</f>
        <v>0.62962962962962965</v>
      </c>
      <c r="AJ34" s="12">
        <v>10</v>
      </c>
      <c r="AK34" s="17">
        <f t="shared" ref="AK34:AK65" si="45">AJ34/$D34</f>
        <v>0.37037037037037035</v>
      </c>
      <c r="AL34" s="12">
        <v>10</v>
      </c>
      <c r="AM34" s="17">
        <f t="shared" ref="AM34:AM65" si="46">AL34/$D34</f>
        <v>0.37037037037037035</v>
      </c>
      <c r="AN34" s="12">
        <v>0</v>
      </c>
      <c r="AO34" s="17">
        <f t="shared" ref="AO34:AO65" si="47">AN34/$D34</f>
        <v>0</v>
      </c>
      <c r="AP34" s="12">
        <v>5</v>
      </c>
      <c r="AQ34" s="17">
        <f t="shared" ref="AQ34:AQ65" si="48">AP34/$D34</f>
        <v>0.18518518518518517</v>
      </c>
      <c r="AR34" s="12">
        <v>31</v>
      </c>
      <c r="AS34" s="17">
        <f t="shared" ref="AS34:AS65" si="49">AR34/$D34</f>
        <v>1.1481481481481481</v>
      </c>
      <c r="AT34" s="13">
        <v>0.13098946530787009</v>
      </c>
      <c r="AU34" s="13">
        <v>2.5590127532673035E-2</v>
      </c>
      <c r="AV34" s="13">
        <v>9.816730540006334E-2</v>
      </c>
      <c r="AW34" s="13">
        <v>3.282215990780675E-2</v>
      </c>
      <c r="AX34" s="13">
        <v>108.2739071088636</v>
      </c>
      <c r="AY34" s="13">
        <v>112.50645314602758</v>
      </c>
      <c r="AZ34" s="13">
        <v>1.8108372769254701</v>
      </c>
      <c r="BA34" s="13">
        <v>2</v>
      </c>
      <c r="BB34" s="13">
        <v>10.549450549450549</v>
      </c>
      <c r="BC34" s="14">
        <v>0.48076923076923078</v>
      </c>
      <c r="BD34" s="14">
        <v>0.48076923076923078</v>
      </c>
      <c r="BE34" s="13">
        <v>3.6517473807547414</v>
      </c>
      <c r="BF34" s="14">
        <v>0.88461538461538458</v>
      </c>
      <c r="BG34" s="14">
        <v>0</v>
      </c>
      <c r="BH34" s="13">
        <v>3.9238126379465381</v>
      </c>
      <c r="BI34" s="13">
        <v>4.764629631792225</v>
      </c>
      <c r="BJ34" s="13">
        <v>4.0584880495528299</v>
      </c>
      <c r="BK34" s="13">
        <v>3.4418471246235485</v>
      </c>
      <c r="BL34" s="13">
        <v>2.7520038637779769</v>
      </c>
      <c r="BM34" s="13">
        <v>0</v>
      </c>
      <c r="BN34" s="13">
        <v>16.129032258064516</v>
      </c>
      <c r="BO34" s="15" t="s">
        <v>187</v>
      </c>
      <c r="BP34" s="15">
        <v>45000</v>
      </c>
      <c r="BQ34" s="12" t="s">
        <v>273</v>
      </c>
      <c r="BR34" s="26">
        <v>126.83</v>
      </c>
      <c r="BS34" s="27">
        <v>149.72999999999999</v>
      </c>
      <c r="BT34" s="27">
        <v>22.9</v>
      </c>
      <c r="BU34" s="26">
        <f t="shared" si="24"/>
        <v>4.6974074074074075</v>
      </c>
      <c r="BV34" s="26">
        <f t="shared" si="25"/>
        <v>5.5455555555555556</v>
      </c>
      <c r="BW34" s="26">
        <f t="shared" si="25"/>
        <v>0.8481481481481481</v>
      </c>
      <c r="BX34" s="31">
        <f t="shared" si="26"/>
        <v>24.755367599219259</v>
      </c>
      <c r="BY34" s="31">
        <f t="shared" si="27"/>
        <v>29.225113858165258</v>
      </c>
      <c r="BZ34" s="31">
        <f t="shared" si="28"/>
        <v>4.4697462589459986</v>
      </c>
      <c r="CA34" s="35">
        <v>7</v>
      </c>
      <c r="CB34" s="35">
        <v>20</v>
      </c>
    </row>
    <row r="35" spans="1:80" x14ac:dyDescent="0.4">
      <c r="A35" s="12" t="s">
        <v>191</v>
      </c>
      <c r="B35" s="12" t="s">
        <v>198</v>
      </c>
      <c r="C35" s="4" t="s">
        <v>171</v>
      </c>
      <c r="D35" s="22">
        <v>24</v>
      </c>
      <c r="E35" s="22">
        <v>6</v>
      </c>
      <c r="F35" s="22">
        <v>20</v>
      </c>
      <c r="G35" s="10">
        <v>9129</v>
      </c>
      <c r="H35" s="5">
        <v>23</v>
      </c>
      <c r="I35" s="17">
        <f t="shared" si="29"/>
        <v>0.95833333333333337</v>
      </c>
      <c r="J35" s="7">
        <v>6</v>
      </c>
      <c r="K35" s="7">
        <v>25</v>
      </c>
      <c r="L35" s="17">
        <f t="shared" si="30"/>
        <v>0.25</v>
      </c>
      <c r="M35" s="17">
        <f t="shared" si="31"/>
        <v>1.0416666666666667</v>
      </c>
      <c r="N35" s="33">
        <f t="shared" si="32"/>
        <v>0.24</v>
      </c>
      <c r="O35" s="12">
        <v>3</v>
      </c>
      <c r="P35" s="12">
        <v>7</v>
      </c>
      <c r="Q35" s="17">
        <f t="shared" si="33"/>
        <v>0.125</v>
      </c>
      <c r="R35" s="17">
        <f t="shared" si="34"/>
        <v>0.29166666666666669</v>
      </c>
      <c r="S35" s="33">
        <f t="shared" si="35"/>
        <v>0.42857142857142855</v>
      </c>
      <c r="T35" s="12">
        <v>3</v>
      </c>
      <c r="U35" s="12">
        <v>18</v>
      </c>
      <c r="V35" s="17">
        <f t="shared" si="36"/>
        <v>0.125</v>
      </c>
      <c r="W35" s="17">
        <f t="shared" si="37"/>
        <v>0.75</v>
      </c>
      <c r="X35" s="33">
        <f t="shared" si="38"/>
        <v>0.16666666666666666</v>
      </c>
      <c r="Y35" s="12">
        <v>8</v>
      </c>
      <c r="Z35" s="12">
        <v>10</v>
      </c>
      <c r="AA35" s="17">
        <f t="shared" si="39"/>
        <v>0.33333333333333331</v>
      </c>
      <c r="AB35" s="17">
        <f t="shared" si="40"/>
        <v>0.41666666666666669</v>
      </c>
      <c r="AC35" s="33">
        <f t="shared" si="41"/>
        <v>0.8</v>
      </c>
      <c r="AD35" s="12">
        <v>10</v>
      </c>
      <c r="AE35" s="17">
        <f t="shared" si="42"/>
        <v>0.41666666666666669</v>
      </c>
      <c r="AF35" s="12">
        <v>5</v>
      </c>
      <c r="AG35" s="17">
        <f t="shared" si="43"/>
        <v>0.20833333333333334</v>
      </c>
      <c r="AH35" s="12">
        <v>5</v>
      </c>
      <c r="AI35" s="17">
        <f t="shared" si="44"/>
        <v>0.20833333333333334</v>
      </c>
      <c r="AJ35" s="12">
        <v>19</v>
      </c>
      <c r="AK35" s="17">
        <f t="shared" si="45"/>
        <v>0.79166666666666663</v>
      </c>
      <c r="AL35" s="12">
        <v>12</v>
      </c>
      <c r="AM35" s="17">
        <f t="shared" si="46"/>
        <v>0.5</v>
      </c>
      <c r="AN35" s="12">
        <v>0</v>
      </c>
      <c r="AO35" s="17">
        <f t="shared" si="47"/>
        <v>0</v>
      </c>
      <c r="AP35" s="12">
        <v>6</v>
      </c>
      <c r="AQ35" s="17">
        <f t="shared" si="48"/>
        <v>0.25</v>
      </c>
      <c r="AR35" s="12">
        <v>28</v>
      </c>
      <c r="AS35" s="17">
        <f t="shared" si="49"/>
        <v>1.1666666666666667</v>
      </c>
      <c r="AT35" s="13">
        <v>4.3002239014690788E-2</v>
      </c>
      <c r="AU35" s="13">
        <v>1.1316378688076523E-2</v>
      </c>
      <c r="AV35" s="13">
        <v>-8.3586719954789491E-3</v>
      </c>
      <c r="AW35" s="13">
        <v>5.1360911010169735E-2</v>
      </c>
      <c r="AX35" s="13">
        <v>96.325796891944023</v>
      </c>
      <c r="AY35" s="13">
        <v>110.77863367761273</v>
      </c>
      <c r="AZ35" s="13">
        <v>1.3374292338917972</v>
      </c>
      <c r="BA35" s="13">
        <v>1.5416666666666667</v>
      </c>
      <c r="BB35" s="13">
        <v>9.7368421052631575</v>
      </c>
      <c r="BC35" s="14">
        <v>0.39115646258503406</v>
      </c>
      <c r="BD35" s="14">
        <v>0.3</v>
      </c>
      <c r="BE35" s="13">
        <v>4.9930980527857907</v>
      </c>
      <c r="BF35" s="14">
        <v>0.72</v>
      </c>
      <c r="BG35" s="14">
        <v>0.4</v>
      </c>
      <c r="BH35" s="13">
        <v>1.6779461938587168</v>
      </c>
      <c r="BI35" s="13">
        <v>1.6779461938587168</v>
      </c>
      <c r="BJ35" s="13">
        <v>1.5675823960496924</v>
      </c>
      <c r="BK35" s="13">
        <v>7.7815699658703075</v>
      </c>
      <c r="BL35" s="13">
        <v>4.4484694034884811</v>
      </c>
      <c r="BM35" s="13">
        <v>0</v>
      </c>
      <c r="BN35" s="13">
        <v>16.949152542372882</v>
      </c>
      <c r="BO35" s="15" t="s">
        <v>187</v>
      </c>
      <c r="BP35" s="15">
        <v>170000</v>
      </c>
      <c r="BQ35" s="12" t="s">
        <v>271</v>
      </c>
      <c r="BR35" s="26">
        <v>87.44</v>
      </c>
      <c r="BS35" s="27">
        <v>115.54</v>
      </c>
      <c r="BT35" s="27">
        <v>28.1</v>
      </c>
      <c r="BU35" s="26">
        <f t="shared" si="24"/>
        <v>3.6433333333333335</v>
      </c>
      <c r="BV35" s="26">
        <f t="shared" si="25"/>
        <v>4.8141666666666669</v>
      </c>
      <c r="BW35" s="26">
        <f t="shared" si="25"/>
        <v>1.1708333333333334</v>
      </c>
      <c r="BX35" s="31">
        <f t="shared" si="26"/>
        <v>22.987840946434439</v>
      </c>
      <c r="BY35" s="31">
        <f t="shared" si="27"/>
        <v>30.375287545185671</v>
      </c>
      <c r="BZ35" s="31">
        <f t="shared" si="28"/>
        <v>7.3874465987512323</v>
      </c>
      <c r="CA35" s="34">
        <v>6</v>
      </c>
      <c r="CB35" s="34">
        <v>18</v>
      </c>
    </row>
    <row r="36" spans="1:80" x14ac:dyDescent="0.4">
      <c r="A36" s="12" t="s">
        <v>191</v>
      </c>
      <c r="B36" s="12" t="s">
        <v>198</v>
      </c>
      <c r="C36" s="4" t="s">
        <v>170</v>
      </c>
      <c r="D36" s="22">
        <v>51</v>
      </c>
      <c r="E36" s="22">
        <v>9</v>
      </c>
      <c r="F36" s="22">
        <v>10</v>
      </c>
      <c r="G36" s="10">
        <v>28061</v>
      </c>
      <c r="H36" s="5">
        <v>86</v>
      </c>
      <c r="I36" s="17">
        <f t="shared" si="29"/>
        <v>1.6862745098039216</v>
      </c>
      <c r="J36" s="7">
        <v>28</v>
      </c>
      <c r="K36" s="7">
        <v>119</v>
      </c>
      <c r="L36" s="17">
        <f t="shared" si="30"/>
        <v>0.5490196078431373</v>
      </c>
      <c r="M36" s="17">
        <f t="shared" si="31"/>
        <v>2.3333333333333335</v>
      </c>
      <c r="N36" s="33">
        <f t="shared" si="32"/>
        <v>0.23529411764705882</v>
      </c>
      <c r="O36" s="12">
        <v>6</v>
      </c>
      <c r="P36" s="12">
        <v>20</v>
      </c>
      <c r="Q36" s="17">
        <f t="shared" si="33"/>
        <v>0.11764705882352941</v>
      </c>
      <c r="R36" s="17">
        <f t="shared" si="34"/>
        <v>0.39215686274509803</v>
      </c>
      <c r="S36" s="33">
        <f t="shared" si="35"/>
        <v>0.3</v>
      </c>
      <c r="T36" s="12">
        <v>22</v>
      </c>
      <c r="U36" s="12">
        <v>99</v>
      </c>
      <c r="V36" s="17">
        <f t="shared" si="36"/>
        <v>0.43137254901960786</v>
      </c>
      <c r="W36" s="17">
        <f t="shared" si="37"/>
        <v>1.9411764705882353</v>
      </c>
      <c r="X36" s="33">
        <f t="shared" si="38"/>
        <v>0.22222222222222221</v>
      </c>
      <c r="Y36" s="12">
        <v>8</v>
      </c>
      <c r="Z36" s="12">
        <v>9</v>
      </c>
      <c r="AA36" s="17">
        <f t="shared" si="39"/>
        <v>0.15686274509803921</v>
      </c>
      <c r="AB36" s="17">
        <f t="shared" si="40"/>
        <v>0.17647058823529413</v>
      </c>
      <c r="AC36" s="33">
        <f t="shared" si="41"/>
        <v>0.88888888888888884</v>
      </c>
      <c r="AD36" s="12">
        <v>66</v>
      </c>
      <c r="AE36" s="17">
        <f t="shared" si="42"/>
        <v>1.2941176470588236</v>
      </c>
      <c r="AF36" s="12">
        <v>27</v>
      </c>
      <c r="AG36" s="17">
        <f t="shared" si="43"/>
        <v>0.52941176470588236</v>
      </c>
      <c r="AH36" s="12">
        <v>39</v>
      </c>
      <c r="AI36" s="17">
        <f t="shared" si="44"/>
        <v>0.76470588235294112</v>
      </c>
      <c r="AJ36" s="12">
        <v>6</v>
      </c>
      <c r="AK36" s="17">
        <f t="shared" si="45"/>
        <v>0.11764705882352941</v>
      </c>
      <c r="AL36" s="12">
        <v>5</v>
      </c>
      <c r="AM36" s="17">
        <f t="shared" si="46"/>
        <v>9.8039215686274508E-2</v>
      </c>
      <c r="AN36" s="12">
        <v>2</v>
      </c>
      <c r="AO36" s="17">
        <f t="shared" si="47"/>
        <v>3.9215686274509803E-2</v>
      </c>
      <c r="AP36" s="12">
        <v>6</v>
      </c>
      <c r="AQ36" s="17">
        <f t="shared" si="48"/>
        <v>0.11764705882352941</v>
      </c>
      <c r="AR36" s="12">
        <v>49</v>
      </c>
      <c r="AS36" s="17">
        <f t="shared" si="49"/>
        <v>0.96078431372549022</v>
      </c>
      <c r="AT36" s="13">
        <v>-0.54910479439052229</v>
      </c>
      <c r="AU36" s="13">
        <v>-4.6982228397050033E-2</v>
      </c>
      <c r="AV36" s="13">
        <v>-0.39699699683831968</v>
      </c>
      <c r="AW36" s="13">
        <v>-0.15210779755220258</v>
      </c>
      <c r="AX36" s="13">
        <v>84.350318955233178</v>
      </c>
      <c r="AY36" s="13">
        <v>117.2314525603025</v>
      </c>
      <c r="AZ36" s="13">
        <v>1.0604109587581192</v>
      </c>
      <c r="BA36" s="13">
        <v>1.3137254901960784</v>
      </c>
      <c r="BB36" s="13">
        <v>5.7326203208556148</v>
      </c>
      <c r="BC36" s="14">
        <v>0.34970722186076775</v>
      </c>
      <c r="BD36" s="14">
        <v>0.32773109243697479</v>
      </c>
      <c r="BE36" s="13">
        <v>12.567322622350133</v>
      </c>
      <c r="BF36" s="14">
        <v>0.83193277310924374</v>
      </c>
      <c r="BG36" s="14">
        <v>7.5630252100840331E-2</v>
      </c>
      <c r="BH36" s="13">
        <v>6.2602647087237955</v>
      </c>
      <c r="BI36" s="13">
        <v>9.042604579267703</v>
      </c>
      <c r="BJ36" s="13">
        <v>7.1481757259865972</v>
      </c>
      <c r="BK36" s="13">
        <v>1.7959590920429036</v>
      </c>
      <c r="BL36" s="13">
        <v>0.60264469637277096</v>
      </c>
      <c r="BM36" s="13">
        <v>0.44824205070738193</v>
      </c>
      <c r="BN36" s="13">
        <v>4.6526054590570727</v>
      </c>
      <c r="BO36" s="15" t="s">
        <v>187</v>
      </c>
      <c r="BP36" s="15">
        <v>80000</v>
      </c>
      <c r="BQ36" s="12" t="s">
        <v>273</v>
      </c>
      <c r="BR36" s="26">
        <v>206.82</v>
      </c>
      <c r="BS36" s="27">
        <v>299.92</v>
      </c>
      <c r="BT36" s="27">
        <v>93.1</v>
      </c>
      <c r="BU36" s="26">
        <f t="shared" si="24"/>
        <v>4.0552941176470592</v>
      </c>
      <c r="BV36" s="26">
        <f t="shared" si="25"/>
        <v>5.8807843137254903</v>
      </c>
      <c r="BW36" s="26">
        <f t="shared" si="25"/>
        <v>1.8254901960784313</v>
      </c>
      <c r="BX36" s="31">
        <f t="shared" si="26"/>
        <v>17.688892056590998</v>
      </c>
      <c r="BY36" s="31">
        <f t="shared" si="27"/>
        <v>25.651544848722427</v>
      </c>
      <c r="BZ36" s="31">
        <f t="shared" si="28"/>
        <v>7.9626527921314283</v>
      </c>
      <c r="CA36" s="35">
        <v>14</v>
      </c>
      <c r="CB36" s="35">
        <v>37</v>
      </c>
    </row>
    <row r="37" spans="1:80" x14ac:dyDescent="0.4">
      <c r="A37" s="12" t="s">
        <v>191</v>
      </c>
      <c r="B37" s="12" t="s">
        <v>198</v>
      </c>
      <c r="C37" s="4" t="s">
        <v>65</v>
      </c>
      <c r="D37" s="22">
        <v>52</v>
      </c>
      <c r="E37" s="22">
        <v>26</v>
      </c>
      <c r="F37" s="22">
        <v>39</v>
      </c>
      <c r="G37" s="10">
        <v>83148</v>
      </c>
      <c r="H37" s="5">
        <v>388</v>
      </c>
      <c r="I37" s="17">
        <f t="shared" si="29"/>
        <v>7.4615384615384617</v>
      </c>
      <c r="J37" s="7">
        <v>134</v>
      </c>
      <c r="K37" s="7">
        <v>343</v>
      </c>
      <c r="L37" s="17">
        <f t="shared" si="30"/>
        <v>2.5769230769230771</v>
      </c>
      <c r="M37" s="17">
        <f t="shared" si="31"/>
        <v>6.5961538461538458</v>
      </c>
      <c r="N37" s="33">
        <f t="shared" si="32"/>
        <v>0.39067055393586003</v>
      </c>
      <c r="O37" s="12">
        <v>57</v>
      </c>
      <c r="P37" s="12">
        <v>128</v>
      </c>
      <c r="Q37" s="17">
        <f t="shared" si="33"/>
        <v>1.0961538461538463</v>
      </c>
      <c r="R37" s="17">
        <f t="shared" si="34"/>
        <v>2.4615384615384617</v>
      </c>
      <c r="S37" s="33">
        <f t="shared" si="35"/>
        <v>0.4453125</v>
      </c>
      <c r="T37" s="12">
        <v>77</v>
      </c>
      <c r="U37" s="12">
        <v>215</v>
      </c>
      <c r="V37" s="17">
        <f t="shared" si="36"/>
        <v>1.4807692307692308</v>
      </c>
      <c r="W37" s="17">
        <f t="shared" si="37"/>
        <v>4.134615384615385</v>
      </c>
      <c r="X37" s="33">
        <f t="shared" si="38"/>
        <v>0.35813953488372091</v>
      </c>
      <c r="Y37" s="12">
        <v>43</v>
      </c>
      <c r="Z37" s="12">
        <v>53</v>
      </c>
      <c r="AA37" s="17">
        <f t="shared" si="39"/>
        <v>0.82692307692307687</v>
      </c>
      <c r="AB37" s="17">
        <f t="shared" si="40"/>
        <v>1.0192307692307692</v>
      </c>
      <c r="AC37" s="33">
        <f t="shared" si="41"/>
        <v>0.81132075471698117</v>
      </c>
      <c r="AD37" s="12">
        <v>105</v>
      </c>
      <c r="AE37" s="17">
        <f t="shared" si="42"/>
        <v>2.0192307692307692</v>
      </c>
      <c r="AF37" s="12">
        <v>36</v>
      </c>
      <c r="AG37" s="17">
        <f t="shared" si="43"/>
        <v>0.69230769230769229</v>
      </c>
      <c r="AH37" s="12">
        <v>69</v>
      </c>
      <c r="AI37" s="17">
        <f t="shared" si="44"/>
        <v>1.3269230769230769</v>
      </c>
      <c r="AJ37" s="12">
        <v>188</v>
      </c>
      <c r="AK37" s="17">
        <f t="shared" si="45"/>
        <v>3.6153846153846154</v>
      </c>
      <c r="AL37" s="12">
        <v>57</v>
      </c>
      <c r="AM37" s="17">
        <f t="shared" si="46"/>
        <v>1.0961538461538463</v>
      </c>
      <c r="AN37" s="12">
        <v>2</v>
      </c>
      <c r="AO37" s="17">
        <f t="shared" si="47"/>
        <v>3.8461538461538464E-2</v>
      </c>
      <c r="AP37" s="12">
        <v>77</v>
      </c>
      <c r="AQ37" s="17">
        <f t="shared" si="48"/>
        <v>1.4807692307692308</v>
      </c>
      <c r="AR37" s="12">
        <v>144</v>
      </c>
      <c r="AS37" s="17">
        <f t="shared" si="49"/>
        <v>2.7692307692307692</v>
      </c>
      <c r="AT37" s="13">
        <v>0.93663728363051313</v>
      </c>
      <c r="AU37" s="13">
        <v>2.703528023179429E-2</v>
      </c>
      <c r="AV37" s="13">
        <v>1.07070488144578</v>
      </c>
      <c r="AW37" s="13">
        <v>-0.13406759781526692</v>
      </c>
      <c r="AX37" s="13">
        <v>106.23492437507321</v>
      </c>
      <c r="AY37" s="13">
        <v>115.00723401741688</v>
      </c>
      <c r="AZ37" s="13">
        <v>6.4564505540658654</v>
      </c>
      <c r="BA37" s="13">
        <v>8.5384615384615383</v>
      </c>
      <c r="BB37" s="13">
        <v>12.815702121518257</v>
      </c>
      <c r="BC37" s="14">
        <v>0.52959161388949549</v>
      </c>
      <c r="BD37" s="14">
        <v>0.50291545189504372</v>
      </c>
      <c r="BE37" s="13">
        <v>14.860016446175377</v>
      </c>
      <c r="BF37" s="14">
        <v>0.62682215743440228</v>
      </c>
      <c r="BG37" s="14">
        <v>0.15451895043731778</v>
      </c>
      <c r="BH37" s="13">
        <v>2.8710824180096619</v>
      </c>
      <c r="BI37" s="13">
        <v>5.5029079678518524</v>
      </c>
      <c r="BJ37" s="13">
        <v>3.911603352244073</v>
      </c>
      <c r="BK37" s="13">
        <v>20.464255585489973</v>
      </c>
      <c r="BL37" s="13">
        <v>2.3176467811507311</v>
      </c>
      <c r="BM37" s="13">
        <v>0.15417956716013767</v>
      </c>
      <c r="BN37" s="13">
        <v>17.368943426869983</v>
      </c>
      <c r="BO37" s="15" t="s">
        <v>187</v>
      </c>
      <c r="BP37" s="15">
        <v>420000</v>
      </c>
      <c r="BQ37" s="12" t="s">
        <v>271</v>
      </c>
      <c r="BR37" s="26">
        <v>929.25</v>
      </c>
      <c r="BS37" s="27">
        <v>1247.95</v>
      </c>
      <c r="BT37" s="27">
        <v>318.7</v>
      </c>
      <c r="BU37" s="26">
        <f t="shared" si="24"/>
        <v>17.870192307692307</v>
      </c>
      <c r="BV37" s="26">
        <f t="shared" si="25"/>
        <v>23.999038461538461</v>
      </c>
      <c r="BW37" s="26">
        <f t="shared" si="25"/>
        <v>6.1288461538461538</v>
      </c>
      <c r="BX37" s="31">
        <f t="shared" si="26"/>
        <v>26.822052244191084</v>
      </c>
      <c r="BY37" s="31">
        <f t="shared" si="27"/>
        <v>36.021070861596193</v>
      </c>
      <c r="BZ37" s="31">
        <f t="shared" si="28"/>
        <v>9.199018617405109</v>
      </c>
      <c r="CA37" s="34">
        <v>17</v>
      </c>
      <c r="CB37" s="34">
        <v>35</v>
      </c>
    </row>
    <row r="38" spans="1:80" x14ac:dyDescent="0.4">
      <c r="A38" s="12" t="s">
        <v>191</v>
      </c>
      <c r="B38" s="12" t="s">
        <v>198</v>
      </c>
      <c r="C38" s="4" t="s">
        <v>129</v>
      </c>
      <c r="D38" s="5">
        <v>6</v>
      </c>
      <c r="E38" s="22">
        <v>6</v>
      </c>
      <c r="F38" s="22">
        <v>0</v>
      </c>
      <c r="G38" s="10">
        <v>2160</v>
      </c>
      <c r="H38" s="5">
        <v>1</v>
      </c>
      <c r="I38" s="17">
        <f t="shared" si="29"/>
        <v>0.16666666666666666</v>
      </c>
      <c r="J38" s="7">
        <v>0</v>
      </c>
      <c r="K38" s="7">
        <v>3</v>
      </c>
      <c r="L38" s="17">
        <f t="shared" si="30"/>
        <v>0</v>
      </c>
      <c r="M38" s="17">
        <f t="shared" si="31"/>
        <v>0.5</v>
      </c>
      <c r="N38" s="33">
        <f t="shared" si="32"/>
        <v>0</v>
      </c>
      <c r="O38" s="12">
        <v>0</v>
      </c>
      <c r="P38" s="12">
        <v>0</v>
      </c>
      <c r="Q38" s="17">
        <f t="shared" si="33"/>
        <v>0</v>
      </c>
      <c r="R38" s="17">
        <f t="shared" si="34"/>
        <v>0</v>
      </c>
      <c r="S38" s="33" t="e">
        <f t="shared" si="35"/>
        <v>#DIV/0!</v>
      </c>
      <c r="T38" s="12">
        <v>0</v>
      </c>
      <c r="U38" s="12">
        <v>3</v>
      </c>
      <c r="V38" s="17">
        <f t="shared" si="36"/>
        <v>0</v>
      </c>
      <c r="W38" s="17">
        <f t="shared" si="37"/>
        <v>0.5</v>
      </c>
      <c r="X38" s="33">
        <f t="shared" si="38"/>
        <v>0</v>
      </c>
      <c r="Y38" s="12">
        <v>1</v>
      </c>
      <c r="Z38" s="12">
        <v>2</v>
      </c>
      <c r="AA38" s="17">
        <f t="shared" si="39"/>
        <v>0.16666666666666666</v>
      </c>
      <c r="AB38" s="17">
        <f t="shared" si="40"/>
        <v>0.33333333333333331</v>
      </c>
      <c r="AC38" s="33">
        <f t="shared" si="41"/>
        <v>0.5</v>
      </c>
      <c r="AD38" s="12">
        <v>5</v>
      </c>
      <c r="AE38" s="17">
        <f t="shared" si="42"/>
        <v>0.83333333333333337</v>
      </c>
      <c r="AF38" s="12">
        <v>2</v>
      </c>
      <c r="AG38" s="17">
        <f t="shared" si="43"/>
        <v>0.33333333333333331</v>
      </c>
      <c r="AH38" s="12">
        <v>3</v>
      </c>
      <c r="AI38" s="17">
        <f t="shared" si="44"/>
        <v>0.5</v>
      </c>
      <c r="AJ38" s="12">
        <v>1</v>
      </c>
      <c r="AK38" s="17">
        <f t="shared" si="45"/>
        <v>0.16666666666666666</v>
      </c>
      <c r="AL38" s="12">
        <v>2</v>
      </c>
      <c r="AM38" s="17">
        <f t="shared" si="46"/>
        <v>0.33333333333333331</v>
      </c>
      <c r="AN38" s="12">
        <v>0</v>
      </c>
      <c r="AO38" s="17">
        <f t="shared" si="47"/>
        <v>0</v>
      </c>
      <c r="AP38" s="12">
        <v>1</v>
      </c>
      <c r="AQ38" s="17">
        <f t="shared" si="48"/>
        <v>0.16666666666666666</v>
      </c>
      <c r="AR38" s="12">
        <v>3</v>
      </c>
      <c r="AS38" s="17">
        <f t="shared" si="49"/>
        <v>0.5</v>
      </c>
      <c r="AT38" s="13">
        <v>-4.9082851107126263E-2</v>
      </c>
      <c r="AU38" s="13">
        <v>-5.4536501230140297E-2</v>
      </c>
      <c r="AV38" s="13">
        <v>-5.7250994117852436E-2</v>
      </c>
      <c r="AW38" s="13">
        <v>8.1681430107261761E-3</v>
      </c>
      <c r="AX38" s="13">
        <v>55.085387030186993</v>
      </c>
      <c r="AY38" s="13">
        <v>111.85861478513107</v>
      </c>
      <c r="AZ38" s="13">
        <v>6.3053055089693583E-2</v>
      </c>
      <c r="BA38" s="13">
        <v>0.66666666666666663</v>
      </c>
      <c r="BB38" s="13">
        <v>4.4444444444444446</v>
      </c>
      <c r="BC38" s="14">
        <v>0.12886597938144331</v>
      </c>
      <c r="BD38" s="14">
        <v>0</v>
      </c>
      <c r="BE38" s="13">
        <v>0.72655375306700964</v>
      </c>
      <c r="BF38" s="14">
        <v>1</v>
      </c>
      <c r="BG38" s="14">
        <v>0.66666666666666663</v>
      </c>
      <c r="BH38" s="13">
        <v>0.70846617074034712</v>
      </c>
      <c r="BI38" s="13">
        <v>1.0626992561105209</v>
      </c>
      <c r="BJ38" s="13">
        <v>0.82733515347067099</v>
      </c>
      <c r="BK38" s="13">
        <v>0.4219409282700422</v>
      </c>
      <c r="BL38" s="13">
        <v>3.1304043950474494</v>
      </c>
      <c r="BM38" s="13">
        <v>0</v>
      </c>
      <c r="BN38" s="13">
        <v>20.491803278688526</v>
      </c>
      <c r="BO38" s="15" t="s">
        <v>187</v>
      </c>
      <c r="BP38" s="15">
        <v>50000</v>
      </c>
      <c r="BQ38" s="12" t="s">
        <v>273</v>
      </c>
      <c r="BR38" s="26">
        <v>14.5</v>
      </c>
      <c r="BS38" s="27">
        <v>19.5</v>
      </c>
      <c r="BT38" s="27">
        <v>5</v>
      </c>
      <c r="BU38" s="26">
        <f t="shared" si="24"/>
        <v>2.4166666666666665</v>
      </c>
      <c r="BV38" s="26">
        <f t="shared" si="25"/>
        <v>3.25</v>
      </c>
      <c r="BW38" s="26">
        <f t="shared" si="25"/>
        <v>0.83333333333333337</v>
      </c>
      <c r="BX38" s="31">
        <f t="shared" si="26"/>
        <v>16.111111111111114</v>
      </c>
      <c r="BY38" s="31">
        <f t="shared" si="27"/>
        <v>21.666666666666668</v>
      </c>
      <c r="BZ38" s="31">
        <f t="shared" si="28"/>
        <v>5.5555555555555554</v>
      </c>
      <c r="CA38" s="34">
        <v>1</v>
      </c>
      <c r="CB38" s="34">
        <v>5</v>
      </c>
    </row>
    <row r="39" spans="1:80" x14ac:dyDescent="0.4">
      <c r="A39" s="12" t="s">
        <v>191</v>
      </c>
      <c r="B39" s="12" t="s">
        <v>198</v>
      </c>
      <c r="C39" s="4" t="s">
        <v>89</v>
      </c>
      <c r="D39" s="23">
        <v>23</v>
      </c>
      <c r="E39" s="24">
        <v>9</v>
      </c>
      <c r="F39" s="24">
        <v>6</v>
      </c>
      <c r="G39" s="10">
        <v>12566</v>
      </c>
      <c r="H39" s="5">
        <v>42</v>
      </c>
      <c r="I39" s="17">
        <f t="shared" si="29"/>
        <v>1.826086956521739</v>
      </c>
      <c r="J39" s="7">
        <v>15</v>
      </c>
      <c r="K39" s="7">
        <v>44</v>
      </c>
      <c r="L39" s="17">
        <f t="shared" si="30"/>
        <v>0.65217391304347827</v>
      </c>
      <c r="M39" s="17">
        <f t="shared" si="31"/>
        <v>1.9130434782608696</v>
      </c>
      <c r="N39" s="33">
        <f t="shared" si="32"/>
        <v>0.34090909090909088</v>
      </c>
      <c r="O39" s="12">
        <v>7</v>
      </c>
      <c r="P39" s="12">
        <v>17</v>
      </c>
      <c r="Q39" s="17">
        <f t="shared" si="33"/>
        <v>0.30434782608695654</v>
      </c>
      <c r="R39" s="17">
        <f t="shared" si="34"/>
        <v>0.73913043478260865</v>
      </c>
      <c r="S39" s="33">
        <f t="shared" si="35"/>
        <v>0.41176470588235292</v>
      </c>
      <c r="T39" s="12">
        <v>8</v>
      </c>
      <c r="U39" s="12">
        <v>27</v>
      </c>
      <c r="V39" s="17">
        <f t="shared" si="36"/>
        <v>0.34782608695652173</v>
      </c>
      <c r="W39" s="17">
        <f t="shared" si="37"/>
        <v>1.173913043478261</v>
      </c>
      <c r="X39" s="33">
        <f t="shared" si="38"/>
        <v>0.29629629629629628</v>
      </c>
      <c r="Y39" s="12">
        <v>4</v>
      </c>
      <c r="Z39" s="12">
        <v>8</v>
      </c>
      <c r="AA39" s="17">
        <f t="shared" si="39"/>
        <v>0.17391304347826086</v>
      </c>
      <c r="AB39" s="17">
        <f t="shared" si="40"/>
        <v>0.34782608695652173</v>
      </c>
      <c r="AC39" s="33">
        <f t="shared" si="41"/>
        <v>0.5</v>
      </c>
      <c r="AD39" s="12">
        <v>18</v>
      </c>
      <c r="AE39" s="17">
        <f t="shared" si="42"/>
        <v>0.78260869565217395</v>
      </c>
      <c r="AF39" s="12">
        <v>4</v>
      </c>
      <c r="AG39" s="17">
        <f t="shared" si="43"/>
        <v>0.17391304347826086</v>
      </c>
      <c r="AH39" s="12">
        <v>14</v>
      </c>
      <c r="AI39" s="17">
        <f t="shared" si="44"/>
        <v>0.60869565217391308</v>
      </c>
      <c r="AJ39" s="12">
        <v>18</v>
      </c>
      <c r="AK39" s="17">
        <f t="shared" si="45"/>
        <v>0.78260869565217395</v>
      </c>
      <c r="AL39" s="12">
        <v>4</v>
      </c>
      <c r="AM39" s="17">
        <f t="shared" si="46"/>
        <v>0.17391304347826086</v>
      </c>
      <c r="AN39" s="12">
        <v>1</v>
      </c>
      <c r="AO39" s="17">
        <f t="shared" si="47"/>
        <v>4.3478260869565216E-2</v>
      </c>
      <c r="AP39" s="12">
        <v>10</v>
      </c>
      <c r="AQ39" s="17">
        <f t="shared" si="48"/>
        <v>0.43478260869565216</v>
      </c>
      <c r="AR39" s="12">
        <v>35</v>
      </c>
      <c r="AS39" s="17">
        <f t="shared" si="49"/>
        <v>1.5217391304347827</v>
      </c>
      <c r="AT39" s="13">
        <v>-0.16308148038121154</v>
      </c>
      <c r="AU39" s="13">
        <v>-3.1167029217622842E-2</v>
      </c>
      <c r="AV39" s="13">
        <v>-0.10725607368780642</v>
      </c>
      <c r="AW39" s="13">
        <v>-5.5825406693405112E-2</v>
      </c>
      <c r="AX39" s="13">
        <v>89.962492470598079</v>
      </c>
      <c r="AY39" s="13">
        <v>116.66095239488369</v>
      </c>
      <c r="AZ39" s="13">
        <v>0.45562287182274841</v>
      </c>
      <c r="BA39" s="13">
        <v>1.7391304347826086</v>
      </c>
      <c r="BB39" s="13">
        <v>7.644529383659818</v>
      </c>
      <c r="BC39" s="14">
        <v>0.44191919191919188</v>
      </c>
      <c r="BD39" s="14">
        <v>0.43181818181818182</v>
      </c>
      <c r="BE39" s="13">
        <v>5.6464653048659335</v>
      </c>
      <c r="BF39" s="14">
        <v>0.61363636363636365</v>
      </c>
      <c r="BG39" s="14">
        <v>0.18181818181818182</v>
      </c>
      <c r="BH39" s="13">
        <v>0.93424110427298523</v>
      </c>
      <c r="BI39" s="13">
        <v>3.2698438649554484</v>
      </c>
      <c r="BJ39" s="13">
        <v>1.963784540106208</v>
      </c>
      <c r="BK39" s="13">
        <v>5.2257221657715203</v>
      </c>
      <c r="BL39" s="13">
        <v>1.076871077130513</v>
      </c>
      <c r="BM39" s="13">
        <v>0.2257629376273444</v>
      </c>
      <c r="BN39" s="13">
        <v>17.385257301808064</v>
      </c>
      <c r="BO39" s="15" t="s">
        <v>187</v>
      </c>
      <c r="BP39" s="15">
        <v>45000</v>
      </c>
      <c r="BQ39" s="12" t="s">
        <v>273</v>
      </c>
      <c r="BR39" s="26">
        <v>101.06</v>
      </c>
      <c r="BS39" s="27">
        <v>146.36000000000001</v>
      </c>
      <c r="BT39" s="27">
        <v>45.3</v>
      </c>
      <c r="BU39" s="26">
        <f t="shared" si="24"/>
        <v>4.3939130434782614</v>
      </c>
      <c r="BV39" s="26">
        <f t="shared" si="25"/>
        <v>6.3634782608695657</v>
      </c>
      <c r="BW39" s="26">
        <f t="shared" si="25"/>
        <v>1.9695652173913043</v>
      </c>
      <c r="BX39" s="31">
        <f t="shared" si="26"/>
        <v>19.301607512334876</v>
      </c>
      <c r="BY39" s="31">
        <f t="shared" si="27"/>
        <v>27.953525385962124</v>
      </c>
      <c r="BZ39" s="31">
        <f t="shared" si="28"/>
        <v>8.651917873627248</v>
      </c>
      <c r="CA39" s="35">
        <v>6</v>
      </c>
      <c r="CB39" s="35">
        <v>17</v>
      </c>
    </row>
    <row r="40" spans="1:80" x14ac:dyDescent="0.4">
      <c r="A40" s="12" t="s">
        <v>191</v>
      </c>
      <c r="B40" s="12" t="s">
        <v>198</v>
      </c>
      <c r="C40" s="4" t="s">
        <v>66</v>
      </c>
      <c r="D40" s="22">
        <v>5</v>
      </c>
      <c r="E40" s="22">
        <v>2</v>
      </c>
      <c r="F40" s="22">
        <v>25</v>
      </c>
      <c r="G40" s="10">
        <v>725</v>
      </c>
      <c r="H40" s="5">
        <v>2</v>
      </c>
      <c r="I40" s="17">
        <f t="shared" si="29"/>
        <v>0.4</v>
      </c>
      <c r="J40" s="7">
        <v>0</v>
      </c>
      <c r="K40" s="7">
        <v>1</v>
      </c>
      <c r="L40" s="17">
        <f t="shared" si="30"/>
        <v>0</v>
      </c>
      <c r="M40" s="17">
        <f t="shared" si="31"/>
        <v>0.2</v>
      </c>
      <c r="N40" s="33">
        <f t="shared" si="32"/>
        <v>0</v>
      </c>
      <c r="O40" s="12">
        <v>0</v>
      </c>
      <c r="P40" s="12">
        <v>0</v>
      </c>
      <c r="Q40" s="17">
        <f t="shared" si="33"/>
        <v>0</v>
      </c>
      <c r="R40" s="17">
        <f t="shared" si="34"/>
        <v>0</v>
      </c>
      <c r="S40" s="33" t="e">
        <f t="shared" si="35"/>
        <v>#DIV/0!</v>
      </c>
      <c r="T40" s="12">
        <v>0</v>
      </c>
      <c r="U40" s="12">
        <v>1</v>
      </c>
      <c r="V40" s="17">
        <f t="shared" si="36"/>
        <v>0</v>
      </c>
      <c r="W40" s="17">
        <f t="shared" si="37"/>
        <v>0.2</v>
      </c>
      <c r="X40" s="33">
        <f t="shared" si="38"/>
        <v>0</v>
      </c>
      <c r="Y40" s="12">
        <v>2</v>
      </c>
      <c r="Z40" s="12">
        <v>2</v>
      </c>
      <c r="AA40" s="17">
        <f t="shared" si="39"/>
        <v>0.4</v>
      </c>
      <c r="AB40" s="17">
        <f t="shared" si="40"/>
        <v>0.4</v>
      </c>
      <c r="AC40" s="33">
        <f t="shared" si="41"/>
        <v>1</v>
      </c>
      <c r="AD40" s="12">
        <v>0</v>
      </c>
      <c r="AE40" s="17">
        <f t="shared" si="42"/>
        <v>0</v>
      </c>
      <c r="AF40" s="12">
        <v>0</v>
      </c>
      <c r="AG40" s="17">
        <f t="shared" si="43"/>
        <v>0</v>
      </c>
      <c r="AH40" s="12">
        <v>0</v>
      </c>
      <c r="AI40" s="17">
        <f t="shared" si="44"/>
        <v>0</v>
      </c>
      <c r="AJ40" s="12">
        <v>1</v>
      </c>
      <c r="AK40" s="17">
        <f t="shared" si="45"/>
        <v>0.2</v>
      </c>
      <c r="AL40" s="12">
        <v>0</v>
      </c>
      <c r="AM40" s="17">
        <f t="shared" si="46"/>
        <v>0</v>
      </c>
      <c r="AN40" s="12">
        <v>0</v>
      </c>
      <c r="AO40" s="17">
        <f t="shared" si="47"/>
        <v>0</v>
      </c>
      <c r="AP40" s="12">
        <v>2</v>
      </c>
      <c r="AQ40" s="17">
        <f t="shared" si="48"/>
        <v>0.4</v>
      </c>
      <c r="AR40" s="12">
        <v>1</v>
      </c>
      <c r="AS40" s="17">
        <f t="shared" si="49"/>
        <v>0.2</v>
      </c>
      <c r="AT40" s="13">
        <v>-4.6031518408596234E-2</v>
      </c>
      <c r="AU40" s="13">
        <v>-0.15238019886983581</v>
      </c>
      <c r="AV40" s="13">
        <v>-3.5497650021468957E-2</v>
      </c>
      <c r="AW40" s="13">
        <v>-1.053386838712728E-2</v>
      </c>
      <c r="AX40" s="13">
        <v>64.01146545813458</v>
      </c>
      <c r="AY40" s="13">
        <v>122.54734736887862</v>
      </c>
      <c r="AZ40" s="13">
        <v>-0.40218070001412437</v>
      </c>
      <c r="BA40" s="13">
        <v>0</v>
      </c>
      <c r="BB40" s="13">
        <v>0</v>
      </c>
      <c r="BC40" s="14">
        <v>0.53191489361702127</v>
      </c>
      <c r="BD40" s="14">
        <v>0</v>
      </c>
      <c r="BE40" s="13">
        <v>1.4342146442679466</v>
      </c>
      <c r="BF40" s="14">
        <v>1</v>
      </c>
      <c r="BG40" s="14">
        <v>2</v>
      </c>
      <c r="BH40" s="13">
        <v>0</v>
      </c>
      <c r="BI40" s="13">
        <v>0</v>
      </c>
      <c r="BJ40" s="13">
        <v>0</v>
      </c>
      <c r="BK40" s="13">
        <v>1.0475774770842428</v>
      </c>
      <c r="BL40" s="13">
        <v>0</v>
      </c>
      <c r="BM40" s="13">
        <v>0</v>
      </c>
      <c r="BN40" s="13">
        <v>51.546391752577321</v>
      </c>
      <c r="BO40" s="15" t="s">
        <v>187</v>
      </c>
      <c r="BP40" s="15">
        <v>40000</v>
      </c>
      <c r="BQ40" s="12" t="s">
        <v>271</v>
      </c>
      <c r="BR40" s="26">
        <v>2.62</v>
      </c>
      <c r="BS40" s="27">
        <v>6.52</v>
      </c>
      <c r="BT40" s="27">
        <v>3.9</v>
      </c>
      <c r="BU40" s="26">
        <f t="shared" si="24"/>
        <v>0.5239999999999998</v>
      </c>
      <c r="BV40" s="26">
        <f t="shared" si="25"/>
        <v>1.3039999999999998</v>
      </c>
      <c r="BW40" s="26">
        <f t="shared" si="25"/>
        <v>0.78</v>
      </c>
      <c r="BX40" s="31">
        <f t="shared" si="26"/>
        <v>8.673103448275862</v>
      </c>
      <c r="BY40" s="31">
        <f t="shared" si="27"/>
        <v>21.583448275862068</v>
      </c>
      <c r="BZ40" s="31">
        <f t="shared" si="28"/>
        <v>12.910344827586206</v>
      </c>
      <c r="CA40" s="34">
        <v>0</v>
      </c>
      <c r="CB40" s="34">
        <v>5</v>
      </c>
    </row>
    <row r="41" spans="1:80" x14ac:dyDescent="0.4">
      <c r="A41" s="12" t="s">
        <v>191</v>
      </c>
      <c r="B41" s="12" t="s">
        <v>180</v>
      </c>
      <c r="C41" s="4" t="s">
        <v>249</v>
      </c>
      <c r="D41" s="22">
        <v>1</v>
      </c>
      <c r="E41" s="22">
        <v>1</v>
      </c>
      <c r="F41" s="22">
        <v>46</v>
      </c>
      <c r="G41" s="10">
        <v>106</v>
      </c>
      <c r="H41" s="5">
        <v>0</v>
      </c>
      <c r="I41" s="17">
        <f t="shared" si="29"/>
        <v>0</v>
      </c>
      <c r="J41" s="7">
        <v>0</v>
      </c>
      <c r="K41" s="7">
        <v>0</v>
      </c>
      <c r="L41" s="17">
        <f t="shared" si="30"/>
        <v>0</v>
      </c>
      <c r="M41" s="17">
        <f t="shared" si="31"/>
        <v>0</v>
      </c>
      <c r="N41" s="33" t="e">
        <f t="shared" si="32"/>
        <v>#DIV/0!</v>
      </c>
      <c r="O41" s="12">
        <v>0</v>
      </c>
      <c r="P41" s="12">
        <v>0</v>
      </c>
      <c r="Q41" s="17">
        <f t="shared" si="33"/>
        <v>0</v>
      </c>
      <c r="R41" s="17">
        <f t="shared" si="34"/>
        <v>0</v>
      </c>
      <c r="S41" s="33" t="e">
        <f t="shared" si="35"/>
        <v>#DIV/0!</v>
      </c>
      <c r="T41" s="12">
        <v>0</v>
      </c>
      <c r="U41" s="12">
        <v>0</v>
      </c>
      <c r="V41" s="17">
        <f t="shared" si="36"/>
        <v>0</v>
      </c>
      <c r="W41" s="17">
        <f t="shared" si="37"/>
        <v>0</v>
      </c>
      <c r="X41" s="33" t="e">
        <f t="shared" si="38"/>
        <v>#DIV/0!</v>
      </c>
      <c r="Y41" s="12">
        <v>0</v>
      </c>
      <c r="Z41" s="12">
        <v>2</v>
      </c>
      <c r="AA41" s="17">
        <f t="shared" si="39"/>
        <v>0</v>
      </c>
      <c r="AB41" s="17">
        <f t="shared" si="40"/>
        <v>2</v>
      </c>
      <c r="AC41" s="33">
        <f t="shared" si="41"/>
        <v>0</v>
      </c>
      <c r="AD41" s="12">
        <v>0</v>
      </c>
      <c r="AE41" s="17">
        <f t="shared" si="42"/>
        <v>0</v>
      </c>
      <c r="AF41" s="12">
        <v>0</v>
      </c>
      <c r="AG41" s="17">
        <f t="shared" si="43"/>
        <v>0</v>
      </c>
      <c r="AH41" s="12">
        <v>0</v>
      </c>
      <c r="AI41" s="17">
        <f t="shared" si="44"/>
        <v>0</v>
      </c>
      <c r="AJ41" s="12">
        <v>0</v>
      </c>
      <c r="AK41" s="17">
        <f t="shared" si="45"/>
        <v>0</v>
      </c>
      <c r="AL41" s="12">
        <v>1</v>
      </c>
      <c r="AM41" s="17">
        <f t="shared" si="46"/>
        <v>1</v>
      </c>
      <c r="AN41" s="12">
        <v>0</v>
      </c>
      <c r="AO41" s="17">
        <f t="shared" si="47"/>
        <v>0</v>
      </c>
      <c r="AP41" s="12">
        <v>0</v>
      </c>
      <c r="AQ41" s="17">
        <f t="shared" si="48"/>
        <v>0</v>
      </c>
      <c r="AR41" s="12">
        <v>0</v>
      </c>
      <c r="AS41" s="17">
        <f t="shared" si="49"/>
        <v>0</v>
      </c>
      <c r="AT41" s="13">
        <v>-1.4811040998633338E-2</v>
      </c>
      <c r="AU41" s="13">
        <v>-0.33534432449735863</v>
      </c>
      <c r="AV41" s="13">
        <v>-2.9043120381629418E-2</v>
      </c>
      <c r="AW41" s="13">
        <v>1.4232079382996079E-2</v>
      </c>
      <c r="AX41" s="13">
        <v>0</v>
      </c>
      <c r="AY41" s="13">
        <v>55.349088875273452</v>
      </c>
      <c r="AZ41" s="13">
        <v>0.17174817541316947</v>
      </c>
      <c r="BA41" s="13">
        <v>-1</v>
      </c>
      <c r="BB41" s="13">
        <v>-22.641509433962263</v>
      </c>
      <c r="BC41" s="14">
        <v>0</v>
      </c>
      <c r="BD41" s="14"/>
      <c r="BE41" s="13">
        <v>0.44496641851923269</v>
      </c>
      <c r="BF41" s="14"/>
      <c r="BG41" s="14"/>
      <c r="BH41" s="13">
        <v>0</v>
      </c>
      <c r="BI41" s="13">
        <v>0</v>
      </c>
      <c r="BJ41" s="13">
        <v>0</v>
      </c>
      <c r="BK41" s="13">
        <v>0</v>
      </c>
      <c r="BL41" s="13">
        <v>31.894686289162692</v>
      </c>
      <c r="BM41" s="13">
        <v>0</v>
      </c>
      <c r="BN41" s="13">
        <v>0</v>
      </c>
      <c r="BO41" s="15" t="s">
        <v>187</v>
      </c>
      <c r="BP41" s="15">
        <v>70000</v>
      </c>
      <c r="BQ41" s="12" t="s">
        <v>273</v>
      </c>
      <c r="BR41" s="26">
        <v>-0.16</v>
      </c>
      <c r="BS41" s="27">
        <v>1.44</v>
      </c>
      <c r="BT41" s="27">
        <v>1.6</v>
      </c>
      <c r="BU41" s="26">
        <f t="shared" si="24"/>
        <v>-0.16000000000000014</v>
      </c>
      <c r="BV41" s="26">
        <f t="shared" si="25"/>
        <v>1.44</v>
      </c>
      <c r="BW41" s="26">
        <f t="shared" si="25"/>
        <v>1.6</v>
      </c>
      <c r="BX41" s="31">
        <f t="shared" si="26"/>
        <v>-3.6226415094339615</v>
      </c>
      <c r="BY41" s="31">
        <f t="shared" si="27"/>
        <v>32.60377358490566</v>
      </c>
      <c r="BZ41" s="31">
        <f t="shared" si="28"/>
        <v>36.226415094339622</v>
      </c>
      <c r="CA41" s="35">
        <v>1</v>
      </c>
      <c r="CB41" s="35">
        <v>0</v>
      </c>
    </row>
    <row r="42" spans="1:80" x14ac:dyDescent="0.4">
      <c r="A42" s="12" t="s">
        <v>191</v>
      </c>
      <c r="B42" s="12" t="s">
        <v>180</v>
      </c>
      <c r="C42" s="8" t="s">
        <v>82</v>
      </c>
      <c r="D42" s="32">
        <v>50</v>
      </c>
      <c r="E42" s="24">
        <v>17</v>
      </c>
      <c r="F42" s="24">
        <v>13</v>
      </c>
      <c r="G42" s="10">
        <v>51654</v>
      </c>
      <c r="H42" s="5">
        <v>188</v>
      </c>
      <c r="I42" s="17">
        <f t="shared" si="29"/>
        <v>3.76</v>
      </c>
      <c r="J42" s="7">
        <v>68</v>
      </c>
      <c r="K42" s="7">
        <v>160</v>
      </c>
      <c r="L42" s="17">
        <f t="shared" si="30"/>
        <v>1.36</v>
      </c>
      <c r="M42" s="17">
        <f t="shared" si="31"/>
        <v>3.2</v>
      </c>
      <c r="N42" s="33">
        <f t="shared" si="32"/>
        <v>0.42499999999999999</v>
      </c>
      <c r="O42" s="12">
        <v>26</v>
      </c>
      <c r="P42" s="12">
        <v>49</v>
      </c>
      <c r="Q42" s="17">
        <f t="shared" si="33"/>
        <v>0.52</v>
      </c>
      <c r="R42" s="17">
        <f t="shared" si="34"/>
        <v>0.98</v>
      </c>
      <c r="S42" s="33">
        <f t="shared" si="35"/>
        <v>0.53061224489795922</v>
      </c>
      <c r="T42" s="12">
        <v>42</v>
      </c>
      <c r="U42" s="12">
        <v>111</v>
      </c>
      <c r="V42" s="17">
        <f t="shared" si="36"/>
        <v>0.84</v>
      </c>
      <c r="W42" s="17">
        <f t="shared" si="37"/>
        <v>2.2200000000000002</v>
      </c>
      <c r="X42" s="33">
        <f t="shared" si="38"/>
        <v>0.3783783783783784</v>
      </c>
      <c r="Y42" s="12">
        <v>10</v>
      </c>
      <c r="Z42" s="12">
        <v>15</v>
      </c>
      <c r="AA42" s="17">
        <f t="shared" si="39"/>
        <v>0.2</v>
      </c>
      <c r="AB42" s="17">
        <f t="shared" si="40"/>
        <v>0.3</v>
      </c>
      <c r="AC42" s="33">
        <f t="shared" si="41"/>
        <v>0.66666666666666663</v>
      </c>
      <c r="AD42" s="12">
        <v>83</v>
      </c>
      <c r="AE42" s="17">
        <f t="shared" si="42"/>
        <v>1.66</v>
      </c>
      <c r="AF42" s="12">
        <v>12</v>
      </c>
      <c r="AG42" s="17">
        <f t="shared" si="43"/>
        <v>0.24</v>
      </c>
      <c r="AH42" s="12">
        <v>71</v>
      </c>
      <c r="AI42" s="17">
        <f t="shared" si="44"/>
        <v>1.42</v>
      </c>
      <c r="AJ42" s="12">
        <v>35</v>
      </c>
      <c r="AK42" s="17">
        <f t="shared" si="45"/>
        <v>0.7</v>
      </c>
      <c r="AL42" s="12">
        <v>29</v>
      </c>
      <c r="AM42" s="17">
        <f t="shared" si="46"/>
        <v>0.57999999999999996</v>
      </c>
      <c r="AN42" s="12">
        <v>2</v>
      </c>
      <c r="AO42" s="17">
        <f t="shared" si="47"/>
        <v>0.04</v>
      </c>
      <c r="AP42" s="12">
        <v>16</v>
      </c>
      <c r="AQ42" s="17">
        <f t="shared" si="48"/>
        <v>0.32</v>
      </c>
      <c r="AR42" s="12">
        <v>88</v>
      </c>
      <c r="AS42" s="17">
        <f t="shared" si="49"/>
        <v>1.76</v>
      </c>
      <c r="AT42" s="13">
        <v>0.6216324866374463</v>
      </c>
      <c r="AU42" s="13">
        <v>2.8885149427490243E-2</v>
      </c>
      <c r="AV42" s="13">
        <v>0.99095998587752288</v>
      </c>
      <c r="AW42" s="13">
        <v>-0.36932749924007657</v>
      </c>
      <c r="AX42" s="13">
        <v>115.31032612278082</v>
      </c>
      <c r="AY42" s="13">
        <v>117.19312914251415</v>
      </c>
      <c r="AZ42" s="13">
        <v>5.8136556123227088</v>
      </c>
      <c r="BA42" s="13">
        <v>4.4800000000000004</v>
      </c>
      <c r="BB42" s="13">
        <v>10.408518877057116</v>
      </c>
      <c r="BC42" s="14">
        <v>0.56422569027611047</v>
      </c>
      <c r="BD42" s="14">
        <v>0.55625000000000002</v>
      </c>
      <c r="BE42" s="13">
        <v>9.47438177669944</v>
      </c>
      <c r="BF42" s="14">
        <v>0.69374999999999998</v>
      </c>
      <c r="BG42" s="14">
        <v>9.375E-2</v>
      </c>
      <c r="BH42" s="13">
        <v>1.4814007055170859</v>
      </c>
      <c r="BI42" s="13">
        <v>8.764954174309425</v>
      </c>
      <c r="BJ42" s="13">
        <v>4.7862099488293612</v>
      </c>
      <c r="BK42" s="13">
        <v>5.7184091930235406</v>
      </c>
      <c r="BL42" s="13">
        <v>1.8982432846638162</v>
      </c>
      <c r="BM42" s="13">
        <v>0.23865743261283651</v>
      </c>
      <c r="BN42" s="13">
        <v>8.762322015334064</v>
      </c>
      <c r="BO42" s="15" t="s">
        <v>187</v>
      </c>
      <c r="BP42" s="15">
        <v>50000</v>
      </c>
      <c r="BQ42" s="12" t="s">
        <v>271</v>
      </c>
      <c r="BR42" s="26">
        <v>477.62</v>
      </c>
      <c r="BS42" s="27">
        <v>590.72</v>
      </c>
      <c r="BT42" s="27">
        <v>113.1</v>
      </c>
      <c r="BU42" s="26">
        <f t="shared" si="24"/>
        <v>9.5524000000000004</v>
      </c>
      <c r="BV42" s="26">
        <f t="shared" si="25"/>
        <v>11.814400000000001</v>
      </c>
      <c r="BW42" s="26">
        <f t="shared" si="25"/>
        <v>2.262</v>
      </c>
      <c r="BX42" s="31">
        <f t="shared" si="26"/>
        <v>22.191659890811941</v>
      </c>
      <c r="BY42" s="31">
        <f t="shared" si="27"/>
        <v>27.446625624346613</v>
      </c>
      <c r="BZ42" s="31">
        <f t="shared" si="28"/>
        <v>5.2549657335346733</v>
      </c>
      <c r="CA42" s="35">
        <v>24</v>
      </c>
      <c r="CB42" s="35">
        <v>26</v>
      </c>
    </row>
    <row r="43" spans="1:80" x14ac:dyDescent="0.4">
      <c r="A43" s="12" t="s">
        <v>191</v>
      </c>
      <c r="B43" s="12" t="s">
        <v>180</v>
      </c>
      <c r="C43" s="4" t="s">
        <v>250</v>
      </c>
      <c r="D43" s="5">
        <v>1</v>
      </c>
      <c r="E43" s="22">
        <v>1</v>
      </c>
      <c r="F43" s="22">
        <v>46</v>
      </c>
      <c r="G43" s="10">
        <v>106</v>
      </c>
      <c r="H43" s="5">
        <v>0</v>
      </c>
      <c r="I43" s="17">
        <f t="shared" si="29"/>
        <v>0</v>
      </c>
      <c r="J43" s="7">
        <v>0</v>
      </c>
      <c r="K43" s="7">
        <v>1</v>
      </c>
      <c r="L43" s="17">
        <f t="shared" si="30"/>
        <v>0</v>
      </c>
      <c r="M43" s="17">
        <f t="shared" si="31"/>
        <v>1</v>
      </c>
      <c r="N43" s="33">
        <f t="shared" si="32"/>
        <v>0</v>
      </c>
      <c r="O43" s="12">
        <v>0</v>
      </c>
      <c r="P43" s="12">
        <v>1</v>
      </c>
      <c r="Q43" s="17">
        <f t="shared" si="33"/>
        <v>0</v>
      </c>
      <c r="R43" s="17">
        <f t="shared" si="34"/>
        <v>1</v>
      </c>
      <c r="S43" s="33">
        <f t="shared" si="35"/>
        <v>0</v>
      </c>
      <c r="T43" s="12">
        <v>0</v>
      </c>
      <c r="U43" s="12">
        <v>0</v>
      </c>
      <c r="V43" s="17">
        <f t="shared" si="36"/>
        <v>0</v>
      </c>
      <c r="W43" s="17">
        <f t="shared" si="37"/>
        <v>0</v>
      </c>
      <c r="X43" s="33" t="e">
        <f t="shared" si="38"/>
        <v>#DIV/0!</v>
      </c>
      <c r="Y43" s="12">
        <v>0</v>
      </c>
      <c r="Z43" s="12">
        <v>0</v>
      </c>
      <c r="AA43" s="17">
        <f t="shared" si="39"/>
        <v>0</v>
      </c>
      <c r="AB43" s="17">
        <f t="shared" si="40"/>
        <v>0</v>
      </c>
      <c r="AC43" s="33" t="e">
        <f t="shared" si="41"/>
        <v>#DIV/0!</v>
      </c>
      <c r="AD43" s="12">
        <v>0</v>
      </c>
      <c r="AE43" s="17">
        <f t="shared" si="42"/>
        <v>0</v>
      </c>
      <c r="AF43" s="12">
        <v>0</v>
      </c>
      <c r="AG43" s="17">
        <f t="shared" si="43"/>
        <v>0</v>
      </c>
      <c r="AH43" s="12">
        <v>0</v>
      </c>
      <c r="AI43" s="17">
        <f t="shared" si="44"/>
        <v>0</v>
      </c>
      <c r="AJ43" s="12">
        <v>0</v>
      </c>
      <c r="AK43" s="17">
        <f t="shared" si="45"/>
        <v>0</v>
      </c>
      <c r="AL43" s="12">
        <v>0</v>
      </c>
      <c r="AM43" s="17">
        <f t="shared" si="46"/>
        <v>0</v>
      </c>
      <c r="AN43" s="12">
        <v>0</v>
      </c>
      <c r="AO43" s="17">
        <f t="shared" si="47"/>
        <v>0</v>
      </c>
      <c r="AP43" s="12">
        <v>0</v>
      </c>
      <c r="AQ43" s="17">
        <f t="shared" si="48"/>
        <v>0</v>
      </c>
      <c r="AR43" s="12">
        <v>0</v>
      </c>
      <c r="AS43" s="17">
        <f t="shared" si="49"/>
        <v>0</v>
      </c>
      <c r="AT43" s="13">
        <v>-2.7141562370024002E-2</v>
      </c>
      <c r="AU43" s="13">
        <v>-0.61452594045337361</v>
      </c>
      <c r="AV43" s="13">
        <v>-2.4393731291791669E-2</v>
      </c>
      <c r="AW43" s="13">
        <v>-2.7478310782323317E-3</v>
      </c>
      <c r="AX43" s="13">
        <v>0</v>
      </c>
      <c r="AY43" s="13">
        <v>125.40268444736998</v>
      </c>
      <c r="AZ43" s="13">
        <v>-0.37090777056629903</v>
      </c>
      <c r="BA43" s="13">
        <v>-1</v>
      </c>
      <c r="BB43" s="13">
        <v>-22.641509433962263</v>
      </c>
      <c r="BC43" s="14">
        <v>0</v>
      </c>
      <c r="BD43" s="14">
        <v>0</v>
      </c>
      <c r="BE43" s="13">
        <v>0.50564365740821893</v>
      </c>
      <c r="BF43" s="14">
        <v>0</v>
      </c>
      <c r="BG43" s="14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5" t="s">
        <v>187</v>
      </c>
      <c r="BP43" s="15"/>
      <c r="BQ43" s="12" t="s">
        <v>272</v>
      </c>
      <c r="BR43" s="26">
        <v>-0.56000000000000005</v>
      </c>
      <c r="BS43" s="27">
        <v>0.44</v>
      </c>
      <c r="BT43" s="27">
        <v>1</v>
      </c>
      <c r="BU43" s="26">
        <f t="shared" si="24"/>
        <v>-0.56000000000000005</v>
      </c>
      <c r="BV43" s="26">
        <f t="shared" si="25"/>
        <v>0.44</v>
      </c>
      <c r="BW43" s="26">
        <f t="shared" si="25"/>
        <v>1</v>
      </c>
      <c r="BX43" s="31">
        <f t="shared" si="26"/>
        <v>-12.679245283018867</v>
      </c>
      <c r="BY43" s="31">
        <f t="shared" si="27"/>
        <v>9.9622641509433958</v>
      </c>
      <c r="BZ43" s="31">
        <f t="shared" si="28"/>
        <v>22.641509433962263</v>
      </c>
      <c r="CA43" s="34">
        <v>1</v>
      </c>
      <c r="CB43" s="34">
        <v>0</v>
      </c>
    </row>
    <row r="44" spans="1:80" x14ac:dyDescent="0.4">
      <c r="A44" s="12" t="s">
        <v>191</v>
      </c>
      <c r="B44" s="12" t="s">
        <v>180</v>
      </c>
      <c r="C44" s="4" t="s">
        <v>101</v>
      </c>
      <c r="D44" s="5">
        <v>36</v>
      </c>
      <c r="E44" s="22">
        <v>5</v>
      </c>
      <c r="F44" s="22">
        <v>59</v>
      </c>
      <c r="G44" s="10">
        <v>12911</v>
      </c>
      <c r="H44" s="5">
        <v>31</v>
      </c>
      <c r="I44" s="17">
        <f t="shared" si="29"/>
        <v>0.86111111111111116</v>
      </c>
      <c r="J44" s="7">
        <v>10</v>
      </c>
      <c r="K44" s="7">
        <v>33</v>
      </c>
      <c r="L44" s="17">
        <f t="shared" si="30"/>
        <v>0.27777777777777779</v>
      </c>
      <c r="M44" s="17">
        <f t="shared" si="31"/>
        <v>0.91666666666666663</v>
      </c>
      <c r="N44" s="33">
        <f t="shared" si="32"/>
        <v>0.30303030303030304</v>
      </c>
      <c r="O44" s="12">
        <v>3</v>
      </c>
      <c r="P44" s="12">
        <v>10</v>
      </c>
      <c r="Q44" s="17">
        <f t="shared" si="33"/>
        <v>8.3333333333333329E-2</v>
      </c>
      <c r="R44" s="17">
        <f t="shared" si="34"/>
        <v>0.27777777777777779</v>
      </c>
      <c r="S44" s="33">
        <f t="shared" si="35"/>
        <v>0.3</v>
      </c>
      <c r="T44" s="12">
        <v>7</v>
      </c>
      <c r="U44" s="12">
        <v>23</v>
      </c>
      <c r="V44" s="17">
        <f t="shared" si="36"/>
        <v>0.19444444444444445</v>
      </c>
      <c r="W44" s="17">
        <f t="shared" si="37"/>
        <v>0.63888888888888884</v>
      </c>
      <c r="X44" s="33">
        <f t="shared" si="38"/>
        <v>0.30434782608695654</v>
      </c>
      <c r="Y44" s="12">
        <v>4</v>
      </c>
      <c r="Z44" s="12">
        <v>7</v>
      </c>
      <c r="AA44" s="17">
        <f t="shared" si="39"/>
        <v>0.1111111111111111</v>
      </c>
      <c r="AB44" s="17">
        <f t="shared" si="40"/>
        <v>0.19444444444444445</v>
      </c>
      <c r="AC44" s="33">
        <f t="shared" si="41"/>
        <v>0.5714285714285714</v>
      </c>
      <c r="AD44" s="12">
        <v>26</v>
      </c>
      <c r="AE44" s="17">
        <f t="shared" si="42"/>
        <v>0.72222222222222221</v>
      </c>
      <c r="AF44" s="12">
        <v>11</v>
      </c>
      <c r="AG44" s="17">
        <f t="shared" si="43"/>
        <v>0.30555555555555558</v>
      </c>
      <c r="AH44" s="12">
        <v>15</v>
      </c>
      <c r="AI44" s="17">
        <f t="shared" si="44"/>
        <v>0.41666666666666669</v>
      </c>
      <c r="AJ44" s="12">
        <v>5</v>
      </c>
      <c r="AK44" s="17">
        <f t="shared" si="45"/>
        <v>0.1388888888888889</v>
      </c>
      <c r="AL44" s="12">
        <v>1</v>
      </c>
      <c r="AM44" s="17">
        <f t="shared" si="46"/>
        <v>2.7777777777777776E-2</v>
      </c>
      <c r="AN44" s="12">
        <v>8</v>
      </c>
      <c r="AO44" s="17">
        <f t="shared" si="47"/>
        <v>0.22222222222222221</v>
      </c>
      <c r="AP44" s="12">
        <v>3</v>
      </c>
      <c r="AQ44" s="17">
        <f t="shared" si="48"/>
        <v>8.3333333333333329E-2</v>
      </c>
      <c r="AR44" s="12">
        <v>28</v>
      </c>
      <c r="AS44" s="17">
        <f t="shared" si="49"/>
        <v>0.77777777777777779</v>
      </c>
      <c r="AT44" s="13">
        <v>-8.912508900699681E-2</v>
      </c>
      <c r="AU44" s="13">
        <v>-1.6550620057009621E-2</v>
      </c>
      <c r="AV44" s="13">
        <v>7.0121126954167196E-2</v>
      </c>
      <c r="AW44" s="13">
        <v>-0.15924621596116401</v>
      </c>
      <c r="AX44" s="13">
        <v>102.80256340152174</v>
      </c>
      <c r="AY44" s="13">
        <v>119.45459023473265</v>
      </c>
      <c r="AZ44" s="13">
        <v>1.8150114606781758</v>
      </c>
      <c r="BA44" s="13">
        <v>1.1666666666666667</v>
      </c>
      <c r="BB44" s="13">
        <v>7.7994428969359326</v>
      </c>
      <c r="BC44" s="14">
        <v>0.42960088691796011</v>
      </c>
      <c r="BD44" s="14">
        <v>0.40909090909090912</v>
      </c>
      <c r="BE44" s="13">
        <v>5.8345925847921967</v>
      </c>
      <c r="BF44" s="14">
        <v>0.69696969696969702</v>
      </c>
      <c r="BG44" s="14">
        <v>0.21212121212121213</v>
      </c>
      <c r="BH44" s="13">
        <v>3.9074178776208566</v>
      </c>
      <c r="BI44" s="13">
        <v>5.3282971058466222</v>
      </c>
      <c r="BJ44" s="13">
        <v>4.3141264827217158</v>
      </c>
      <c r="BK44" s="13">
        <v>2.2090497404366554</v>
      </c>
      <c r="BL44" s="13">
        <v>0.26159368203739131</v>
      </c>
      <c r="BM44" s="13">
        <v>2.7468872188196114</v>
      </c>
      <c r="BN44" s="13">
        <v>7.6765609007164795</v>
      </c>
      <c r="BO44" s="15" t="s">
        <v>187</v>
      </c>
      <c r="BP44" s="15"/>
      <c r="BQ44" s="12" t="s">
        <v>273</v>
      </c>
      <c r="BR44" s="26">
        <v>104.5</v>
      </c>
      <c r="BS44" s="27">
        <v>132.80000000000001</v>
      </c>
      <c r="BT44" s="27">
        <v>28.3</v>
      </c>
      <c r="BU44" s="26">
        <f t="shared" si="24"/>
        <v>2.9027777777777781</v>
      </c>
      <c r="BV44" s="26">
        <f t="shared" si="25"/>
        <v>3.6888888888888891</v>
      </c>
      <c r="BW44" s="26">
        <f t="shared" si="25"/>
        <v>0.78611111111111109</v>
      </c>
      <c r="BX44" s="31">
        <f t="shared" si="26"/>
        <v>19.42529625900395</v>
      </c>
      <c r="BY44" s="31">
        <f t="shared" si="27"/>
        <v>24.685926729145688</v>
      </c>
      <c r="BZ44" s="31">
        <f t="shared" si="28"/>
        <v>5.2606304701417397</v>
      </c>
      <c r="CA44" s="34">
        <v>17</v>
      </c>
      <c r="CB44" s="34">
        <v>19</v>
      </c>
    </row>
    <row r="45" spans="1:80" x14ac:dyDescent="0.4">
      <c r="A45" s="12" t="s">
        <v>191</v>
      </c>
      <c r="B45" s="12" t="s">
        <v>180</v>
      </c>
      <c r="C45" s="4" t="s">
        <v>204</v>
      </c>
      <c r="D45" s="5">
        <v>49</v>
      </c>
      <c r="E45" s="22">
        <v>10</v>
      </c>
      <c r="F45" s="22">
        <v>15</v>
      </c>
      <c r="G45" s="10">
        <v>30140</v>
      </c>
      <c r="H45" s="5">
        <v>317</v>
      </c>
      <c r="I45" s="17">
        <f t="shared" si="29"/>
        <v>6.4693877551020407</v>
      </c>
      <c r="J45" s="7">
        <v>131</v>
      </c>
      <c r="K45" s="7">
        <v>244</v>
      </c>
      <c r="L45" s="17">
        <f t="shared" si="30"/>
        <v>2.6734693877551021</v>
      </c>
      <c r="M45" s="17">
        <f t="shared" si="31"/>
        <v>4.9795918367346941</v>
      </c>
      <c r="N45" s="33">
        <f t="shared" si="32"/>
        <v>0.53688524590163933</v>
      </c>
      <c r="O45" s="12">
        <v>126</v>
      </c>
      <c r="P45" s="12">
        <v>225</v>
      </c>
      <c r="Q45" s="17">
        <f t="shared" si="33"/>
        <v>2.5714285714285716</v>
      </c>
      <c r="R45" s="17">
        <f t="shared" si="34"/>
        <v>4.591836734693878</v>
      </c>
      <c r="S45" s="33">
        <f t="shared" si="35"/>
        <v>0.56000000000000005</v>
      </c>
      <c r="T45" s="12">
        <v>5</v>
      </c>
      <c r="U45" s="12">
        <v>19</v>
      </c>
      <c r="V45" s="17">
        <f t="shared" si="36"/>
        <v>0.10204081632653061</v>
      </c>
      <c r="W45" s="17">
        <f t="shared" si="37"/>
        <v>0.38775510204081631</v>
      </c>
      <c r="X45" s="33">
        <f t="shared" si="38"/>
        <v>0.26315789473684209</v>
      </c>
      <c r="Y45" s="12">
        <v>50</v>
      </c>
      <c r="Z45" s="12">
        <v>80</v>
      </c>
      <c r="AA45" s="17">
        <f t="shared" si="39"/>
        <v>1.0204081632653061</v>
      </c>
      <c r="AB45" s="17">
        <f t="shared" si="40"/>
        <v>1.6326530612244898</v>
      </c>
      <c r="AC45" s="33">
        <f t="shared" si="41"/>
        <v>0.625</v>
      </c>
      <c r="AD45" s="12">
        <v>149</v>
      </c>
      <c r="AE45" s="17">
        <f t="shared" si="42"/>
        <v>3.0408163265306123</v>
      </c>
      <c r="AF45" s="12">
        <v>47</v>
      </c>
      <c r="AG45" s="17">
        <f t="shared" si="43"/>
        <v>0.95918367346938771</v>
      </c>
      <c r="AH45" s="12">
        <v>102</v>
      </c>
      <c r="AI45" s="17">
        <f t="shared" si="44"/>
        <v>2.0816326530612246</v>
      </c>
      <c r="AJ45" s="12">
        <v>21</v>
      </c>
      <c r="AK45" s="17">
        <f t="shared" si="45"/>
        <v>0.42857142857142855</v>
      </c>
      <c r="AL45" s="12">
        <v>33</v>
      </c>
      <c r="AM45" s="17">
        <f t="shared" si="46"/>
        <v>0.67346938775510201</v>
      </c>
      <c r="AN45" s="12">
        <v>17</v>
      </c>
      <c r="AO45" s="17">
        <f t="shared" si="47"/>
        <v>0.34693877551020408</v>
      </c>
      <c r="AP45" s="12">
        <v>34</v>
      </c>
      <c r="AQ45" s="17">
        <f t="shared" si="48"/>
        <v>0.69387755102040816</v>
      </c>
      <c r="AR45" s="12">
        <v>89</v>
      </c>
      <c r="AS45" s="17">
        <f t="shared" si="49"/>
        <v>1.8163265306122449</v>
      </c>
      <c r="AT45" s="13">
        <v>1.694312104515912</v>
      </c>
      <c r="AU45" s="13">
        <v>0.1349377484930542</v>
      </c>
      <c r="AV45" s="13">
        <v>1.1408753276163188</v>
      </c>
      <c r="AW45" s="13">
        <v>0.55343677689959314</v>
      </c>
      <c r="AX45" s="13">
        <v>109.33022135669374</v>
      </c>
      <c r="AY45" s="13">
        <v>106.03450636763235</v>
      </c>
      <c r="AZ45" s="13">
        <v>17.907090688953573</v>
      </c>
      <c r="BA45" s="13">
        <v>7.3469387755102042</v>
      </c>
      <c r="BB45" s="13">
        <v>28.670980587356894</v>
      </c>
      <c r="BC45" s="14">
        <v>0.56769340974212035</v>
      </c>
      <c r="BD45" s="14">
        <v>0.54713114754098358</v>
      </c>
      <c r="BE45" s="13">
        <v>27.295877904108849</v>
      </c>
      <c r="BF45" s="14">
        <v>7.7868852459016397E-2</v>
      </c>
      <c r="BG45" s="14">
        <v>0.32786885245901637</v>
      </c>
      <c r="BH45" s="13">
        <v>9.7457297633550191</v>
      </c>
      <c r="BI45" s="13">
        <v>21.150307146004511</v>
      </c>
      <c r="BJ45" s="13">
        <v>14.431953701517655</v>
      </c>
      <c r="BK45" s="13">
        <v>7.6677316293929731</v>
      </c>
      <c r="BL45" s="13">
        <v>3.7022602501905122</v>
      </c>
      <c r="BM45" s="13">
        <v>3.407368434239042</v>
      </c>
      <c r="BN45" s="13">
        <v>10.855683269476373</v>
      </c>
      <c r="BO45" s="15" t="s">
        <v>189</v>
      </c>
      <c r="BP45" s="15">
        <v>130000</v>
      </c>
      <c r="BQ45" s="12" t="s">
        <v>272</v>
      </c>
      <c r="BR45" s="26">
        <v>514.48</v>
      </c>
      <c r="BS45" s="27">
        <v>701.08</v>
      </c>
      <c r="BT45" s="27">
        <v>186.6</v>
      </c>
      <c r="BU45" s="26">
        <f t="shared" si="24"/>
        <v>10.499591836734695</v>
      </c>
      <c r="BV45" s="26">
        <f t="shared" si="25"/>
        <v>14.307755102040817</v>
      </c>
      <c r="BW45" s="26">
        <f t="shared" si="25"/>
        <v>3.8081632653061224</v>
      </c>
      <c r="BX45" s="31">
        <f t="shared" si="26"/>
        <v>40.967219641672195</v>
      </c>
      <c r="BY45" s="31">
        <f t="shared" si="27"/>
        <v>55.825879230258792</v>
      </c>
      <c r="BZ45" s="31">
        <f t="shared" si="28"/>
        <v>14.858659588586596</v>
      </c>
      <c r="CA45" s="34">
        <v>27</v>
      </c>
      <c r="CB45" s="34">
        <v>22</v>
      </c>
    </row>
    <row r="46" spans="1:80" x14ac:dyDescent="0.4">
      <c r="A46" s="12" t="s">
        <v>191</v>
      </c>
      <c r="B46" s="12" t="s">
        <v>180</v>
      </c>
      <c r="C46" s="4" t="s">
        <v>77</v>
      </c>
      <c r="D46" s="5">
        <v>34</v>
      </c>
      <c r="E46" s="22">
        <v>29</v>
      </c>
      <c r="F46" s="22">
        <v>23</v>
      </c>
      <c r="G46" s="10">
        <v>59949</v>
      </c>
      <c r="H46" s="5">
        <v>368</v>
      </c>
      <c r="I46" s="17">
        <f t="shared" si="29"/>
        <v>10.823529411764707</v>
      </c>
      <c r="J46" s="7">
        <v>140</v>
      </c>
      <c r="K46" s="7">
        <v>300</v>
      </c>
      <c r="L46" s="17">
        <f t="shared" si="30"/>
        <v>4.117647058823529</v>
      </c>
      <c r="M46" s="17">
        <f t="shared" si="31"/>
        <v>8.8235294117647065</v>
      </c>
      <c r="N46" s="33">
        <f t="shared" si="32"/>
        <v>0.46666666666666667</v>
      </c>
      <c r="O46" s="12">
        <v>92</v>
      </c>
      <c r="P46" s="12">
        <v>174</v>
      </c>
      <c r="Q46" s="17">
        <f t="shared" si="33"/>
        <v>2.7058823529411766</v>
      </c>
      <c r="R46" s="17">
        <f t="shared" si="34"/>
        <v>5.117647058823529</v>
      </c>
      <c r="S46" s="33">
        <f t="shared" si="35"/>
        <v>0.52873563218390807</v>
      </c>
      <c r="T46" s="12">
        <v>48</v>
      </c>
      <c r="U46" s="12">
        <v>126</v>
      </c>
      <c r="V46" s="17">
        <f t="shared" si="36"/>
        <v>1.411764705882353</v>
      </c>
      <c r="W46" s="17">
        <f t="shared" si="37"/>
        <v>3.7058823529411766</v>
      </c>
      <c r="X46" s="33">
        <f t="shared" si="38"/>
        <v>0.38095238095238093</v>
      </c>
      <c r="Y46" s="12">
        <v>40</v>
      </c>
      <c r="Z46" s="12">
        <v>59</v>
      </c>
      <c r="AA46" s="17">
        <f t="shared" si="39"/>
        <v>1.1764705882352942</v>
      </c>
      <c r="AB46" s="17">
        <f t="shared" si="40"/>
        <v>1.7352941176470589</v>
      </c>
      <c r="AC46" s="33">
        <f t="shared" si="41"/>
        <v>0.67796610169491522</v>
      </c>
      <c r="AD46" s="12">
        <v>158</v>
      </c>
      <c r="AE46" s="17">
        <f t="shared" si="42"/>
        <v>4.6470588235294121</v>
      </c>
      <c r="AF46" s="12">
        <v>28</v>
      </c>
      <c r="AG46" s="17">
        <f t="shared" si="43"/>
        <v>0.82352941176470584</v>
      </c>
      <c r="AH46" s="12">
        <v>130</v>
      </c>
      <c r="AI46" s="17">
        <f t="shared" si="44"/>
        <v>3.8235294117647061</v>
      </c>
      <c r="AJ46" s="12">
        <v>103</v>
      </c>
      <c r="AK46" s="17">
        <f t="shared" si="45"/>
        <v>3.0294117647058822</v>
      </c>
      <c r="AL46" s="12">
        <v>20</v>
      </c>
      <c r="AM46" s="17">
        <f t="shared" si="46"/>
        <v>0.58823529411764708</v>
      </c>
      <c r="AN46" s="12">
        <v>13</v>
      </c>
      <c r="AO46" s="17">
        <f t="shared" si="47"/>
        <v>0.38235294117647056</v>
      </c>
      <c r="AP46" s="12">
        <v>49</v>
      </c>
      <c r="AQ46" s="17">
        <f t="shared" si="48"/>
        <v>1.4411764705882353</v>
      </c>
      <c r="AR46" s="12">
        <v>86</v>
      </c>
      <c r="AS46" s="17">
        <f t="shared" si="49"/>
        <v>2.5294117647058822</v>
      </c>
      <c r="AT46" s="13">
        <v>1.5735945268200859</v>
      </c>
      <c r="AU46" s="13">
        <v>6.3004685602218918E-2</v>
      </c>
      <c r="AV46" s="13">
        <v>1.8732249372072178</v>
      </c>
      <c r="AW46" s="13">
        <v>-0.29963041038713195</v>
      </c>
      <c r="AX46" s="13">
        <v>112.94277940770388</v>
      </c>
      <c r="AY46" s="13">
        <v>116.25205309359453</v>
      </c>
      <c r="AZ46" s="13">
        <v>7.4532005523507028</v>
      </c>
      <c r="BA46" s="13">
        <v>12.764705882352942</v>
      </c>
      <c r="BB46" s="13">
        <v>17.376797570985289</v>
      </c>
      <c r="BC46" s="14">
        <v>0.5644864400539944</v>
      </c>
      <c r="BD46" s="14">
        <v>0.54666666666666663</v>
      </c>
      <c r="BE46" s="13">
        <v>11.399427936964997</v>
      </c>
      <c r="BF46" s="14">
        <v>0.42</v>
      </c>
      <c r="BG46" s="14">
        <v>0.19666666666666666</v>
      </c>
      <c r="BH46" s="13">
        <v>2.0253372096037148</v>
      </c>
      <c r="BI46" s="13">
        <v>9.4033513303029626</v>
      </c>
      <c r="BJ46" s="13">
        <v>5.3384938774148347</v>
      </c>
      <c r="BK46" s="13">
        <v>10.091690684781632</v>
      </c>
      <c r="BL46" s="13">
        <v>1.1280360170335477</v>
      </c>
      <c r="BM46" s="13">
        <v>0.90894233197895102</v>
      </c>
      <c r="BN46" s="13">
        <v>13.068060593129935</v>
      </c>
      <c r="BO46" s="15" t="s">
        <v>187</v>
      </c>
      <c r="BP46" s="15">
        <v>240000</v>
      </c>
      <c r="BQ46" s="12" t="s">
        <v>273</v>
      </c>
      <c r="BR46" s="26">
        <v>737.89</v>
      </c>
      <c r="BS46" s="27">
        <v>978.79</v>
      </c>
      <c r="BT46" s="27">
        <v>240.9</v>
      </c>
      <c r="BU46" s="26">
        <f t="shared" si="24"/>
        <v>21.702647058823526</v>
      </c>
      <c r="BV46" s="26">
        <f t="shared" si="25"/>
        <v>28.787941176470586</v>
      </c>
      <c r="BW46" s="26">
        <f t="shared" si="25"/>
        <v>7.0852941176470594</v>
      </c>
      <c r="BX46" s="31">
        <f t="shared" si="26"/>
        <v>29.540709603162689</v>
      </c>
      <c r="BY46" s="31">
        <f t="shared" si="27"/>
        <v>39.184907171095432</v>
      </c>
      <c r="BZ46" s="31">
        <f t="shared" si="28"/>
        <v>9.6441975679327427</v>
      </c>
      <c r="CA46" s="35">
        <v>17</v>
      </c>
      <c r="CB46" s="35">
        <v>17</v>
      </c>
    </row>
    <row r="47" spans="1:80" x14ac:dyDescent="0.4">
      <c r="A47" s="12" t="s">
        <v>191</v>
      </c>
      <c r="B47" s="12" t="s">
        <v>180</v>
      </c>
      <c r="C47" s="12" t="s">
        <v>152</v>
      </c>
      <c r="D47" s="12">
        <v>54</v>
      </c>
      <c r="E47" s="11">
        <v>30</v>
      </c>
      <c r="F47" s="11">
        <v>40</v>
      </c>
      <c r="G47" s="10">
        <v>99361</v>
      </c>
      <c r="H47" s="7">
        <v>1051</v>
      </c>
      <c r="I47" s="17">
        <f t="shared" si="29"/>
        <v>19.462962962962962</v>
      </c>
      <c r="J47" s="7">
        <v>437</v>
      </c>
      <c r="K47" s="7">
        <v>727</v>
      </c>
      <c r="L47" s="17">
        <f t="shared" si="30"/>
        <v>8.0925925925925934</v>
      </c>
      <c r="M47" s="17">
        <f t="shared" si="31"/>
        <v>13.462962962962964</v>
      </c>
      <c r="N47" s="33">
        <f t="shared" si="32"/>
        <v>0.60110041265474556</v>
      </c>
      <c r="O47" s="5">
        <v>414</v>
      </c>
      <c r="P47" s="7">
        <v>667</v>
      </c>
      <c r="Q47" s="17">
        <f t="shared" si="33"/>
        <v>7.666666666666667</v>
      </c>
      <c r="R47" s="17">
        <f t="shared" si="34"/>
        <v>12.351851851851851</v>
      </c>
      <c r="S47" s="33">
        <f t="shared" si="35"/>
        <v>0.62068965517241381</v>
      </c>
      <c r="T47" s="7">
        <v>23</v>
      </c>
      <c r="U47" s="7">
        <v>60</v>
      </c>
      <c r="V47" s="17">
        <f t="shared" si="36"/>
        <v>0.42592592592592593</v>
      </c>
      <c r="W47" s="17">
        <f t="shared" si="37"/>
        <v>1.1111111111111112</v>
      </c>
      <c r="X47" s="33">
        <f t="shared" si="38"/>
        <v>0.38333333333333336</v>
      </c>
      <c r="Y47" s="5">
        <v>154</v>
      </c>
      <c r="Z47" s="5">
        <v>239</v>
      </c>
      <c r="AA47" s="17">
        <f t="shared" si="39"/>
        <v>2.8518518518518516</v>
      </c>
      <c r="AB47" s="17">
        <f t="shared" si="40"/>
        <v>4.4259259259259256</v>
      </c>
      <c r="AC47" s="33">
        <f t="shared" si="41"/>
        <v>0.64435146443514646</v>
      </c>
      <c r="AD47" s="12">
        <v>674</v>
      </c>
      <c r="AE47" s="17">
        <f t="shared" si="42"/>
        <v>12.481481481481481</v>
      </c>
      <c r="AF47" s="12">
        <v>293</v>
      </c>
      <c r="AG47" s="17">
        <f t="shared" si="43"/>
        <v>5.4259259259259256</v>
      </c>
      <c r="AH47" s="7">
        <v>381</v>
      </c>
      <c r="AI47" s="17">
        <f t="shared" si="44"/>
        <v>7.0555555555555554</v>
      </c>
      <c r="AJ47" s="7">
        <v>136</v>
      </c>
      <c r="AK47" s="17">
        <f t="shared" si="45"/>
        <v>2.5185185185185186</v>
      </c>
      <c r="AL47" s="7">
        <v>44</v>
      </c>
      <c r="AM47" s="17">
        <f t="shared" si="46"/>
        <v>0.81481481481481477</v>
      </c>
      <c r="AN47" s="7">
        <v>39</v>
      </c>
      <c r="AO47" s="17">
        <f t="shared" si="47"/>
        <v>0.72222222222222221</v>
      </c>
      <c r="AP47" s="7">
        <v>135</v>
      </c>
      <c r="AQ47" s="17">
        <f t="shared" si="48"/>
        <v>2.5</v>
      </c>
      <c r="AR47" s="7">
        <v>119</v>
      </c>
      <c r="AS47" s="17">
        <f t="shared" si="49"/>
        <v>2.2037037037037037</v>
      </c>
      <c r="AT47" s="13">
        <v>8.7234015882208595</v>
      </c>
      <c r="AU47" s="13">
        <v>0.21071018329035893</v>
      </c>
      <c r="AV47" s="13">
        <v>7.9117070093128659</v>
      </c>
      <c r="AW47" s="13">
        <v>0.8116945789079929</v>
      </c>
      <c r="AX47" s="13">
        <v>122.05137117418549</v>
      </c>
      <c r="AY47" s="13">
        <v>110.49344589843153</v>
      </c>
      <c r="AZ47" s="13">
        <v>26.750646337795953</v>
      </c>
      <c r="BA47" s="13">
        <v>26.555555555555557</v>
      </c>
      <c r="BB47" s="13">
        <v>34.637681159420289</v>
      </c>
      <c r="BC47" s="14">
        <v>0.63148913670447993</v>
      </c>
      <c r="BD47" s="14">
        <v>0.61691884456671253</v>
      </c>
      <c r="BE47" s="13">
        <v>28.172859721786359</v>
      </c>
      <c r="BF47" s="14">
        <v>8.2530949105914714E-2</v>
      </c>
      <c r="BG47" s="14">
        <v>0.32874828060522698</v>
      </c>
      <c r="BH47" s="13">
        <v>20.30679665480756</v>
      </c>
      <c r="BI47" s="13">
        <v>26.405766298572285</v>
      </c>
      <c r="BJ47" s="13">
        <v>21.820065395448218</v>
      </c>
      <c r="BK47" s="13">
        <v>17.563495479982777</v>
      </c>
      <c r="BL47" s="13">
        <v>1.4971499280661715</v>
      </c>
      <c r="BM47" s="13">
        <v>2.6127152140416694</v>
      </c>
      <c r="BN47" s="13">
        <v>13.958393647379959</v>
      </c>
      <c r="BO47" s="15" t="s">
        <v>189</v>
      </c>
      <c r="BP47" s="15">
        <v>340000</v>
      </c>
      <c r="BQ47" s="12" t="s">
        <v>272</v>
      </c>
      <c r="BR47" s="26">
        <v>2018.7</v>
      </c>
      <c r="BS47" s="27">
        <v>2575.5</v>
      </c>
      <c r="BT47" s="27">
        <v>556.79999999999995</v>
      </c>
      <c r="BU47" s="26">
        <f t="shared" si="24"/>
        <v>37.383333333333333</v>
      </c>
      <c r="BV47" s="26">
        <f t="shared" si="25"/>
        <v>47.694444444444443</v>
      </c>
      <c r="BW47" s="26">
        <f t="shared" si="25"/>
        <v>10.31111111111111</v>
      </c>
      <c r="BX47" s="31">
        <f t="shared" si="26"/>
        <v>48.760378820664044</v>
      </c>
      <c r="BY47" s="31">
        <f t="shared" si="27"/>
        <v>62.209518825293628</v>
      </c>
      <c r="BZ47" s="31">
        <f t="shared" si="28"/>
        <v>13.449140004629584</v>
      </c>
      <c r="CA47" s="34">
        <v>28</v>
      </c>
      <c r="CB47" s="34">
        <v>26</v>
      </c>
    </row>
    <row r="48" spans="1:80" x14ac:dyDescent="0.4">
      <c r="A48" s="12" t="s">
        <v>191</v>
      </c>
      <c r="B48" s="12" t="s">
        <v>180</v>
      </c>
      <c r="C48" s="4" t="s">
        <v>80</v>
      </c>
      <c r="D48" s="5">
        <v>2</v>
      </c>
      <c r="E48" s="22">
        <v>3</v>
      </c>
      <c r="F48" s="22">
        <v>4</v>
      </c>
      <c r="G48" s="10">
        <v>367</v>
      </c>
      <c r="H48" s="5">
        <v>2</v>
      </c>
      <c r="I48" s="17">
        <f t="shared" si="29"/>
        <v>1</v>
      </c>
      <c r="J48" s="7">
        <v>1</v>
      </c>
      <c r="K48" s="7">
        <v>1</v>
      </c>
      <c r="L48" s="17">
        <f t="shared" si="30"/>
        <v>0.5</v>
      </c>
      <c r="M48" s="17">
        <f t="shared" si="31"/>
        <v>0.5</v>
      </c>
      <c r="N48" s="33">
        <f t="shared" si="32"/>
        <v>1</v>
      </c>
      <c r="O48" s="12">
        <v>1</v>
      </c>
      <c r="P48" s="12">
        <v>1</v>
      </c>
      <c r="Q48" s="17">
        <f t="shared" si="33"/>
        <v>0.5</v>
      </c>
      <c r="R48" s="17">
        <f t="shared" si="34"/>
        <v>0.5</v>
      </c>
      <c r="S48" s="33">
        <f t="shared" si="35"/>
        <v>1</v>
      </c>
      <c r="T48" s="12">
        <v>0</v>
      </c>
      <c r="U48" s="12">
        <v>0</v>
      </c>
      <c r="V48" s="17">
        <f t="shared" si="36"/>
        <v>0</v>
      </c>
      <c r="W48" s="17">
        <f t="shared" si="37"/>
        <v>0</v>
      </c>
      <c r="X48" s="33" t="e">
        <f t="shared" si="38"/>
        <v>#DIV/0!</v>
      </c>
      <c r="Y48" s="12">
        <v>0</v>
      </c>
      <c r="Z48" s="12">
        <v>0</v>
      </c>
      <c r="AA48" s="17">
        <f t="shared" si="39"/>
        <v>0</v>
      </c>
      <c r="AB48" s="17">
        <f t="shared" si="40"/>
        <v>0</v>
      </c>
      <c r="AC48" s="33" t="e">
        <f t="shared" si="41"/>
        <v>#DIV/0!</v>
      </c>
      <c r="AD48" s="12">
        <v>1</v>
      </c>
      <c r="AE48" s="17">
        <f t="shared" si="42"/>
        <v>0.5</v>
      </c>
      <c r="AF48" s="12">
        <v>0</v>
      </c>
      <c r="AG48" s="17">
        <f t="shared" si="43"/>
        <v>0</v>
      </c>
      <c r="AH48" s="12">
        <v>1</v>
      </c>
      <c r="AI48" s="17">
        <f t="shared" si="44"/>
        <v>0.5</v>
      </c>
      <c r="AJ48" s="12">
        <v>0</v>
      </c>
      <c r="AK48" s="17">
        <f t="shared" si="45"/>
        <v>0</v>
      </c>
      <c r="AL48" s="12">
        <v>0</v>
      </c>
      <c r="AM48" s="17">
        <f t="shared" si="46"/>
        <v>0</v>
      </c>
      <c r="AN48" s="12">
        <v>0</v>
      </c>
      <c r="AO48" s="17">
        <f t="shared" si="47"/>
        <v>0</v>
      </c>
      <c r="AP48" s="12">
        <v>0</v>
      </c>
      <c r="AQ48" s="17">
        <f t="shared" si="48"/>
        <v>0</v>
      </c>
      <c r="AR48" s="12">
        <v>0</v>
      </c>
      <c r="AS48" s="17">
        <f t="shared" si="49"/>
        <v>0</v>
      </c>
      <c r="AT48" s="13">
        <v>1.7914278957183345E-2</v>
      </c>
      <c r="AU48" s="13">
        <v>0.11683225406858704</v>
      </c>
      <c r="AV48" s="13">
        <v>2.13726165324521E-2</v>
      </c>
      <c r="AW48" s="13">
        <v>-3.4583375752687564E-3</v>
      </c>
      <c r="AX48" s="13">
        <v>200</v>
      </c>
      <c r="AY48" s="13">
        <v>118.17582379174836</v>
      </c>
      <c r="AZ48" s="13">
        <v>0.60092046490879947</v>
      </c>
      <c r="BA48" s="13">
        <v>1.5</v>
      </c>
      <c r="BB48" s="13">
        <v>19.565217391304344</v>
      </c>
      <c r="BC48" s="14">
        <v>1</v>
      </c>
      <c r="BD48" s="14">
        <v>1</v>
      </c>
      <c r="BE48" s="13">
        <v>0.29129471568082171</v>
      </c>
      <c r="BF48" s="14">
        <v>0</v>
      </c>
      <c r="BG48" s="14">
        <v>0</v>
      </c>
      <c r="BH48" s="13">
        <v>0</v>
      </c>
      <c r="BI48" s="13">
        <v>0.69306473224599174</v>
      </c>
      <c r="BJ48" s="13">
        <v>0.32373984266243644</v>
      </c>
      <c r="BK48" s="13">
        <v>0</v>
      </c>
      <c r="BL48" s="13">
        <v>0</v>
      </c>
      <c r="BM48" s="13">
        <v>0</v>
      </c>
      <c r="BN48" s="13">
        <v>0</v>
      </c>
      <c r="BO48" s="15" t="s">
        <v>187</v>
      </c>
      <c r="BP48" s="15">
        <v>290000</v>
      </c>
      <c r="BQ48" s="12" t="s">
        <v>273</v>
      </c>
      <c r="BR48" s="26">
        <v>4.53</v>
      </c>
      <c r="BS48" s="27">
        <v>4.53</v>
      </c>
      <c r="BT48" s="27">
        <v>0</v>
      </c>
      <c r="BU48" s="26">
        <f t="shared" si="24"/>
        <v>2.2650000000000001</v>
      </c>
      <c r="BV48" s="26">
        <f t="shared" si="25"/>
        <v>2.2650000000000001</v>
      </c>
      <c r="BW48" s="26">
        <f t="shared" si="25"/>
        <v>0</v>
      </c>
      <c r="BX48" s="31">
        <f t="shared" si="26"/>
        <v>29.623978201634877</v>
      </c>
      <c r="BY48" s="31">
        <f t="shared" si="27"/>
        <v>29.623978201634877</v>
      </c>
      <c r="BZ48" s="31">
        <f t="shared" si="28"/>
        <v>0</v>
      </c>
      <c r="CA48" s="35">
        <v>1</v>
      </c>
      <c r="CB48" s="35">
        <v>1</v>
      </c>
    </row>
    <row r="49" spans="1:80" x14ac:dyDescent="0.4">
      <c r="A49" s="12" t="s">
        <v>191</v>
      </c>
      <c r="B49" s="12" t="s">
        <v>180</v>
      </c>
      <c r="C49" s="4" t="s">
        <v>214</v>
      </c>
      <c r="D49" s="5">
        <v>42</v>
      </c>
      <c r="E49" s="22">
        <v>13</v>
      </c>
      <c r="F49" s="22">
        <v>0</v>
      </c>
      <c r="G49" s="10">
        <v>32763</v>
      </c>
      <c r="H49" s="5">
        <v>217</v>
      </c>
      <c r="I49" s="17">
        <f t="shared" si="29"/>
        <v>5.166666666666667</v>
      </c>
      <c r="J49" s="7">
        <v>87</v>
      </c>
      <c r="K49" s="7">
        <v>189</v>
      </c>
      <c r="L49" s="17">
        <f t="shared" si="30"/>
        <v>2.0714285714285716</v>
      </c>
      <c r="M49" s="17">
        <f t="shared" si="31"/>
        <v>4.5</v>
      </c>
      <c r="N49" s="33">
        <f t="shared" si="32"/>
        <v>0.46031746031746029</v>
      </c>
      <c r="O49" s="12">
        <v>78</v>
      </c>
      <c r="P49" s="12">
        <v>148</v>
      </c>
      <c r="Q49" s="17">
        <f t="shared" si="33"/>
        <v>1.8571428571428572</v>
      </c>
      <c r="R49" s="17">
        <f t="shared" si="34"/>
        <v>3.5238095238095237</v>
      </c>
      <c r="S49" s="33">
        <f t="shared" si="35"/>
        <v>0.52702702702702697</v>
      </c>
      <c r="T49" s="12">
        <v>9</v>
      </c>
      <c r="U49" s="12">
        <v>41</v>
      </c>
      <c r="V49" s="17">
        <f t="shared" si="36"/>
        <v>0.21428571428571427</v>
      </c>
      <c r="W49" s="17">
        <f t="shared" si="37"/>
        <v>0.97619047619047616</v>
      </c>
      <c r="X49" s="33">
        <f t="shared" si="38"/>
        <v>0.21951219512195122</v>
      </c>
      <c r="Y49" s="12">
        <v>34</v>
      </c>
      <c r="Z49" s="12">
        <v>51</v>
      </c>
      <c r="AA49" s="17">
        <f t="shared" si="39"/>
        <v>0.80952380952380953</v>
      </c>
      <c r="AB49" s="17">
        <f t="shared" si="40"/>
        <v>1.2142857142857142</v>
      </c>
      <c r="AC49" s="33">
        <f t="shared" si="41"/>
        <v>0.66666666666666663</v>
      </c>
      <c r="AD49" s="12">
        <v>104</v>
      </c>
      <c r="AE49" s="17">
        <f t="shared" si="42"/>
        <v>2.4761904761904763</v>
      </c>
      <c r="AF49" s="12">
        <v>29</v>
      </c>
      <c r="AG49" s="17">
        <f t="shared" si="43"/>
        <v>0.69047619047619047</v>
      </c>
      <c r="AH49" s="12">
        <v>75</v>
      </c>
      <c r="AI49" s="17">
        <f t="shared" si="44"/>
        <v>1.7857142857142858</v>
      </c>
      <c r="AJ49" s="12">
        <v>45</v>
      </c>
      <c r="AK49" s="17">
        <f t="shared" si="45"/>
        <v>1.0714285714285714</v>
      </c>
      <c r="AL49" s="12">
        <v>17</v>
      </c>
      <c r="AM49" s="17">
        <f t="shared" si="46"/>
        <v>0.40476190476190477</v>
      </c>
      <c r="AN49" s="12">
        <v>17</v>
      </c>
      <c r="AO49" s="17">
        <f t="shared" si="47"/>
        <v>0.40476190476190477</v>
      </c>
      <c r="AP49" s="12">
        <v>34</v>
      </c>
      <c r="AQ49" s="17">
        <f t="shared" si="48"/>
        <v>0.80952380952380953</v>
      </c>
      <c r="AR49" s="12">
        <v>59</v>
      </c>
      <c r="AS49" s="17">
        <f t="shared" si="49"/>
        <v>1.4047619047619047</v>
      </c>
      <c r="AT49" s="13">
        <v>0.49285925301902955</v>
      </c>
      <c r="AU49" s="13">
        <v>3.6106904983079093E-2</v>
      </c>
      <c r="AV49" s="13">
        <v>0.45390191848464112</v>
      </c>
      <c r="AW49" s="13">
        <v>3.8957334534388426E-2</v>
      </c>
      <c r="AX49" s="13">
        <v>103.02035962042244</v>
      </c>
      <c r="AY49" s="13">
        <v>113.54597453395827</v>
      </c>
      <c r="AZ49" s="13">
        <v>9.0575287819451624</v>
      </c>
      <c r="BA49" s="13">
        <v>5.8809523809523814</v>
      </c>
      <c r="BB49" s="13">
        <v>18.095238095238095</v>
      </c>
      <c r="BC49" s="14">
        <v>0.51314793794930003</v>
      </c>
      <c r="BD49" s="14">
        <v>0.48412698412698413</v>
      </c>
      <c r="BE49" s="13">
        <v>16.86557564496534</v>
      </c>
      <c r="BF49" s="14">
        <v>0.21693121693121692</v>
      </c>
      <c r="BG49" s="14">
        <v>0.26984126984126983</v>
      </c>
      <c r="BH49" s="13">
        <v>4.7412736041854</v>
      </c>
      <c r="BI49" s="13">
        <v>12.261914493582932</v>
      </c>
      <c r="BJ49" s="13">
        <v>7.9424174733184412</v>
      </c>
      <c r="BK49" s="13">
        <v>10.550996483001173</v>
      </c>
      <c r="BL49" s="13">
        <v>1.7544024631584605</v>
      </c>
      <c r="BM49" s="13">
        <v>2.6865789577653985</v>
      </c>
      <c r="BN49" s="13">
        <v>13.852672750977836</v>
      </c>
      <c r="BO49" s="15" t="s">
        <v>188</v>
      </c>
      <c r="BP49" s="15">
        <v>600000</v>
      </c>
      <c r="BQ49" s="12" t="s">
        <v>273</v>
      </c>
      <c r="BR49" s="26">
        <v>411.61</v>
      </c>
      <c r="BS49" s="27">
        <v>575.01</v>
      </c>
      <c r="BT49" s="27">
        <v>163.4</v>
      </c>
      <c r="BU49" s="26">
        <f t="shared" si="24"/>
        <v>9.800238095238095</v>
      </c>
      <c r="BV49" s="26">
        <f t="shared" si="25"/>
        <v>13.690714285714286</v>
      </c>
      <c r="BW49" s="26">
        <f t="shared" si="25"/>
        <v>3.8904761904761904</v>
      </c>
      <c r="BX49" s="31">
        <f t="shared" si="26"/>
        <v>30.15181759912096</v>
      </c>
      <c r="BY49" s="31">
        <f t="shared" si="27"/>
        <v>42.121417452614232</v>
      </c>
      <c r="BZ49" s="31">
        <f t="shared" si="28"/>
        <v>11.969599853493269</v>
      </c>
      <c r="CA49" s="35">
        <v>21</v>
      </c>
      <c r="CB49" s="35">
        <v>21</v>
      </c>
    </row>
    <row r="50" spans="1:80" x14ac:dyDescent="0.4">
      <c r="A50" s="12" t="s">
        <v>191</v>
      </c>
      <c r="B50" s="12" t="s">
        <v>180</v>
      </c>
      <c r="C50" s="4" t="s">
        <v>210</v>
      </c>
      <c r="D50" s="5">
        <v>38</v>
      </c>
      <c r="E50" s="22">
        <v>23</v>
      </c>
      <c r="F50" s="22">
        <v>6</v>
      </c>
      <c r="G50" s="10">
        <v>52671</v>
      </c>
      <c r="H50" s="5">
        <v>240</v>
      </c>
      <c r="I50" s="17">
        <f t="shared" si="29"/>
        <v>6.3157894736842106</v>
      </c>
      <c r="J50" s="7">
        <v>79</v>
      </c>
      <c r="K50" s="7">
        <v>179</v>
      </c>
      <c r="L50" s="17">
        <f t="shared" si="30"/>
        <v>2.0789473684210527</v>
      </c>
      <c r="M50" s="17">
        <f t="shared" si="31"/>
        <v>4.7105263157894735</v>
      </c>
      <c r="N50" s="33">
        <f t="shared" si="32"/>
        <v>0.44134078212290501</v>
      </c>
      <c r="O50" s="12">
        <v>36</v>
      </c>
      <c r="P50" s="12">
        <v>59</v>
      </c>
      <c r="Q50" s="17">
        <f t="shared" si="33"/>
        <v>0.94736842105263153</v>
      </c>
      <c r="R50" s="17">
        <f t="shared" si="34"/>
        <v>1.5526315789473684</v>
      </c>
      <c r="S50" s="33">
        <f t="shared" si="35"/>
        <v>0.61016949152542377</v>
      </c>
      <c r="T50" s="12">
        <v>43</v>
      </c>
      <c r="U50" s="12">
        <v>120</v>
      </c>
      <c r="V50" s="17">
        <f t="shared" si="36"/>
        <v>1.131578947368421</v>
      </c>
      <c r="W50" s="17">
        <f t="shared" si="37"/>
        <v>3.1578947368421053</v>
      </c>
      <c r="X50" s="33">
        <f t="shared" si="38"/>
        <v>0.35833333333333334</v>
      </c>
      <c r="Y50" s="12">
        <v>39</v>
      </c>
      <c r="Z50" s="12">
        <v>52</v>
      </c>
      <c r="AA50" s="17">
        <f t="shared" si="39"/>
        <v>1.0263157894736843</v>
      </c>
      <c r="AB50" s="17">
        <f t="shared" si="40"/>
        <v>1.368421052631579</v>
      </c>
      <c r="AC50" s="33">
        <f t="shared" si="41"/>
        <v>0.75</v>
      </c>
      <c r="AD50" s="12">
        <v>75</v>
      </c>
      <c r="AE50" s="17">
        <f t="shared" si="42"/>
        <v>1.9736842105263157</v>
      </c>
      <c r="AF50" s="12">
        <v>16</v>
      </c>
      <c r="AG50" s="17">
        <f t="shared" si="43"/>
        <v>0.42105263157894735</v>
      </c>
      <c r="AH50" s="12">
        <v>59</v>
      </c>
      <c r="AI50" s="17">
        <f t="shared" si="44"/>
        <v>1.5526315789473684</v>
      </c>
      <c r="AJ50" s="12">
        <v>32</v>
      </c>
      <c r="AK50" s="17">
        <f t="shared" si="45"/>
        <v>0.84210526315789469</v>
      </c>
      <c r="AL50" s="12">
        <v>15</v>
      </c>
      <c r="AM50" s="17">
        <f t="shared" si="46"/>
        <v>0.39473684210526316</v>
      </c>
      <c r="AN50" s="12">
        <v>5</v>
      </c>
      <c r="AO50" s="17">
        <f t="shared" si="47"/>
        <v>0.13157894736842105</v>
      </c>
      <c r="AP50" s="12">
        <v>23</v>
      </c>
      <c r="AQ50" s="17">
        <f t="shared" si="48"/>
        <v>0.60526315789473684</v>
      </c>
      <c r="AR50" s="12">
        <v>113</v>
      </c>
      <c r="AS50" s="17">
        <f t="shared" si="49"/>
        <v>2.9736842105263159</v>
      </c>
      <c r="AT50" s="13">
        <v>0.70022408942135661</v>
      </c>
      <c r="AU50" s="13">
        <v>3.1908138046085971E-2</v>
      </c>
      <c r="AV50" s="13">
        <v>1.3761890951344584</v>
      </c>
      <c r="AW50" s="13">
        <v>-0.67596500571310181</v>
      </c>
      <c r="AX50" s="13">
        <v>117.57713851444605</v>
      </c>
      <c r="AY50" s="13">
        <v>119.67880935023155</v>
      </c>
      <c r="AZ50" s="13">
        <v>4.0390749945913909</v>
      </c>
      <c r="BA50" s="13">
        <v>6.0789473684210522</v>
      </c>
      <c r="BB50" s="13">
        <v>10.526315789473685</v>
      </c>
      <c r="BC50" s="14">
        <v>0.59441252229046959</v>
      </c>
      <c r="BD50" s="14">
        <v>0.56145251396648044</v>
      </c>
      <c r="BE50" s="13">
        <v>8.6963704486751716</v>
      </c>
      <c r="BF50" s="14">
        <v>0.67039106145251393</v>
      </c>
      <c r="BG50" s="14">
        <v>0.29050279329608941</v>
      </c>
      <c r="BH50" s="13">
        <v>1.4721374976422796</v>
      </c>
      <c r="BI50" s="13">
        <v>5.4285070225559071</v>
      </c>
      <c r="BJ50" s="13">
        <v>3.223383714820796</v>
      </c>
      <c r="BK50" s="13">
        <v>3.8394624752534643</v>
      </c>
      <c r="BL50" s="13">
        <v>0.96287216525724695</v>
      </c>
      <c r="BM50" s="13">
        <v>0.44468457411446616</v>
      </c>
      <c r="BN50" s="13">
        <v>10.227676983279972</v>
      </c>
      <c r="BO50" s="15" t="s">
        <v>187</v>
      </c>
      <c r="BP50" s="15">
        <v>62000</v>
      </c>
      <c r="BQ50" s="12" t="s">
        <v>273</v>
      </c>
      <c r="BR50" s="26">
        <v>480.76</v>
      </c>
      <c r="BS50" s="27">
        <v>617.96</v>
      </c>
      <c r="BT50" s="27">
        <v>137.19999999999999</v>
      </c>
      <c r="BU50" s="26">
        <f t="shared" si="24"/>
        <v>12.651578947368423</v>
      </c>
      <c r="BV50" s="26">
        <f t="shared" si="25"/>
        <v>16.262105263157896</v>
      </c>
      <c r="BW50" s="26">
        <f t="shared" si="25"/>
        <v>3.6105263157894734</v>
      </c>
      <c r="BX50" s="31">
        <f t="shared" si="26"/>
        <v>21.906248220083157</v>
      </c>
      <c r="BY50" s="31">
        <f t="shared" si="27"/>
        <v>28.15788574357806</v>
      </c>
      <c r="BZ50" s="31">
        <f t="shared" si="28"/>
        <v>6.2516375234949022</v>
      </c>
      <c r="CA50" s="35">
        <v>19</v>
      </c>
      <c r="CB50" s="35">
        <v>19</v>
      </c>
    </row>
    <row r="51" spans="1:80" x14ac:dyDescent="0.4">
      <c r="A51" s="12" t="s">
        <v>191</v>
      </c>
      <c r="B51" s="12" t="s">
        <v>180</v>
      </c>
      <c r="C51" s="4" t="s">
        <v>83</v>
      </c>
      <c r="D51" s="5">
        <v>14</v>
      </c>
      <c r="E51" s="22">
        <v>6</v>
      </c>
      <c r="F51" s="22">
        <v>11</v>
      </c>
      <c r="G51" s="10">
        <v>5190</v>
      </c>
      <c r="H51" s="5">
        <v>37</v>
      </c>
      <c r="I51" s="17">
        <f t="shared" si="29"/>
        <v>2.6428571428571428</v>
      </c>
      <c r="J51" s="7">
        <v>12</v>
      </c>
      <c r="K51" s="7">
        <v>23</v>
      </c>
      <c r="L51" s="17">
        <f t="shared" si="30"/>
        <v>0.8571428571428571</v>
      </c>
      <c r="M51" s="17">
        <f t="shared" si="31"/>
        <v>1.6428571428571428</v>
      </c>
      <c r="N51" s="33">
        <f t="shared" si="32"/>
        <v>0.52173913043478259</v>
      </c>
      <c r="O51" s="12">
        <v>8</v>
      </c>
      <c r="P51" s="12">
        <v>12</v>
      </c>
      <c r="Q51" s="17">
        <f t="shared" si="33"/>
        <v>0.5714285714285714</v>
      </c>
      <c r="R51" s="17">
        <f t="shared" si="34"/>
        <v>0.8571428571428571</v>
      </c>
      <c r="S51" s="33">
        <f t="shared" si="35"/>
        <v>0.66666666666666663</v>
      </c>
      <c r="T51" s="12">
        <v>4</v>
      </c>
      <c r="U51" s="12">
        <v>11</v>
      </c>
      <c r="V51" s="17">
        <f t="shared" si="36"/>
        <v>0.2857142857142857</v>
      </c>
      <c r="W51" s="17">
        <f t="shared" si="37"/>
        <v>0.7857142857142857</v>
      </c>
      <c r="X51" s="33">
        <f t="shared" si="38"/>
        <v>0.36363636363636365</v>
      </c>
      <c r="Y51" s="12">
        <v>9</v>
      </c>
      <c r="Z51" s="12">
        <v>10</v>
      </c>
      <c r="AA51" s="17">
        <f t="shared" si="39"/>
        <v>0.6428571428571429</v>
      </c>
      <c r="AB51" s="17">
        <f t="shared" si="40"/>
        <v>0.7142857142857143</v>
      </c>
      <c r="AC51" s="33">
        <f t="shared" si="41"/>
        <v>0.9</v>
      </c>
      <c r="AD51" s="12">
        <v>8</v>
      </c>
      <c r="AE51" s="17">
        <f t="shared" si="42"/>
        <v>0.5714285714285714</v>
      </c>
      <c r="AF51" s="12">
        <v>3</v>
      </c>
      <c r="AG51" s="17">
        <f t="shared" si="43"/>
        <v>0.21428571428571427</v>
      </c>
      <c r="AH51" s="12">
        <v>5</v>
      </c>
      <c r="AI51" s="17">
        <f t="shared" si="44"/>
        <v>0.35714285714285715</v>
      </c>
      <c r="AJ51" s="12">
        <v>6</v>
      </c>
      <c r="AK51" s="17">
        <f t="shared" si="45"/>
        <v>0.42857142857142855</v>
      </c>
      <c r="AL51" s="12">
        <v>3</v>
      </c>
      <c r="AM51" s="17">
        <f t="shared" si="46"/>
        <v>0.21428571428571427</v>
      </c>
      <c r="AN51" s="12">
        <v>0</v>
      </c>
      <c r="AO51" s="17">
        <f t="shared" si="47"/>
        <v>0</v>
      </c>
      <c r="AP51" s="12">
        <v>6</v>
      </c>
      <c r="AQ51" s="17">
        <f t="shared" si="48"/>
        <v>0.42857142857142855</v>
      </c>
      <c r="AR51" s="12">
        <v>8</v>
      </c>
      <c r="AS51" s="17">
        <f t="shared" si="49"/>
        <v>0.5714285714285714</v>
      </c>
      <c r="AT51" s="13">
        <v>0.1913196590461087</v>
      </c>
      <c r="AU51" s="13">
        <v>8.8403385003977833E-2</v>
      </c>
      <c r="AV51" s="13">
        <v>0.24180167005765027</v>
      </c>
      <c r="AW51" s="13">
        <v>-5.0482011011541573E-2</v>
      </c>
      <c r="AX51" s="13">
        <v>120.13710206670775</v>
      </c>
      <c r="AY51" s="13">
        <v>118.31648265820256</v>
      </c>
      <c r="AZ51" s="13">
        <v>3.183251552323759</v>
      </c>
      <c r="BA51" s="13">
        <v>2.5714285714285716</v>
      </c>
      <c r="BB51" s="13">
        <v>16.634578359645747</v>
      </c>
      <c r="BC51" s="14">
        <v>0.67518248175182483</v>
      </c>
      <c r="BD51" s="14">
        <v>0.60869565217391308</v>
      </c>
      <c r="BE51" s="13">
        <v>4.825285187838432</v>
      </c>
      <c r="BF51" s="14">
        <v>0.47826086956521741</v>
      </c>
      <c r="BG51" s="14">
        <v>0.43478260869565216</v>
      </c>
      <c r="BH51" s="13">
        <v>1.0311906528296158</v>
      </c>
      <c r="BI51" s="13">
        <v>1.7186510880493597</v>
      </c>
      <c r="BJ51" s="13">
        <v>1.2844880010757587</v>
      </c>
      <c r="BK51" s="13">
        <v>2.5835157343284654</v>
      </c>
      <c r="BL51" s="13">
        <v>1.9527358952548584</v>
      </c>
      <c r="BM51" s="13">
        <v>0</v>
      </c>
      <c r="BN51" s="13">
        <v>17.964071856287426</v>
      </c>
      <c r="BO51" s="15" t="s">
        <v>187</v>
      </c>
      <c r="BP51" s="15">
        <v>550000</v>
      </c>
      <c r="BQ51" s="12" t="s">
        <v>271</v>
      </c>
      <c r="BR51" s="26">
        <v>60.03</v>
      </c>
      <c r="BS51" s="27">
        <v>80.13</v>
      </c>
      <c r="BT51" s="27">
        <v>20.100000000000001</v>
      </c>
      <c r="BU51" s="26">
        <f t="shared" si="24"/>
        <v>4.2878571428571419</v>
      </c>
      <c r="BV51" s="26">
        <f t="shared" si="25"/>
        <v>5.7235714285714279</v>
      </c>
      <c r="BW51" s="26">
        <f t="shared" si="25"/>
        <v>1.4357142857142857</v>
      </c>
      <c r="BX51" s="31">
        <f t="shared" si="26"/>
        <v>27.759537572254338</v>
      </c>
      <c r="BY51" s="31">
        <f t="shared" si="27"/>
        <v>37.054335260115607</v>
      </c>
      <c r="BZ51" s="31">
        <f t="shared" si="28"/>
        <v>9.294797687861271</v>
      </c>
      <c r="CA51" s="35">
        <v>6</v>
      </c>
      <c r="CB51" s="35">
        <v>8</v>
      </c>
    </row>
    <row r="52" spans="1:80" x14ac:dyDescent="0.4">
      <c r="A52" s="12" t="s">
        <v>191</v>
      </c>
      <c r="B52" s="12" t="s">
        <v>180</v>
      </c>
      <c r="C52" s="4" t="s">
        <v>254</v>
      </c>
      <c r="D52" s="5">
        <v>2</v>
      </c>
      <c r="E52" s="22">
        <v>1</v>
      </c>
      <c r="F52" s="22">
        <v>35</v>
      </c>
      <c r="G52" s="10">
        <v>189</v>
      </c>
      <c r="H52" s="5">
        <v>0</v>
      </c>
      <c r="I52" s="17">
        <f t="shared" si="29"/>
        <v>0</v>
      </c>
      <c r="J52" s="7">
        <v>0</v>
      </c>
      <c r="K52" s="7">
        <v>0</v>
      </c>
      <c r="L52" s="17">
        <f t="shared" si="30"/>
        <v>0</v>
      </c>
      <c r="M52" s="17">
        <f t="shared" si="31"/>
        <v>0</v>
      </c>
      <c r="N52" s="33" t="e">
        <f t="shared" si="32"/>
        <v>#DIV/0!</v>
      </c>
      <c r="O52" s="12">
        <v>0</v>
      </c>
      <c r="P52" s="12">
        <v>0</v>
      </c>
      <c r="Q52" s="17">
        <f t="shared" si="33"/>
        <v>0</v>
      </c>
      <c r="R52" s="17">
        <f t="shared" si="34"/>
        <v>0</v>
      </c>
      <c r="S52" s="33" t="e">
        <f t="shared" si="35"/>
        <v>#DIV/0!</v>
      </c>
      <c r="T52" s="12">
        <v>0</v>
      </c>
      <c r="U52" s="12">
        <v>0</v>
      </c>
      <c r="V52" s="17">
        <f t="shared" si="36"/>
        <v>0</v>
      </c>
      <c r="W52" s="17">
        <f t="shared" si="37"/>
        <v>0</v>
      </c>
      <c r="X52" s="33" t="e">
        <f t="shared" si="38"/>
        <v>#DIV/0!</v>
      </c>
      <c r="Y52" s="12">
        <v>0</v>
      </c>
      <c r="Z52" s="12">
        <v>0</v>
      </c>
      <c r="AA52" s="17">
        <f t="shared" si="39"/>
        <v>0</v>
      </c>
      <c r="AB52" s="17">
        <f t="shared" si="40"/>
        <v>0</v>
      </c>
      <c r="AC52" s="33" t="e">
        <f t="shared" si="41"/>
        <v>#DIV/0!</v>
      </c>
      <c r="AD52" s="12">
        <v>2</v>
      </c>
      <c r="AE52" s="17">
        <f t="shared" si="42"/>
        <v>1</v>
      </c>
      <c r="AF52" s="12">
        <v>0</v>
      </c>
      <c r="AG52" s="17">
        <f t="shared" si="43"/>
        <v>0</v>
      </c>
      <c r="AH52" s="12">
        <v>2</v>
      </c>
      <c r="AI52" s="17">
        <f t="shared" si="44"/>
        <v>1</v>
      </c>
      <c r="AJ52" s="12">
        <v>0</v>
      </c>
      <c r="AK52" s="17">
        <f t="shared" si="45"/>
        <v>0</v>
      </c>
      <c r="AL52" s="12">
        <v>0</v>
      </c>
      <c r="AM52" s="17">
        <f t="shared" si="46"/>
        <v>0</v>
      </c>
      <c r="AN52" s="12">
        <v>0</v>
      </c>
      <c r="AO52" s="17">
        <f t="shared" si="47"/>
        <v>0</v>
      </c>
      <c r="AP52" s="12">
        <v>2</v>
      </c>
      <c r="AQ52" s="17">
        <f t="shared" si="48"/>
        <v>1</v>
      </c>
      <c r="AR52" s="12">
        <v>1</v>
      </c>
      <c r="AS52" s="17">
        <f t="shared" si="49"/>
        <v>0.5</v>
      </c>
      <c r="AT52" s="13">
        <v>-6.5018620200002E-2</v>
      </c>
      <c r="AU52" s="13">
        <v>-0.82128783410528849</v>
      </c>
      <c r="AV52" s="13">
        <v>-7.2607800954073543E-2</v>
      </c>
      <c r="AW52" s="13">
        <v>7.589180754071544E-3</v>
      </c>
      <c r="AX52" s="13">
        <v>0</v>
      </c>
      <c r="AY52" s="13">
        <v>96.598065608577073</v>
      </c>
      <c r="AZ52" s="13">
        <v>-1.1929281751177001</v>
      </c>
      <c r="BA52" s="13">
        <v>0</v>
      </c>
      <c r="BB52" s="13">
        <v>0</v>
      </c>
      <c r="BC52" s="14"/>
      <c r="BD52" s="14"/>
      <c r="BE52" s="13">
        <v>1.1283837407425517</v>
      </c>
      <c r="BF52" s="14"/>
      <c r="BG52" s="14"/>
      <c r="BH52" s="13">
        <v>0</v>
      </c>
      <c r="BI52" s="13">
        <v>2.6847139101739472</v>
      </c>
      <c r="BJ52" s="13">
        <v>1.2540659168397539</v>
      </c>
      <c r="BK52" s="13">
        <v>0</v>
      </c>
      <c r="BL52" s="13">
        <v>0</v>
      </c>
      <c r="BM52" s="13">
        <v>0</v>
      </c>
      <c r="BN52" s="13">
        <v>100</v>
      </c>
      <c r="BO52" s="15" t="s">
        <v>187</v>
      </c>
      <c r="BP52" s="15">
        <v>80000</v>
      </c>
      <c r="BQ52" s="12" t="s">
        <v>273</v>
      </c>
      <c r="BR52" s="26">
        <v>-0.21</v>
      </c>
      <c r="BS52" s="27">
        <v>2.79</v>
      </c>
      <c r="BT52" s="27">
        <v>3</v>
      </c>
      <c r="BU52" s="26">
        <f t="shared" si="24"/>
        <v>-0.10499999999999998</v>
      </c>
      <c r="BV52" s="26">
        <f t="shared" si="25"/>
        <v>1.395</v>
      </c>
      <c r="BW52" s="26">
        <f t="shared" si="25"/>
        <v>1.5</v>
      </c>
      <c r="BX52" s="31">
        <f t="shared" si="26"/>
        <v>-2.6666666666666643</v>
      </c>
      <c r="BY52" s="31">
        <f t="shared" si="27"/>
        <v>35.428571428571431</v>
      </c>
      <c r="BZ52" s="31">
        <f t="shared" si="28"/>
        <v>38.095238095238095</v>
      </c>
      <c r="CA52" s="35">
        <v>2</v>
      </c>
      <c r="CB52" s="35">
        <v>0</v>
      </c>
    </row>
    <row r="53" spans="1:80" x14ac:dyDescent="0.4">
      <c r="A53" s="12" t="s">
        <v>191</v>
      </c>
      <c r="B53" s="12" t="s">
        <v>180</v>
      </c>
      <c r="C53" s="4" t="s">
        <v>75</v>
      </c>
      <c r="D53" s="5">
        <v>28</v>
      </c>
      <c r="E53" s="22">
        <v>8</v>
      </c>
      <c r="F53" s="22">
        <v>35</v>
      </c>
      <c r="G53" s="10">
        <v>14427</v>
      </c>
      <c r="H53" s="5">
        <v>55</v>
      </c>
      <c r="I53" s="17">
        <f t="shared" si="29"/>
        <v>1.9642857142857142</v>
      </c>
      <c r="J53" s="7">
        <v>22</v>
      </c>
      <c r="K53" s="7">
        <v>57</v>
      </c>
      <c r="L53" s="17">
        <f t="shared" si="30"/>
        <v>0.7857142857142857</v>
      </c>
      <c r="M53" s="17">
        <f t="shared" si="31"/>
        <v>2.0357142857142856</v>
      </c>
      <c r="N53" s="33">
        <f t="shared" si="32"/>
        <v>0.38596491228070173</v>
      </c>
      <c r="O53" s="12">
        <v>19</v>
      </c>
      <c r="P53" s="12">
        <v>49</v>
      </c>
      <c r="Q53" s="17">
        <f t="shared" si="33"/>
        <v>0.6785714285714286</v>
      </c>
      <c r="R53" s="17">
        <f t="shared" si="34"/>
        <v>1.75</v>
      </c>
      <c r="S53" s="33">
        <f t="shared" si="35"/>
        <v>0.38775510204081631</v>
      </c>
      <c r="T53" s="12">
        <v>3</v>
      </c>
      <c r="U53" s="12">
        <v>8</v>
      </c>
      <c r="V53" s="17">
        <f t="shared" si="36"/>
        <v>0.10714285714285714</v>
      </c>
      <c r="W53" s="17">
        <f t="shared" si="37"/>
        <v>0.2857142857142857</v>
      </c>
      <c r="X53" s="33">
        <f t="shared" si="38"/>
        <v>0.375</v>
      </c>
      <c r="Y53" s="12">
        <v>8</v>
      </c>
      <c r="Z53" s="12">
        <v>10</v>
      </c>
      <c r="AA53" s="17">
        <f t="shared" si="39"/>
        <v>0.2857142857142857</v>
      </c>
      <c r="AB53" s="17">
        <f t="shared" si="40"/>
        <v>0.35714285714285715</v>
      </c>
      <c r="AC53" s="33">
        <f t="shared" si="41"/>
        <v>0.8</v>
      </c>
      <c r="AD53" s="12">
        <v>16</v>
      </c>
      <c r="AE53" s="17">
        <f t="shared" si="42"/>
        <v>0.5714285714285714</v>
      </c>
      <c r="AF53" s="12">
        <v>5</v>
      </c>
      <c r="AG53" s="17">
        <f t="shared" si="43"/>
        <v>0.17857142857142858</v>
      </c>
      <c r="AH53" s="12">
        <v>11</v>
      </c>
      <c r="AI53" s="17">
        <f t="shared" si="44"/>
        <v>0.39285714285714285</v>
      </c>
      <c r="AJ53" s="12">
        <v>19</v>
      </c>
      <c r="AK53" s="17">
        <f t="shared" si="45"/>
        <v>0.6785714285714286</v>
      </c>
      <c r="AL53" s="12">
        <v>3</v>
      </c>
      <c r="AM53" s="17">
        <f t="shared" si="46"/>
        <v>0.10714285714285714</v>
      </c>
      <c r="AN53" s="12">
        <v>0</v>
      </c>
      <c r="AO53" s="17">
        <f t="shared" si="47"/>
        <v>0</v>
      </c>
      <c r="AP53" s="12">
        <v>7</v>
      </c>
      <c r="AQ53" s="17">
        <f t="shared" si="48"/>
        <v>0.25</v>
      </c>
      <c r="AR53" s="12">
        <v>14</v>
      </c>
      <c r="AS53" s="17">
        <f t="shared" si="49"/>
        <v>0.5</v>
      </c>
      <c r="AT53" s="13">
        <v>-0.16962064408638883</v>
      </c>
      <c r="AU53" s="13">
        <v>-2.8230897767498833E-2</v>
      </c>
      <c r="AV53" s="13">
        <v>8.1426946754051224E-2</v>
      </c>
      <c r="AW53" s="13">
        <v>-0.25104759084044004</v>
      </c>
      <c r="AX53" s="13">
        <v>100.93165417524908</v>
      </c>
      <c r="AY53" s="13">
        <v>121.67965468027242</v>
      </c>
      <c r="AZ53" s="13">
        <v>2.6920335224066712</v>
      </c>
      <c r="BA53" s="13">
        <v>1.75</v>
      </c>
      <c r="BB53" s="13">
        <v>8.1553398058252426</v>
      </c>
      <c r="BC53" s="14">
        <v>0.44788273615635182</v>
      </c>
      <c r="BD53" s="14">
        <v>0.41228070175438597</v>
      </c>
      <c r="BE53" s="13">
        <v>7.1186772304321373</v>
      </c>
      <c r="BF53" s="14">
        <v>0.14035087719298245</v>
      </c>
      <c r="BG53" s="14">
        <v>0.17543859649122806</v>
      </c>
      <c r="BH53" s="13">
        <v>1.2380962207112862</v>
      </c>
      <c r="BI53" s="13">
        <v>2.7238116855648298</v>
      </c>
      <c r="BJ53" s="13">
        <v>1.8506603821324523</v>
      </c>
      <c r="BK53" s="13">
        <v>5.9929031410172175</v>
      </c>
      <c r="BL53" s="13">
        <v>0.70336409431024516</v>
      </c>
      <c r="BM53" s="13">
        <v>0</v>
      </c>
      <c r="BN53" s="13">
        <v>10.23391812865497</v>
      </c>
      <c r="BO53" s="15" t="s">
        <v>187</v>
      </c>
      <c r="BP53" s="15">
        <v>75000</v>
      </c>
      <c r="BQ53" s="12" t="s">
        <v>271</v>
      </c>
      <c r="BR53" s="26">
        <v>118.51</v>
      </c>
      <c r="BS53" s="27">
        <v>165.11</v>
      </c>
      <c r="BT53" s="27">
        <v>46.6</v>
      </c>
      <c r="BU53" s="26">
        <f t="shared" si="24"/>
        <v>4.2324999999999999</v>
      </c>
      <c r="BV53" s="26">
        <f t="shared" si="25"/>
        <v>5.8967857142857145</v>
      </c>
      <c r="BW53" s="26">
        <f t="shared" si="25"/>
        <v>1.6642857142857144</v>
      </c>
      <c r="BX53" s="31">
        <f t="shared" si="26"/>
        <v>19.714701601164489</v>
      </c>
      <c r="BY53" s="31">
        <f t="shared" si="27"/>
        <v>27.466833021418179</v>
      </c>
      <c r="BZ53" s="31">
        <f t="shared" si="28"/>
        <v>7.7521314202536908</v>
      </c>
      <c r="CA53" s="35">
        <v>12</v>
      </c>
      <c r="CB53" s="35">
        <v>16</v>
      </c>
    </row>
    <row r="54" spans="1:80" x14ac:dyDescent="0.4">
      <c r="A54" s="12" t="s">
        <v>191</v>
      </c>
      <c r="B54" s="12" t="s">
        <v>180</v>
      </c>
      <c r="C54" s="4" t="s">
        <v>85</v>
      </c>
      <c r="D54" s="22">
        <v>49</v>
      </c>
      <c r="E54" s="22">
        <v>18</v>
      </c>
      <c r="F54" s="22">
        <v>33</v>
      </c>
      <c r="G54" s="10">
        <v>54533</v>
      </c>
      <c r="H54" s="5">
        <v>293</v>
      </c>
      <c r="I54" s="17">
        <f t="shared" si="29"/>
        <v>5.9795918367346941</v>
      </c>
      <c r="J54" s="6">
        <v>123</v>
      </c>
      <c r="K54" s="6">
        <v>270</v>
      </c>
      <c r="L54" s="17">
        <f t="shared" si="30"/>
        <v>2.510204081632653</v>
      </c>
      <c r="M54" s="17">
        <f t="shared" si="31"/>
        <v>5.5102040816326534</v>
      </c>
      <c r="N54" s="33">
        <f t="shared" si="32"/>
        <v>0.45555555555555555</v>
      </c>
      <c r="O54" s="12">
        <v>123</v>
      </c>
      <c r="P54" s="12">
        <v>267</v>
      </c>
      <c r="Q54" s="17">
        <f t="shared" si="33"/>
        <v>2.510204081632653</v>
      </c>
      <c r="R54" s="17">
        <f t="shared" si="34"/>
        <v>5.4489795918367347</v>
      </c>
      <c r="S54" s="33">
        <f t="shared" si="35"/>
        <v>0.4606741573033708</v>
      </c>
      <c r="T54" s="12">
        <v>0</v>
      </c>
      <c r="U54" s="12">
        <v>3</v>
      </c>
      <c r="V54" s="17">
        <f t="shared" si="36"/>
        <v>0</v>
      </c>
      <c r="W54" s="17">
        <f t="shared" si="37"/>
        <v>6.1224489795918366E-2</v>
      </c>
      <c r="X54" s="33">
        <f t="shared" si="38"/>
        <v>0</v>
      </c>
      <c r="Y54" s="12">
        <v>47</v>
      </c>
      <c r="Z54" s="12">
        <v>82</v>
      </c>
      <c r="AA54" s="17">
        <f t="shared" si="39"/>
        <v>0.95918367346938771</v>
      </c>
      <c r="AB54" s="17">
        <f t="shared" si="40"/>
        <v>1.6734693877551021</v>
      </c>
      <c r="AC54" s="33">
        <f t="shared" si="41"/>
        <v>0.57317073170731703</v>
      </c>
      <c r="AD54" s="12">
        <v>235</v>
      </c>
      <c r="AE54" s="17">
        <f t="shared" si="42"/>
        <v>4.795918367346939</v>
      </c>
      <c r="AF54" s="12">
        <v>83</v>
      </c>
      <c r="AG54" s="17">
        <f t="shared" si="43"/>
        <v>1.6938775510204083</v>
      </c>
      <c r="AH54" s="12">
        <v>152</v>
      </c>
      <c r="AI54" s="17">
        <f t="shared" si="44"/>
        <v>3.1020408163265305</v>
      </c>
      <c r="AJ54" s="12">
        <v>72</v>
      </c>
      <c r="AK54" s="17">
        <f t="shared" si="45"/>
        <v>1.4693877551020409</v>
      </c>
      <c r="AL54" s="12">
        <v>21</v>
      </c>
      <c r="AM54" s="17">
        <f t="shared" si="46"/>
        <v>0.42857142857142855</v>
      </c>
      <c r="AN54" s="12">
        <v>32</v>
      </c>
      <c r="AO54" s="17">
        <f t="shared" si="47"/>
        <v>0.65306122448979587</v>
      </c>
      <c r="AP54" s="12">
        <v>52</v>
      </c>
      <c r="AQ54" s="17">
        <f t="shared" si="48"/>
        <v>1.0612244897959184</v>
      </c>
      <c r="AR54" s="12">
        <v>110</v>
      </c>
      <c r="AS54" s="17">
        <f t="shared" si="49"/>
        <v>2.2448979591836733</v>
      </c>
      <c r="AT54" s="13">
        <v>0.66600374895661207</v>
      </c>
      <c r="AU54" s="13">
        <v>2.9308707803800516E-2</v>
      </c>
      <c r="AV54" s="13">
        <v>0.52920123927163432</v>
      </c>
      <c r="AW54" s="13">
        <v>0.13680250968497773</v>
      </c>
      <c r="AX54" s="13">
        <v>101.61690550389133</v>
      </c>
      <c r="AY54" s="13">
        <v>112.96903324322459</v>
      </c>
      <c r="AZ54" s="13">
        <v>9.714522666578473</v>
      </c>
      <c r="BA54" s="13">
        <v>8.5510204081632661</v>
      </c>
      <c r="BB54" s="13">
        <v>18.438858022993564</v>
      </c>
      <c r="BC54" s="14">
        <v>0.47863303711447991</v>
      </c>
      <c r="BD54" s="14">
        <v>0.45555555555555555</v>
      </c>
      <c r="BE54" s="13">
        <v>17.243893413784289</v>
      </c>
      <c r="BF54" s="14">
        <v>1.1111111111111112E-2</v>
      </c>
      <c r="BG54" s="14">
        <v>0.3037037037037037</v>
      </c>
      <c r="BH54" s="13">
        <v>9.5098693538731247</v>
      </c>
      <c r="BI54" s="13">
        <v>17.41566435890018</v>
      </c>
      <c r="BJ54" s="13">
        <v>12.577278343866803</v>
      </c>
      <c r="BK54" s="13">
        <v>11.808602238714174</v>
      </c>
      <c r="BL54" s="13">
        <v>1.3018239301699057</v>
      </c>
      <c r="BM54" s="13">
        <v>3.5440521529424633</v>
      </c>
      <c r="BN54" s="13">
        <v>14.521894548704202</v>
      </c>
      <c r="BO54" s="15" t="s">
        <v>187</v>
      </c>
      <c r="BP54" s="15">
        <v>700000</v>
      </c>
      <c r="BQ54" s="12" t="s">
        <v>272</v>
      </c>
      <c r="BR54" s="26">
        <v>705.02</v>
      </c>
      <c r="BS54" s="27">
        <v>957.72</v>
      </c>
      <c r="BT54" s="27">
        <v>252.7</v>
      </c>
      <c r="BU54" s="26">
        <f t="shared" si="24"/>
        <v>14.388163265306124</v>
      </c>
      <c r="BV54" s="26">
        <f t="shared" si="25"/>
        <v>19.545306122448981</v>
      </c>
      <c r="BW54" s="26">
        <f t="shared" si="25"/>
        <v>5.1571428571428566</v>
      </c>
      <c r="BX54" s="31">
        <f t="shared" si="26"/>
        <v>31.02796471861075</v>
      </c>
      <c r="BY54" s="31">
        <f t="shared" si="27"/>
        <v>42.149304091100802</v>
      </c>
      <c r="BZ54" s="31">
        <f t="shared" si="28"/>
        <v>11.121339372490052</v>
      </c>
      <c r="CA54" s="35">
        <v>24</v>
      </c>
      <c r="CB54" s="35">
        <v>25</v>
      </c>
    </row>
    <row r="55" spans="1:80" x14ac:dyDescent="0.4">
      <c r="A55" s="12" t="s">
        <v>191</v>
      </c>
      <c r="B55" s="12" t="s">
        <v>180</v>
      </c>
      <c r="C55" s="4" t="s">
        <v>74</v>
      </c>
      <c r="D55" s="5">
        <v>22</v>
      </c>
      <c r="E55" s="22">
        <v>24</v>
      </c>
      <c r="F55" s="22">
        <v>37</v>
      </c>
      <c r="G55" s="10">
        <v>32488</v>
      </c>
      <c r="H55" s="5">
        <v>254</v>
      </c>
      <c r="I55" s="17">
        <f t="shared" si="29"/>
        <v>11.545454545454545</v>
      </c>
      <c r="J55" s="7">
        <v>96</v>
      </c>
      <c r="K55" s="7">
        <v>219</v>
      </c>
      <c r="L55" s="17">
        <f t="shared" si="30"/>
        <v>4.3636363636363633</v>
      </c>
      <c r="M55" s="17">
        <f t="shared" si="31"/>
        <v>9.954545454545455</v>
      </c>
      <c r="N55" s="33">
        <f t="shared" si="32"/>
        <v>0.43835616438356162</v>
      </c>
      <c r="O55" s="12">
        <v>67</v>
      </c>
      <c r="P55" s="12">
        <v>126</v>
      </c>
      <c r="Q55" s="17">
        <f t="shared" si="33"/>
        <v>3.0454545454545454</v>
      </c>
      <c r="R55" s="17">
        <f t="shared" si="34"/>
        <v>5.7272727272727275</v>
      </c>
      <c r="S55" s="33">
        <f t="shared" si="35"/>
        <v>0.53174603174603174</v>
      </c>
      <c r="T55" s="12">
        <v>29</v>
      </c>
      <c r="U55" s="12">
        <v>93</v>
      </c>
      <c r="V55" s="17">
        <f t="shared" si="36"/>
        <v>1.3181818181818181</v>
      </c>
      <c r="W55" s="17">
        <f t="shared" si="37"/>
        <v>4.2272727272727275</v>
      </c>
      <c r="X55" s="33">
        <f t="shared" si="38"/>
        <v>0.31182795698924731</v>
      </c>
      <c r="Y55" s="12">
        <v>33</v>
      </c>
      <c r="Z55" s="12">
        <v>54</v>
      </c>
      <c r="AA55" s="17">
        <f t="shared" si="39"/>
        <v>1.5</v>
      </c>
      <c r="AB55" s="17">
        <f t="shared" si="40"/>
        <v>2.4545454545454546</v>
      </c>
      <c r="AC55" s="33">
        <f t="shared" si="41"/>
        <v>0.61111111111111116</v>
      </c>
      <c r="AD55" s="12">
        <v>118</v>
      </c>
      <c r="AE55" s="17">
        <f t="shared" si="42"/>
        <v>5.3636363636363633</v>
      </c>
      <c r="AF55" s="12">
        <v>20</v>
      </c>
      <c r="AG55" s="17">
        <f t="shared" si="43"/>
        <v>0.90909090909090906</v>
      </c>
      <c r="AH55" s="12">
        <v>98</v>
      </c>
      <c r="AI55" s="17">
        <f t="shared" si="44"/>
        <v>4.4545454545454541</v>
      </c>
      <c r="AJ55" s="12">
        <v>63</v>
      </c>
      <c r="AK55" s="17">
        <f t="shared" si="45"/>
        <v>2.8636363636363638</v>
      </c>
      <c r="AL55" s="12">
        <v>10</v>
      </c>
      <c r="AM55" s="17">
        <f t="shared" si="46"/>
        <v>0.45454545454545453</v>
      </c>
      <c r="AN55" s="12">
        <v>25</v>
      </c>
      <c r="AO55" s="17">
        <f t="shared" si="47"/>
        <v>1.1363636363636365</v>
      </c>
      <c r="AP55" s="12">
        <v>48</v>
      </c>
      <c r="AQ55" s="17">
        <f t="shared" si="48"/>
        <v>2.1818181818181817</v>
      </c>
      <c r="AR55" s="12">
        <v>64</v>
      </c>
      <c r="AS55" s="17">
        <f t="shared" si="49"/>
        <v>2.9090909090909092</v>
      </c>
      <c r="AT55" s="13">
        <v>0.43329494946954999</v>
      </c>
      <c r="AU55" s="13">
        <v>3.2003073759060752E-2</v>
      </c>
      <c r="AV55" s="13">
        <v>0.30694365857315992</v>
      </c>
      <c r="AW55" s="13">
        <v>0.12635129089639008</v>
      </c>
      <c r="AX55" s="13">
        <v>100.51006361822672</v>
      </c>
      <c r="AY55" s="13">
        <v>112.36552288076254</v>
      </c>
      <c r="AZ55" s="13">
        <v>5.1582178418855467</v>
      </c>
      <c r="BA55" s="13">
        <v>12.636363636363637</v>
      </c>
      <c r="BB55" s="13">
        <v>20.533021480888777</v>
      </c>
      <c r="BC55" s="14">
        <v>0.52315043664524641</v>
      </c>
      <c r="BD55" s="14">
        <v>0.50456621004566216</v>
      </c>
      <c r="BE55" s="13">
        <v>10.551266541482367</v>
      </c>
      <c r="BF55" s="14">
        <v>0.42465753424657532</v>
      </c>
      <c r="BG55" s="14">
        <v>0.24657534246575341</v>
      </c>
      <c r="BH55" s="13">
        <v>1.7267963538694988</v>
      </c>
      <c r="BI55" s="13">
        <v>8.4613021339605439</v>
      </c>
      <c r="BJ55" s="13">
        <v>4.7589976058813948</v>
      </c>
      <c r="BK55" s="13">
        <v>7.1888401814326341</v>
      </c>
      <c r="BL55" s="13">
        <v>1.0404495435007215</v>
      </c>
      <c r="BM55" s="13">
        <v>2.0864347316271163</v>
      </c>
      <c r="BN55" s="13">
        <v>16.508460586050351</v>
      </c>
      <c r="BO55" s="15" t="s">
        <v>187</v>
      </c>
      <c r="BP55" s="15"/>
      <c r="BQ55" s="12" t="s">
        <v>273</v>
      </c>
      <c r="BR55" s="26">
        <v>442.97</v>
      </c>
      <c r="BS55" s="27">
        <v>648.37</v>
      </c>
      <c r="BT55" s="27">
        <v>205.4</v>
      </c>
      <c r="BU55" s="26">
        <f t="shared" si="24"/>
        <v>20.135000000000002</v>
      </c>
      <c r="BV55" s="26">
        <f t="shared" si="25"/>
        <v>29.471363636363638</v>
      </c>
      <c r="BW55" s="26">
        <f t="shared" si="25"/>
        <v>9.336363636363636</v>
      </c>
      <c r="BX55" s="31">
        <f t="shared" si="26"/>
        <v>32.723713371090859</v>
      </c>
      <c r="BY55" s="31">
        <f t="shared" si="27"/>
        <v>47.897315932036442</v>
      </c>
      <c r="BZ55" s="31">
        <f t="shared" si="28"/>
        <v>15.17360256094558</v>
      </c>
      <c r="CA55" s="35">
        <v>12</v>
      </c>
      <c r="CB55" s="35">
        <v>10</v>
      </c>
    </row>
    <row r="56" spans="1:80" x14ac:dyDescent="0.4">
      <c r="A56" s="12" t="s">
        <v>191</v>
      </c>
      <c r="B56" s="12" t="s">
        <v>180</v>
      </c>
      <c r="C56" s="4" t="s">
        <v>151</v>
      </c>
      <c r="D56" s="32">
        <v>52</v>
      </c>
      <c r="E56" s="24">
        <v>16</v>
      </c>
      <c r="F56" s="24">
        <v>38</v>
      </c>
      <c r="G56" s="10">
        <v>51873</v>
      </c>
      <c r="H56" s="5">
        <v>171</v>
      </c>
      <c r="I56" s="17">
        <f t="shared" si="29"/>
        <v>3.2884615384615383</v>
      </c>
      <c r="J56" s="7">
        <v>60</v>
      </c>
      <c r="K56" s="7">
        <v>165</v>
      </c>
      <c r="L56" s="17">
        <f t="shared" si="30"/>
        <v>1.1538461538461537</v>
      </c>
      <c r="M56" s="17">
        <f t="shared" si="31"/>
        <v>3.1730769230769229</v>
      </c>
      <c r="N56" s="33">
        <f t="shared" si="32"/>
        <v>0.36363636363636365</v>
      </c>
      <c r="O56" s="12">
        <v>24</v>
      </c>
      <c r="P56" s="12">
        <v>60</v>
      </c>
      <c r="Q56" s="17">
        <f t="shared" si="33"/>
        <v>0.46153846153846156</v>
      </c>
      <c r="R56" s="17">
        <f t="shared" si="34"/>
        <v>1.1538461538461537</v>
      </c>
      <c r="S56" s="33">
        <f t="shared" si="35"/>
        <v>0.4</v>
      </c>
      <c r="T56" s="12">
        <v>36</v>
      </c>
      <c r="U56" s="12">
        <v>105</v>
      </c>
      <c r="V56" s="17">
        <f t="shared" si="36"/>
        <v>0.69230769230769229</v>
      </c>
      <c r="W56" s="17">
        <f t="shared" si="37"/>
        <v>2.0192307692307692</v>
      </c>
      <c r="X56" s="33">
        <f t="shared" si="38"/>
        <v>0.34285714285714286</v>
      </c>
      <c r="Y56" s="12">
        <v>15</v>
      </c>
      <c r="Z56" s="12">
        <v>20</v>
      </c>
      <c r="AA56" s="17">
        <f t="shared" si="39"/>
        <v>0.28846153846153844</v>
      </c>
      <c r="AB56" s="17">
        <f t="shared" si="40"/>
        <v>0.38461538461538464</v>
      </c>
      <c r="AC56" s="33">
        <f t="shared" si="41"/>
        <v>0.75</v>
      </c>
      <c r="AD56" s="12">
        <v>68</v>
      </c>
      <c r="AE56" s="17">
        <f t="shared" si="42"/>
        <v>1.3076923076923077</v>
      </c>
      <c r="AF56" s="12">
        <v>14</v>
      </c>
      <c r="AG56" s="17">
        <f t="shared" si="43"/>
        <v>0.26923076923076922</v>
      </c>
      <c r="AH56" s="12">
        <v>54</v>
      </c>
      <c r="AI56" s="17">
        <f t="shared" si="44"/>
        <v>1.0384615384615385</v>
      </c>
      <c r="AJ56" s="12">
        <v>103</v>
      </c>
      <c r="AK56" s="17">
        <f t="shared" si="45"/>
        <v>1.9807692307692308</v>
      </c>
      <c r="AL56" s="12">
        <v>32</v>
      </c>
      <c r="AM56" s="17">
        <f t="shared" si="46"/>
        <v>0.61538461538461542</v>
      </c>
      <c r="AN56" s="12">
        <v>2</v>
      </c>
      <c r="AO56" s="17">
        <f t="shared" si="47"/>
        <v>3.8461538461538464E-2</v>
      </c>
      <c r="AP56" s="12">
        <v>55</v>
      </c>
      <c r="AQ56" s="17">
        <f t="shared" si="48"/>
        <v>1.0576923076923077</v>
      </c>
      <c r="AR56" s="12">
        <v>92</v>
      </c>
      <c r="AS56" s="17">
        <f t="shared" si="49"/>
        <v>1.7692307692307692</v>
      </c>
      <c r="AT56" s="13">
        <v>-0.48104423161763932</v>
      </c>
      <c r="AU56" s="13">
        <v>-2.2246534528332328E-2</v>
      </c>
      <c r="AV56" s="13">
        <v>-5.430501535240348E-2</v>
      </c>
      <c r="AW56" s="13">
        <v>-0.42673921626523581</v>
      </c>
      <c r="AX56" s="13">
        <v>96.474160762214368</v>
      </c>
      <c r="AY56" s="13">
        <v>117.66210777145096</v>
      </c>
      <c r="AZ56" s="13">
        <v>4.6728410404976701</v>
      </c>
      <c r="BA56" s="13">
        <v>4.0576923076923075</v>
      </c>
      <c r="BB56" s="13">
        <v>9.7579774934484362</v>
      </c>
      <c r="BC56" s="14">
        <v>0.49194476409666282</v>
      </c>
      <c r="BD56" s="14">
        <v>0.47272727272727272</v>
      </c>
      <c r="BE56" s="13">
        <v>12.28785019477961</v>
      </c>
      <c r="BF56" s="14">
        <v>0.63636363636363635</v>
      </c>
      <c r="BG56" s="14">
        <v>0.12121212121212122</v>
      </c>
      <c r="BH56" s="13">
        <v>1.7889125754165081</v>
      </c>
      <c r="BI56" s="13">
        <v>6.9000913623208167</v>
      </c>
      <c r="BJ56" s="13">
        <v>4.0587504122168383</v>
      </c>
      <c r="BK56" s="13">
        <v>17.252449680355099</v>
      </c>
      <c r="BL56" s="13">
        <v>2.0846842895953417</v>
      </c>
      <c r="BM56" s="13">
        <v>0.24702718225356723</v>
      </c>
      <c r="BN56" s="13">
        <v>24.038461538461537</v>
      </c>
      <c r="BO56" s="15" t="s">
        <v>187</v>
      </c>
      <c r="BP56" s="15">
        <v>65000</v>
      </c>
      <c r="BQ56" s="12" t="s">
        <v>271</v>
      </c>
      <c r="BR56" s="26">
        <v>476.54</v>
      </c>
      <c r="BS56" s="27">
        <v>661.14</v>
      </c>
      <c r="BT56" s="27">
        <v>184.6</v>
      </c>
      <c r="BU56" s="26">
        <f t="shared" si="24"/>
        <v>9.1642307692307696</v>
      </c>
      <c r="BV56" s="26">
        <f t="shared" si="25"/>
        <v>12.714230769230769</v>
      </c>
      <c r="BW56" s="26">
        <f t="shared" si="25"/>
        <v>3.55</v>
      </c>
      <c r="BX56" s="31">
        <f t="shared" si="26"/>
        <v>22.04800185067376</v>
      </c>
      <c r="BY56" s="31">
        <f t="shared" si="27"/>
        <v>30.588861257301485</v>
      </c>
      <c r="BZ56" s="31">
        <f t="shared" si="28"/>
        <v>8.5408594066277246</v>
      </c>
      <c r="CA56" s="34">
        <v>27</v>
      </c>
      <c r="CB56" s="34">
        <v>25</v>
      </c>
    </row>
    <row r="57" spans="1:80" x14ac:dyDescent="0.4">
      <c r="A57" s="12" t="s">
        <v>191</v>
      </c>
      <c r="B57" s="12" t="s">
        <v>180</v>
      </c>
      <c r="C57" s="12" t="s">
        <v>79</v>
      </c>
      <c r="D57" s="11">
        <v>45</v>
      </c>
      <c r="E57" s="11">
        <v>30</v>
      </c>
      <c r="F57" s="11">
        <v>55</v>
      </c>
      <c r="G57" s="10">
        <v>83476</v>
      </c>
      <c r="H57" s="7">
        <v>739</v>
      </c>
      <c r="I57" s="17">
        <f t="shared" si="29"/>
        <v>16.422222222222221</v>
      </c>
      <c r="J57" s="7">
        <v>246</v>
      </c>
      <c r="K57" s="7">
        <v>597</v>
      </c>
      <c r="L57" s="17">
        <f t="shared" si="30"/>
        <v>5.4666666666666668</v>
      </c>
      <c r="M57" s="17">
        <f t="shared" si="31"/>
        <v>13.266666666666667</v>
      </c>
      <c r="N57" s="33">
        <f t="shared" si="32"/>
        <v>0.4120603015075377</v>
      </c>
      <c r="O57" s="5">
        <v>120</v>
      </c>
      <c r="P57" s="7">
        <v>250</v>
      </c>
      <c r="Q57" s="17">
        <f t="shared" si="33"/>
        <v>2.6666666666666665</v>
      </c>
      <c r="R57" s="17">
        <f t="shared" si="34"/>
        <v>5.5555555555555554</v>
      </c>
      <c r="S57" s="33">
        <f t="shared" si="35"/>
        <v>0.48</v>
      </c>
      <c r="T57" s="7">
        <v>126</v>
      </c>
      <c r="U57" s="7">
        <v>347</v>
      </c>
      <c r="V57" s="17">
        <f t="shared" si="36"/>
        <v>2.8</v>
      </c>
      <c r="W57" s="17">
        <f t="shared" si="37"/>
        <v>7.7111111111111112</v>
      </c>
      <c r="X57" s="33">
        <f t="shared" si="38"/>
        <v>0.36311239193083572</v>
      </c>
      <c r="Y57" s="5">
        <v>121</v>
      </c>
      <c r="Z57" s="5">
        <v>139</v>
      </c>
      <c r="AA57" s="17">
        <f t="shared" si="39"/>
        <v>2.6888888888888891</v>
      </c>
      <c r="AB57" s="17">
        <f t="shared" si="40"/>
        <v>3.088888888888889</v>
      </c>
      <c r="AC57" s="33">
        <f t="shared" si="41"/>
        <v>0.87050359712230219</v>
      </c>
      <c r="AD57" s="12">
        <v>116</v>
      </c>
      <c r="AE57" s="17">
        <f t="shared" si="42"/>
        <v>2.5777777777777779</v>
      </c>
      <c r="AF57" s="12">
        <v>16</v>
      </c>
      <c r="AG57" s="17">
        <f t="shared" si="43"/>
        <v>0.35555555555555557</v>
      </c>
      <c r="AH57" s="7">
        <v>100</v>
      </c>
      <c r="AI57" s="17">
        <f t="shared" si="44"/>
        <v>2.2222222222222223</v>
      </c>
      <c r="AJ57" s="7">
        <v>143</v>
      </c>
      <c r="AK57" s="17">
        <f t="shared" si="45"/>
        <v>3.1777777777777776</v>
      </c>
      <c r="AL57" s="7">
        <v>36</v>
      </c>
      <c r="AM57" s="17">
        <f t="shared" si="46"/>
        <v>0.8</v>
      </c>
      <c r="AN57" s="7">
        <v>1</v>
      </c>
      <c r="AO57" s="17">
        <f t="shared" si="47"/>
        <v>2.2222222222222223E-2</v>
      </c>
      <c r="AP57" s="7">
        <v>108</v>
      </c>
      <c r="AQ57" s="17">
        <f t="shared" si="48"/>
        <v>2.4</v>
      </c>
      <c r="AR57" s="7">
        <v>99</v>
      </c>
      <c r="AS57" s="17">
        <f t="shared" si="49"/>
        <v>2.2000000000000002</v>
      </c>
      <c r="AT57" s="13">
        <v>1.6094726454166857</v>
      </c>
      <c r="AU57" s="13">
        <v>4.6274146139563294E-2</v>
      </c>
      <c r="AV57" s="13">
        <v>2.5119251554479529</v>
      </c>
      <c r="AW57" s="13">
        <v>-0.90245251003126736</v>
      </c>
      <c r="AX57" s="13">
        <v>107.94760371824441</v>
      </c>
      <c r="AY57" s="13">
        <v>118.79393186151353</v>
      </c>
      <c r="AZ57" s="13">
        <v>10.387366641227542</v>
      </c>
      <c r="BA57" s="13">
        <v>12.4</v>
      </c>
      <c r="BB57" s="13">
        <v>16.043126684636118</v>
      </c>
      <c r="BC57" s="14">
        <v>0.56141363802114985</v>
      </c>
      <c r="BD57" s="14">
        <v>0.51758793969849248</v>
      </c>
      <c r="BE57" s="13">
        <v>22.137368260564628</v>
      </c>
      <c r="BF57" s="14">
        <v>0.58123953098827474</v>
      </c>
      <c r="BG57" s="14">
        <v>0.23283082077051925</v>
      </c>
      <c r="BH57" s="13">
        <v>1.0999366963515902</v>
      </c>
      <c r="BI57" s="13">
        <v>6.8746043521974389</v>
      </c>
      <c r="BJ57" s="13">
        <v>3.7250152031197001</v>
      </c>
      <c r="BK57" s="13">
        <v>14.663533433027128</v>
      </c>
      <c r="BL57" s="13">
        <v>1.4580428017902944</v>
      </c>
      <c r="BM57" s="13">
        <v>6.6450977867671179E-2</v>
      </c>
      <c r="BN57" s="13">
        <v>14.096272319097839</v>
      </c>
      <c r="BO57" s="15" t="s">
        <v>187</v>
      </c>
      <c r="BP57" s="15">
        <v>60000</v>
      </c>
      <c r="BQ57" s="12" t="s">
        <v>271</v>
      </c>
      <c r="BR57" s="26">
        <v>979.52</v>
      </c>
      <c r="BS57" s="27">
        <v>1484.82</v>
      </c>
      <c r="BT57" s="27">
        <v>505.3</v>
      </c>
      <c r="BU57" s="26">
        <f t="shared" si="24"/>
        <v>21.767111111111106</v>
      </c>
      <c r="BV57" s="26">
        <f t="shared" si="25"/>
        <v>32.995999999999995</v>
      </c>
      <c r="BW57" s="26">
        <f t="shared" si="25"/>
        <v>11.228888888888889</v>
      </c>
      <c r="BX57" s="31">
        <f t="shared" si="26"/>
        <v>28.161962719823656</v>
      </c>
      <c r="BY57" s="31">
        <f t="shared" si="27"/>
        <v>42.689731180219461</v>
      </c>
      <c r="BZ57" s="31">
        <f t="shared" si="28"/>
        <v>14.527768460395803</v>
      </c>
      <c r="CA57" s="35">
        <v>27</v>
      </c>
      <c r="CB57" s="35">
        <v>18</v>
      </c>
    </row>
    <row r="58" spans="1:80" x14ac:dyDescent="0.4">
      <c r="A58" s="12" t="s">
        <v>191</v>
      </c>
      <c r="B58" s="12" t="s">
        <v>180</v>
      </c>
      <c r="C58" s="4" t="s">
        <v>67</v>
      </c>
      <c r="D58" s="22">
        <v>40</v>
      </c>
      <c r="E58" s="22">
        <v>29</v>
      </c>
      <c r="F58" s="22">
        <v>17</v>
      </c>
      <c r="G58" s="10">
        <v>70296</v>
      </c>
      <c r="H58" s="5">
        <v>523</v>
      </c>
      <c r="I58" s="17">
        <f t="shared" si="29"/>
        <v>13.074999999999999</v>
      </c>
      <c r="J58" s="7">
        <v>185</v>
      </c>
      <c r="K58" s="7">
        <v>444</v>
      </c>
      <c r="L58" s="17">
        <f t="shared" si="30"/>
        <v>4.625</v>
      </c>
      <c r="M58" s="17">
        <f t="shared" si="31"/>
        <v>11.1</v>
      </c>
      <c r="N58" s="33">
        <f t="shared" si="32"/>
        <v>0.41666666666666669</v>
      </c>
      <c r="O58" s="12">
        <v>122</v>
      </c>
      <c r="P58" s="12">
        <v>261</v>
      </c>
      <c r="Q58" s="17">
        <f t="shared" si="33"/>
        <v>3.05</v>
      </c>
      <c r="R58" s="17">
        <f t="shared" si="34"/>
        <v>6.5250000000000004</v>
      </c>
      <c r="S58" s="33">
        <f t="shared" si="35"/>
        <v>0.46743295019157088</v>
      </c>
      <c r="T58" s="12">
        <v>63</v>
      </c>
      <c r="U58" s="12">
        <v>183</v>
      </c>
      <c r="V58" s="17">
        <f t="shared" si="36"/>
        <v>1.575</v>
      </c>
      <c r="W58" s="17">
        <f t="shared" si="37"/>
        <v>4.5750000000000002</v>
      </c>
      <c r="X58" s="33">
        <f t="shared" si="38"/>
        <v>0.34426229508196721</v>
      </c>
      <c r="Y58" s="12">
        <v>90</v>
      </c>
      <c r="Z58" s="12">
        <v>115</v>
      </c>
      <c r="AA58" s="17">
        <f t="shared" si="39"/>
        <v>2.25</v>
      </c>
      <c r="AB58" s="17">
        <f t="shared" si="40"/>
        <v>2.875</v>
      </c>
      <c r="AC58" s="33">
        <f t="shared" si="41"/>
        <v>0.78260869565217395</v>
      </c>
      <c r="AD58" s="12">
        <v>114</v>
      </c>
      <c r="AE58" s="17">
        <f t="shared" si="42"/>
        <v>2.85</v>
      </c>
      <c r="AF58" s="12">
        <v>31</v>
      </c>
      <c r="AG58" s="17">
        <f t="shared" si="43"/>
        <v>0.77500000000000002</v>
      </c>
      <c r="AH58" s="12">
        <v>83</v>
      </c>
      <c r="AI58" s="17">
        <f t="shared" si="44"/>
        <v>2.0750000000000002</v>
      </c>
      <c r="AJ58" s="12">
        <v>276</v>
      </c>
      <c r="AK58" s="17">
        <f t="shared" si="45"/>
        <v>6.9</v>
      </c>
      <c r="AL58" s="12">
        <v>49</v>
      </c>
      <c r="AM58" s="17">
        <f t="shared" si="46"/>
        <v>1.2250000000000001</v>
      </c>
      <c r="AN58" s="12">
        <v>2</v>
      </c>
      <c r="AO58" s="17">
        <f t="shared" si="47"/>
        <v>0.05</v>
      </c>
      <c r="AP58" s="12">
        <v>123</v>
      </c>
      <c r="AQ58" s="17">
        <f t="shared" si="48"/>
        <v>3.0750000000000002</v>
      </c>
      <c r="AR58" s="12">
        <v>69</v>
      </c>
      <c r="AS58" s="17">
        <f t="shared" si="49"/>
        <v>1.7250000000000001</v>
      </c>
      <c r="AT58" s="13">
        <v>1.5920435900734935</v>
      </c>
      <c r="AU58" s="13">
        <v>5.4366884123169958E-2</v>
      </c>
      <c r="AV58" s="13">
        <v>2.0384282624289685</v>
      </c>
      <c r="AW58" s="13">
        <v>-0.44638467235547497</v>
      </c>
      <c r="AX58" s="13">
        <v>106.80325489759366</v>
      </c>
      <c r="AY58" s="13">
        <v>116.84368165619122</v>
      </c>
      <c r="AZ58" s="13">
        <v>10.75993503426592</v>
      </c>
      <c r="BA58" s="13">
        <v>13.925000000000001</v>
      </c>
      <c r="BB58" s="13">
        <v>19.021058622652248</v>
      </c>
      <c r="BC58" s="14">
        <v>0.5287100687424181</v>
      </c>
      <c r="BD58" s="14">
        <v>0.48761261261261263</v>
      </c>
      <c r="BE58" s="13">
        <v>18.84021936165253</v>
      </c>
      <c r="BF58" s="14">
        <v>0.41216216216216217</v>
      </c>
      <c r="BG58" s="14">
        <v>0.25900900900900903</v>
      </c>
      <c r="BH58" s="13">
        <v>2.2499950100917117</v>
      </c>
      <c r="BI58" s="13">
        <v>6.0241801883100656</v>
      </c>
      <c r="BJ58" s="13">
        <v>3.8649783378982741</v>
      </c>
      <c r="BK58" s="13">
        <v>28.404071936399578</v>
      </c>
      <c r="BL58" s="13">
        <v>2.3571570942787567</v>
      </c>
      <c r="BM58" s="13">
        <v>0.14031481382416625</v>
      </c>
      <c r="BN58" s="13">
        <v>19.915803108808291</v>
      </c>
      <c r="BO58" s="15" t="s">
        <v>187</v>
      </c>
      <c r="BP58" s="15">
        <v>45000</v>
      </c>
      <c r="BQ58" s="12" t="s">
        <v>273</v>
      </c>
      <c r="BR58" s="26">
        <v>978.4</v>
      </c>
      <c r="BS58" s="27">
        <v>1429.9</v>
      </c>
      <c r="BT58" s="27">
        <v>451.5</v>
      </c>
      <c r="BU58" s="26">
        <f t="shared" si="24"/>
        <v>24.46</v>
      </c>
      <c r="BV58" s="26">
        <f t="shared" si="25"/>
        <v>35.747500000000002</v>
      </c>
      <c r="BW58" s="26">
        <f t="shared" si="25"/>
        <v>11.2875</v>
      </c>
      <c r="BX58" s="31">
        <f t="shared" si="26"/>
        <v>33.403892113349272</v>
      </c>
      <c r="BY58" s="31">
        <f t="shared" si="27"/>
        <v>48.818709457152615</v>
      </c>
      <c r="BZ58" s="31">
        <f t="shared" si="28"/>
        <v>15.414817343803346</v>
      </c>
      <c r="CA58" s="34">
        <v>21</v>
      </c>
      <c r="CB58" s="34">
        <v>19</v>
      </c>
    </row>
    <row r="59" spans="1:80" x14ac:dyDescent="0.4">
      <c r="A59" s="12" t="s">
        <v>191</v>
      </c>
      <c r="B59" s="12" t="s">
        <v>178</v>
      </c>
      <c r="C59" s="4" t="s">
        <v>247</v>
      </c>
      <c r="D59" s="22">
        <v>1</v>
      </c>
      <c r="E59" s="22">
        <v>12</v>
      </c>
      <c r="F59" s="22">
        <v>21</v>
      </c>
      <c r="G59" s="10">
        <v>741</v>
      </c>
      <c r="H59" s="5">
        <v>2</v>
      </c>
      <c r="I59" s="17">
        <f t="shared" si="29"/>
        <v>2</v>
      </c>
      <c r="J59" s="7">
        <v>1</v>
      </c>
      <c r="K59" s="7">
        <v>3</v>
      </c>
      <c r="L59" s="17">
        <f t="shared" si="30"/>
        <v>1</v>
      </c>
      <c r="M59" s="17">
        <f t="shared" si="31"/>
        <v>3</v>
      </c>
      <c r="N59" s="33">
        <f t="shared" si="32"/>
        <v>0.33333333333333331</v>
      </c>
      <c r="O59" s="12">
        <v>1</v>
      </c>
      <c r="P59" s="12">
        <v>1</v>
      </c>
      <c r="Q59" s="17">
        <f t="shared" si="33"/>
        <v>1</v>
      </c>
      <c r="R59" s="17">
        <f t="shared" si="34"/>
        <v>1</v>
      </c>
      <c r="S59" s="33">
        <f t="shared" si="35"/>
        <v>1</v>
      </c>
      <c r="T59" s="12">
        <v>0</v>
      </c>
      <c r="U59" s="12">
        <v>2</v>
      </c>
      <c r="V59" s="17">
        <f t="shared" si="36"/>
        <v>0</v>
      </c>
      <c r="W59" s="17">
        <f t="shared" si="37"/>
        <v>2</v>
      </c>
      <c r="X59" s="33">
        <f t="shared" si="38"/>
        <v>0</v>
      </c>
      <c r="Y59" s="12">
        <v>0</v>
      </c>
      <c r="Z59" s="12">
        <v>0</v>
      </c>
      <c r="AA59" s="17">
        <f t="shared" si="39"/>
        <v>0</v>
      </c>
      <c r="AB59" s="17">
        <f t="shared" si="40"/>
        <v>0</v>
      </c>
      <c r="AC59" s="33" t="e">
        <f t="shared" si="41"/>
        <v>#DIV/0!</v>
      </c>
      <c r="AD59" s="12">
        <v>1</v>
      </c>
      <c r="AE59" s="17">
        <f t="shared" si="42"/>
        <v>1</v>
      </c>
      <c r="AF59" s="12">
        <v>0</v>
      </c>
      <c r="AG59" s="17">
        <f t="shared" si="43"/>
        <v>0</v>
      </c>
      <c r="AH59" s="12">
        <v>1</v>
      </c>
      <c r="AI59" s="17">
        <f t="shared" si="44"/>
        <v>1</v>
      </c>
      <c r="AJ59" s="11">
        <v>0</v>
      </c>
      <c r="AK59" s="17">
        <f t="shared" si="45"/>
        <v>0</v>
      </c>
      <c r="AL59" s="12">
        <v>0</v>
      </c>
      <c r="AM59" s="17">
        <f t="shared" si="46"/>
        <v>0</v>
      </c>
      <c r="AN59" s="12">
        <v>0</v>
      </c>
      <c r="AO59" s="17">
        <f t="shared" si="47"/>
        <v>0</v>
      </c>
      <c r="AP59" s="12">
        <v>0</v>
      </c>
      <c r="AQ59" s="17">
        <f t="shared" si="48"/>
        <v>0</v>
      </c>
      <c r="AR59" s="12">
        <v>2</v>
      </c>
      <c r="AS59" s="17">
        <f t="shared" si="49"/>
        <v>2</v>
      </c>
      <c r="AT59" s="13">
        <v>-1.6071668507320832E-2</v>
      </c>
      <c r="AU59" s="13">
        <v>-5.2053987068245614E-2</v>
      </c>
      <c r="AV59" s="13">
        <v>-1.6941684557126434E-2</v>
      </c>
      <c r="AW59" s="13">
        <v>8.7001604980560207E-4</v>
      </c>
      <c r="AX59" s="13">
        <v>71.914030728771962</v>
      </c>
      <c r="AY59" s="13">
        <v>113.39141610134499</v>
      </c>
      <c r="AZ59" s="13">
        <v>-3.9964870697826213E-2</v>
      </c>
      <c r="BA59" s="13">
        <v>1</v>
      </c>
      <c r="BB59" s="13">
        <v>3.2388663967611335</v>
      </c>
      <c r="BC59" s="14">
        <v>0.33333333333333331</v>
      </c>
      <c r="BD59" s="14">
        <v>0.33333333333333331</v>
      </c>
      <c r="BE59" s="13">
        <v>0.21699687321972147</v>
      </c>
      <c r="BF59" s="14">
        <v>0.66666666666666663</v>
      </c>
      <c r="BG59" s="14">
        <v>0</v>
      </c>
      <c r="BH59" s="13">
        <v>0</v>
      </c>
      <c r="BI59" s="13">
        <v>0.17209704552397098</v>
      </c>
      <c r="BJ59" s="13">
        <v>8.038884082306115E-2</v>
      </c>
      <c r="BK59" s="13">
        <v>0</v>
      </c>
      <c r="BL59" s="13">
        <v>0</v>
      </c>
      <c r="BM59" s="13">
        <v>0</v>
      </c>
      <c r="BN59" s="13">
        <v>0</v>
      </c>
      <c r="BO59" s="15" t="s">
        <v>187</v>
      </c>
      <c r="BP59" s="15">
        <v>75000</v>
      </c>
      <c r="BQ59" s="12" t="s">
        <v>273</v>
      </c>
      <c r="BR59" s="26">
        <v>4.29</v>
      </c>
      <c r="BS59" s="27">
        <v>6.09</v>
      </c>
      <c r="BT59" s="27">
        <v>1.8</v>
      </c>
      <c r="BU59" s="26">
        <f t="shared" si="24"/>
        <v>4.29</v>
      </c>
      <c r="BV59" s="26">
        <f t="shared" si="25"/>
        <v>6.09</v>
      </c>
      <c r="BW59" s="26">
        <f t="shared" si="25"/>
        <v>1.8</v>
      </c>
      <c r="BX59" s="31">
        <f t="shared" si="26"/>
        <v>13.894736842105262</v>
      </c>
      <c r="BY59" s="31">
        <f t="shared" si="27"/>
        <v>19.724696356275302</v>
      </c>
      <c r="BZ59" s="31">
        <f t="shared" si="28"/>
        <v>5.8299595141700404</v>
      </c>
      <c r="CA59" s="35">
        <v>0</v>
      </c>
      <c r="CB59" s="35">
        <v>1</v>
      </c>
    </row>
    <row r="60" spans="1:80" x14ac:dyDescent="0.4">
      <c r="A60" s="12" t="s">
        <v>191</v>
      </c>
      <c r="B60" s="12" t="s">
        <v>178</v>
      </c>
      <c r="C60" s="4" t="s">
        <v>267</v>
      </c>
      <c r="D60" s="5">
        <v>4</v>
      </c>
      <c r="E60" s="22">
        <v>2</v>
      </c>
      <c r="F60" s="22">
        <v>23</v>
      </c>
      <c r="G60" s="10">
        <v>574</v>
      </c>
      <c r="H60" s="5">
        <v>0</v>
      </c>
      <c r="I60" s="17">
        <f t="shared" si="29"/>
        <v>0</v>
      </c>
      <c r="J60" s="7">
        <v>0</v>
      </c>
      <c r="K60" s="7">
        <v>0</v>
      </c>
      <c r="L60" s="17">
        <f t="shared" si="30"/>
        <v>0</v>
      </c>
      <c r="M60" s="17">
        <f t="shared" si="31"/>
        <v>0</v>
      </c>
      <c r="N60" s="33" t="e">
        <f t="shared" si="32"/>
        <v>#DIV/0!</v>
      </c>
      <c r="O60" s="12">
        <v>0</v>
      </c>
      <c r="P60" s="12">
        <v>0</v>
      </c>
      <c r="Q60" s="17">
        <f t="shared" si="33"/>
        <v>0</v>
      </c>
      <c r="R60" s="17">
        <f t="shared" si="34"/>
        <v>0</v>
      </c>
      <c r="S60" s="33" t="e">
        <f t="shared" si="35"/>
        <v>#DIV/0!</v>
      </c>
      <c r="T60" s="12">
        <v>0</v>
      </c>
      <c r="U60" s="12">
        <v>0</v>
      </c>
      <c r="V60" s="17">
        <f t="shared" si="36"/>
        <v>0</v>
      </c>
      <c r="W60" s="17">
        <f t="shared" si="37"/>
        <v>0</v>
      </c>
      <c r="X60" s="33" t="e">
        <f t="shared" si="38"/>
        <v>#DIV/0!</v>
      </c>
      <c r="Y60" s="12">
        <v>0</v>
      </c>
      <c r="Z60" s="12">
        <v>2</v>
      </c>
      <c r="AA60" s="17">
        <f t="shared" si="39"/>
        <v>0</v>
      </c>
      <c r="AB60" s="17">
        <f t="shared" si="40"/>
        <v>0.5</v>
      </c>
      <c r="AC60" s="33">
        <f t="shared" si="41"/>
        <v>0</v>
      </c>
      <c r="AD60" s="12">
        <v>3</v>
      </c>
      <c r="AE60" s="17">
        <f t="shared" si="42"/>
        <v>0.75</v>
      </c>
      <c r="AF60" s="12">
        <v>2</v>
      </c>
      <c r="AG60" s="17">
        <f t="shared" si="43"/>
        <v>0.5</v>
      </c>
      <c r="AH60" s="12">
        <v>1</v>
      </c>
      <c r="AI60" s="17">
        <f t="shared" si="44"/>
        <v>0.25</v>
      </c>
      <c r="AJ60" s="11">
        <v>0</v>
      </c>
      <c r="AK60" s="17">
        <f t="shared" si="45"/>
        <v>0</v>
      </c>
      <c r="AL60" s="12">
        <v>0</v>
      </c>
      <c r="AM60" s="17">
        <f t="shared" si="46"/>
        <v>0</v>
      </c>
      <c r="AN60" s="12">
        <v>0</v>
      </c>
      <c r="AO60" s="17">
        <f t="shared" si="47"/>
        <v>0</v>
      </c>
      <c r="AP60" s="12">
        <v>0</v>
      </c>
      <c r="AQ60" s="17">
        <f t="shared" si="48"/>
        <v>0</v>
      </c>
      <c r="AR60" s="12">
        <v>1</v>
      </c>
      <c r="AS60" s="17">
        <f t="shared" si="49"/>
        <v>0.25</v>
      </c>
      <c r="AT60" s="13">
        <v>-2.0340836337735344E-3</v>
      </c>
      <c r="AU60" s="13">
        <v>-8.5346166452036406E-3</v>
      </c>
      <c r="AV60" s="13">
        <v>-3.5250221339199052E-3</v>
      </c>
      <c r="AW60" s="13">
        <v>1.4909385001463705E-3</v>
      </c>
      <c r="AX60" s="13">
        <v>88.49974912595701</v>
      </c>
      <c r="AY60" s="13">
        <v>112.56838638788821</v>
      </c>
      <c r="AZ60" s="13">
        <v>0.14483016518696409</v>
      </c>
      <c r="BA60" s="13">
        <v>0.25</v>
      </c>
      <c r="BB60" s="13">
        <v>4.1958041958041958</v>
      </c>
      <c r="BC60" s="14">
        <v>0</v>
      </c>
      <c r="BD60" s="14"/>
      <c r="BE60" s="13">
        <v>0.32983524729397662</v>
      </c>
      <c r="BF60" s="14"/>
      <c r="BG60" s="14"/>
      <c r="BH60" s="13">
        <v>1.7835511990666082</v>
      </c>
      <c r="BI60" s="13">
        <v>0.8917755995333041</v>
      </c>
      <c r="BJ60" s="13">
        <v>1.2496810709766779</v>
      </c>
      <c r="BK60" s="13">
        <v>0</v>
      </c>
      <c r="BL60" s="13">
        <v>0</v>
      </c>
      <c r="BM60" s="13">
        <v>0</v>
      </c>
      <c r="BN60" s="13">
        <v>0</v>
      </c>
      <c r="BO60" s="15" t="s">
        <v>187</v>
      </c>
      <c r="BP60" s="15">
        <v>700000</v>
      </c>
      <c r="BQ60" s="12" t="s">
        <v>272</v>
      </c>
      <c r="BR60" s="26">
        <v>4.79</v>
      </c>
      <c r="BS60" s="27">
        <v>6.39</v>
      </c>
      <c r="BT60" s="27">
        <v>1.6</v>
      </c>
      <c r="BU60" s="26">
        <f t="shared" si="24"/>
        <v>1.1974999999999998</v>
      </c>
      <c r="BV60" s="26">
        <f t="shared" si="25"/>
        <v>1.5974999999999999</v>
      </c>
      <c r="BW60" s="26">
        <f t="shared" si="25"/>
        <v>0.4</v>
      </c>
      <c r="BX60" s="31">
        <f t="shared" si="26"/>
        <v>20.027874564459928</v>
      </c>
      <c r="BY60" s="31">
        <f t="shared" si="27"/>
        <v>26.717770034843205</v>
      </c>
      <c r="BZ60" s="31">
        <f t="shared" si="28"/>
        <v>6.6898954703832754</v>
      </c>
      <c r="CA60" s="35">
        <v>2</v>
      </c>
      <c r="CB60" s="35">
        <v>2</v>
      </c>
    </row>
    <row r="61" spans="1:80" x14ac:dyDescent="0.4">
      <c r="A61" s="12" t="s">
        <v>191</v>
      </c>
      <c r="B61" s="12" t="s">
        <v>178</v>
      </c>
      <c r="C61" s="4" t="s">
        <v>134</v>
      </c>
      <c r="D61" s="5">
        <v>40</v>
      </c>
      <c r="E61" s="22">
        <v>29</v>
      </c>
      <c r="F61" s="22">
        <v>42</v>
      </c>
      <c r="G61" s="10">
        <v>71273</v>
      </c>
      <c r="H61" s="5">
        <v>449</v>
      </c>
      <c r="I61" s="17">
        <f t="shared" si="29"/>
        <v>11.225</v>
      </c>
      <c r="J61" s="7">
        <v>156</v>
      </c>
      <c r="K61" s="7">
        <v>327</v>
      </c>
      <c r="L61" s="17">
        <f t="shared" si="30"/>
        <v>3.9</v>
      </c>
      <c r="M61" s="17">
        <f t="shared" si="31"/>
        <v>8.1750000000000007</v>
      </c>
      <c r="N61" s="33">
        <f t="shared" si="32"/>
        <v>0.47706422018348627</v>
      </c>
      <c r="O61" s="12">
        <v>71</v>
      </c>
      <c r="P61" s="12">
        <v>135</v>
      </c>
      <c r="Q61" s="17">
        <f t="shared" si="33"/>
        <v>1.7749999999999999</v>
      </c>
      <c r="R61" s="17">
        <f t="shared" si="34"/>
        <v>3.375</v>
      </c>
      <c r="S61" s="33">
        <f t="shared" si="35"/>
        <v>0.52592592592592591</v>
      </c>
      <c r="T61" s="12">
        <v>85</v>
      </c>
      <c r="U61" s="12">
        <v>192</v>
      </c>
      <c r="V61" s="17">
        <f t="shared" si="36"/>
        <v>2.125</v>
      </c>
      <c r="W61" s="17">
        <f t="shared" si="37"/>
        <v>4.8</v>
      </c>
      <c r="X61" s="33">
        <f t="shared" si="38"/>
        <v>0.44270833333333331</v>
      </c>
      <c r="Y61" s="12">
        <v>52</v>
      </c>
      <c r="Z61" s="12">
        <v>64</v>
      </c>
      <c r="AA61" s="17">
        <f t="shared" si="39"/>
        <v>1.3</v>
      </c>
      <c r="AB61" s="17">
        <f t="shared" si="40"/>
        <v>1.6</v>
      </c>
      <c r="AC61" s="33">
        <f t="shared" si="41"/>
        <v>0.8125</v>
      </c>
      <c r="AD61" s="12">
        <v>94</v>
      </c>
      <c r="AE61" s="17">
        <f t="shared" si="42"/>
        <v>2.35</v>
      </c>
      <c r="AF61" s="12">
        <v>33</v>
      </c>
      <c r="AG61" s="17">
        <f t="shared" si="43"/>
        <v>0.82499999999999996</v>
      </c>
      <c r="AH61" s="12">
        <v>61</v>
      </c>
      <c r="AI61" s="17">
        <f t="shared" si="44"/>
        <v>1.5249999999999999</v>
      </c>
      <c r="AJ61" s="11">
        <v>162</v>
      </c>
      <c r="AK61" s="17">
        <f t="shared" si="45"/>
        <v>4.05</v>
      </c>
      <c r="AL61" s="12">
        <v>38</v>
      </c>
      <c r="AM61" s="17">
        <f t="shared" si="46"/>
        <v>0.95</v>
      </c>
      <c r="AN61" s="12">
        <v>3</v>
      </c>
      <c r="AO61" s="17">
        <f t="shared" si="47"/>
        <v>7.4999999999999997E-2</v>
      </c>
      <c r="AP61" s="12">
        <v>63</v>
      </c>
      <c r="AQ61" s="17">
        <f t="shared" si="48"/>
        <v>1.575</v>
      </c>
      <c r="AR61" s="12">
        <v>84</v>
      </c>
      <c r="AS61" s="17">
        <f t="shared" si="49"/>
        <v>2.1</v>
      </c>
      <c r="AT61" s="13">
        <v>3.1428631878780355</v>
      </c>
      <c r="AU61" s="13">
        <v>0.10582030935616282</v>
      </c>
      <c r="AV61" s="13">
        <v>2.7124275562178282</v>
      </c>
      <c r="AW61" s="13">
        <v>0.43043563166020737</v>
      </c>
      <c r="AX61" s="13">
        <v>121.47698519654777</v>
      </c>
      <c r="AY61" s="13">
        <v>110.59638832020865</v>
      </c>
      <c r="AZ61" s="13">
        <v>8.0616334581327163</v>
      </c>
      <c r="BA61" s="13">
        <v>12.5</v>
      </c>
      <c r="BB61" s="13">
        <v>16.835016835016837</v>
      </c>
      <c r="BC61" s="14">
        <v>0.63210947178736343</v>
      </c>
      <c r="BD61" s="14">
        <v>0.60703363914373087</v>
      </c>
      <c r="BE61" s="13">
        <v>12.577236189042093</v>
      </c>
      <c r="BF61" s="14">
        <v>0.58715596330275233</v>
      </c>
      <c r="BG61" s="14">
        <v>0.19571865443425077</v>
      </c>
      <c r="BH61" s="13">
        <v>2.3615539024678238</v>
      </c>
      <c r="BI61" s="13">
        <v>4.3652966075920379</v>
      </c>
      <c r="BJ61" s="13">
        <v>3.1422021990401241</v>
      </c>
      <c r="BK61" s="13">
        <v>15.926854446246864</v>
      </c>
      <c r="BL61" s="13">
        <v>1.8023540456333798</v>
      </c>
      <c r="BM61" s="13">
        <v>0.20751946792008424</v>
      </c>
      <c r="BN61" s="13">
        <v>15.066003443657928</v>
      </c>
      <c r="BO61" s="15" t="s">
        <v>187</v>
      </c>
      <c r="BP61" s="15">
        <v>370000</v>
      </c>
      <c r="BQ61" s="12" t="s">
        <v>271</v>
      </c>
      <c r="BR61" s="26">
        <v>894.07</v>
      </c>
      <c r="BS61" s="27">
        <v>1158.47</v>
      </c>
      <c r="BT61" s="27">
        <v>264.39999999999998</v>
      </c>
      <c r="BU61" s="26">
        <f t="shared" si="24"/>
        <v>22.351750000000003</v>
      </c>
      <c r="BV61" s="26">
        <f t="shared" si="25"/>
        <v>28.961750000000002</v>
      </c>
      <c r="BW61" s="26">
        <f t="shared" si="25"/>
        <v>6.6099999999999994</v>
      </c>
      <c r="BX61" s="31">
        <f t="shared" si="26"/>
        <v>30.106323572741434</v>
      </c>
      <c r="BY61" s="31">
        <f t="shared" si="27"/>
        <v>39.009554810377004</v>
      </c>
      <c r="BZ61" s="31">
        <f t="shared" si="28"/>
        <v>8.9032312376355698</v>
      </c>
      <c r="CA61" s="35">
        <v>23</v>
      </c>
      <c r="CB61" s="35">
        <v>17</v>
      </c>
    </row>
    <row r="62" spans="1:80" x14ac:dyDescent="0.4">
      <c r="A62" s="12" t="s">
        <v>191</v>
      </c>
      <c r="B62" s="12" t="s">
        <v>178</v>
      </c>
      <c r="C62" s="4" t="s">
        <v>237</v>
      </c>
      <c r="D62" s="5">
        <v>6</v>
      </c>
      <c r="E62" s="22">
        <v>9</v>
      </c>
      <c r="F62" s="22">
        <v>56</v>
      </c>
      <c r="G62" s="10">
        <v>3579</v>
      </c>
      <c r="H62" s="5">
        <v>14</v>
      </c>
      <c r="I62" s="17">
        <f t="shared" si="29"/>
        <v>2.3333333333333335</v>
      </c>
      <c r="J62" s="7">
        <v>5</v>
      </c>
      <c r="K62" s="7">
        <v>17</v>
      </c>
      <c r="L62" s="17">
        <f t="shared" si="30"/>
        <v>0.83333333333333337</v>
      </c>
      <c r="M62" s="17">
        <f t="shared" si="31"/>
        <v>2.8333333333333335</v>
      </c>
      <c r="N62" s="33">
        <f t="shared" si="32"/>
        <v>0.29411764705882354</v>
      </c>
      <c r="O62" s="12">
        <v>4</v>
      </c>
      <c r="P62" s="12">
        <v>7</v>
      </c>
      <c r="Q62" s="17">
        <f t="shared" si="33"/>
        <v>0.66666666666666663</v>
      </c>
      <c r="R62" s="17">
        <f t="shared" si="34"/>
        <v>1.1666666666666667</v>
      </c>
      <c r="S62" s="33">
        <f t="shared" si="35"/>
        <v>0.5714285714285714</v>
      </c>
      <c r="T62" s="12">
        <v>1</v>
      </c>
      <c r="U62" s="12">
        <v>10</v>
      </c>
      <c r="V62" s="17">
        <f t="shared" si="36"/>
        <v>0.16666666666666666</v>
      </c>
      <c r="W62" s="17">
        <f t="shared" si="37"/>
        <v>1.6666666666666667</v>
      </c>
      <c r="X62" s="33">
        <f t="shared" si="38"/>
        <v>0.1</v>
      </c>
      <c r="Y62" s="12">
        <v>3</v>
      </c>
      <c r="Z62" s="12">
        <v>10</v>
      </c>
      <c r="AA62" s="17">
        <f t="shared" si="39"/>
        <v>0.5</v>
      </c>
      <c r="AB62" s="17">
        <f t="shared" si="40"/>
        <v>1.6666666666666667</v>
      </c>
      <c r="AC62" s="33">
        <f t="shared" si="41"/>
        <v>0.3</v>
      </c>
      <c r="AD62" s="12">
        <v>8</v>
      </c>
      <c r="AE62" s="17">
        <f t="shared" si="42"/>
        <v>1.3333333333333333</v>
      </c>
      <c r="AF62" s="12">
        <v>1</v>
      </c>
      <c r="AG62" s="17">
        <f t="shared" si="43"/>
        <v>0.16666666666666666</v>
      </c>
      <c r="AH62" s="12">
        <v>7</v>
      </c>
      <c r="AI62" s="17">
        <f t="shared" si="44"/>
        <v>1.1666666666666667</v>
      </c>
      <c r="AJ62" s="11">
        <v>2</v>
      </c>
      <c r="AK62" s="17">
        <f t="shared" si="45"/>
        <v>0.33333333333333331</v>
      </c>
      <c r="AL62" s="12">
        <v>1</v>
      </c>
      <c r="AM62" s="17">
        <f t="shared" si="46"/>
        <v>0.16666666666666666</v>
      </c>
      <c r="AN62" s="12">
        <v>2</v>
      </c>
      <c r="AO62" s="17">
        <f t="shared" si="47"/>
        <v>0.33333333333333331</v>
      </c>
      <c r="AP62" s="12">
        <v>1</v>
      </c>
      <c r="AQ62" s="17">
        <f t="shared" si="48"/>
        <v>0.16666666666666666</v>
      </c>
      <c r="AR62" s="12">
        <v>9</v>
      </c>
      <c r="AS62" s="17">
        <f t="shared" si="49"/>
        <v>1.5</v>
      </c>
      <c r="AT62" s="13">
        <v>-8.9735366702243829E-2</v>
      </c>
      <c r="AU62" s="13">
        <v>-6.0225078323653577E-2</v>
      </c>
      <c r="AV62" s="13">
        <v>-0.12961482697815468</v>
      </c>
      <c r="AW62" s="13">
        <v>3.9879460275910862E-2</v>
      </c>
      <c r="AX62" s="13">
        <v>73.359955410710612</v>
      </c>
      <c r="AY62" s="13">
        <v>107.65842651975056</v>
      </c>
      <c r="AZ62" s="13">
        <v>1.9501274016378845E-2</v>
      </c>
      <c r="BA62" s="13">
        <v>1.1666666666666667</v>
      </c>
      <c r="BB62" s="13">
        <v>4.6979865771812079</v>
      </c>
      <c r="BC62" s="14">
        <v>0.32710280373831779</v>
      </c>
      <c r="BD62" s="14">
        <v>0.3235294117647059</v>
      </c>
      <c r="BE62" s="13">
        <v>2.0144300338088508</v>
      </c>
      <c r="BF62" s="14">
        <v>0.58823529411764708</v>
      </c>
      <c r="BG62" s="14">
        <v>0.58823529411764708</v>
      </c>
      <c r="BH62" s="13">
        <v>0.21396629317661492</v>
      </c>
      <c r="BI62" s="13">
        <v>1.4977640522363045</v>
      </c>
      <c r="BJ62" s="13">
        <v>0.79957222885756118</v>
      </c>
      <c r="BK62" s="13">
        <v>0.51630668617158593</v>
      </c>
      <c r="BL62" s="13">
        <v>0.94542414615526993</v>
      </c>
      <c r="BM62" s="13">
        <v>0.41364618773332229</v>
      </c>
      <c r="BN62" s="13">
        <v>4.4642857142857144</v>
      </c>
      <c r="BO62" s="15" t="s">
        <v>187</v>
      </c>
      <c r="BP62" s="15">
        <v>85000</v>
      </c>
      <c r="BQ62" s="12" t="s">
        <v>271</v>
      </c>
      <c r="BR62" s="26">
        <v>25.21</v>
      </c>
      <c r="BS62" s="27">
        <v>43.41</v>
      </c>
      <c r="BT62" s="27">
        <v>18.2</v>
      </c>
      <c r="BU62" s="26">
        <f t="shared" si="24"/>
        <v>4.2016666666666662</v>
      </c>
      <c r="BV62" s="26">
        <f t="shared" si="25"/>
        <v>7.2349999999999994</v>
      </c>
      <c r="BW62" s="26">
        <f t="shared" si="25"/>
        <v>3.0333333333333332</v>
      </c>
      <c r="BX62" s="31">
        <f t="shared" si="26"/>
        <v>16.905280804694044</v>
      </c>
      <c r="BY62" s="31">
        <f t="shared" si="27"/>
        <v>29.109807208717516</v>
      </c>
      <c r="BZ62" s="31">
        <f t="shared" si="28"/>
        <v>12.20452640402347</v>
      </c>
      <c r="CA62" s="34">
        <v>4</v>
      </c>
      <c r="CB62" s="34">
        <v>2</v>
      </c>
    </row>
    <row r="63" spans="1:80" x14ac:dyDescent="0.4">
      <c r="A63" s="12" t="s">
        <v>191</v>
      </c>
      <c r="B63" s="12" t="s">
        <v>178</v>
      </c>
      <c r="C63" s="4" t="s">
        <v>146</v>
      </c>
      <c r="D63" s="5">
        <v>23</v>
      </c>
      <c r="E63" s="22">
        <v>8</v>
      </c>
      <c r="F63" s="22">
        <v>55</v>
      </c>
      <c r="G63" s="10">
        <v>12300</v>
      </c>
      <c r="H63" s="5">
        <v>23</v>
      </c>
      <c r="I63" s="17">
        <f t="shared" si="29"/>
        <v>1</v>
      </c>
      <c r="J63" s="7">
        <v>7</v>
      </c>
      <c r="K63" s="7">
        <v>25</v>
      </c>
      <c r="L63" s="17">
        <f t="shared" si="30"/>
        <v>0.30434782608695654</v>
      </c>
      <c r="M63" s="17">
        <f t="shared" si="31"/>
        <v>1.0869565217391304</v>
      </c>
      <c r="N63" s="33">
        <f t="shared" si="32"/>
        <v>0.28000000000000003</v>
      </c>
      <c r="O63" s="12">
        <v>4</v>
      </c>
      <c r="P63" s="12">
        <v>7</v>
      </c>
      <c r="Q63" s="17">
        <f t="shared" si="33"/>
        <v>0.17391304347826086</v>
      </c>
      <c r="R63" s="17">
        <f t="shared" si="34"/>
        <v>0.30434782608695654</v>
      </c>
      <c r="S63" s="33">
        <f t="shared" si="35"/>
        <v>0.5714285714285714</v>
      </c>
      <c r="T63" s="12">
        <v>3</v>
      </c>
      <c r="U63" s="12">
        <v>18</v>
      </c>
      <c r="V63" s="17">
        <f t="shared" si="36"/>
        <v>0.13043478260869565</v>
      </c>
      <c r="W63" s="17">
        <f t="shared" si="37"/>
        <v>0.78260869565217395</v>
      </c>
      <c r="X63" s="33">
        <f t="shared" si="38"/>
        <v>0.16666666666666666</v>
      </c>
      <c r="Y63" s="12">
        <v>6</v>
      </c>
      <c r="Z63" s="12">
        <v>6</v>
      </c>
      <c r="AA63" s="17">
        <f t="shared" si="39"/>
        <v>0.2608695652173913</v>
      </c>
      <c r="AB63" s="17">
        <f t="shared" si="40"/>
        <v>0.2608695652173913</v>
      </c>
      <c r="AC63" s="33">
        <f t="shared" si="41"/>
        <v>1</v>
      </c>
      <c r="AD63" s="12">
        <v>29</v>
      </c>
      <c r="AE63" s="17">
        <f t="shared" si="42"/>
        <v>1.2608695652173914</v>
      </c>
      <c r="AF63" s="12">
        <v>9</v>
      </c>
      <c r="AG63" s="17">
        <f t="shared" si="43"/>
        <v>0.39130434782608697</v>
      </c>
      <c r="AH63" s="12">
        <v>20</v>
      </c>
      <c r="AI63" s="17">
        <f t="shared" si="44"/>
        <v>0.86956521739130432</v>
      </c>
      <c r="AJ63" s="11">
        <v>4</v>
      </c>
      <c r="AK63" s="17">
        <f t="shared" si="45"/>
        <v>0.17391304347826086</v>
      </c>
      <c r="AL63" s="12">
        <v>7</v>
      </c>
      <c r="AM63" s="17">
        <f t="shared" si="46"/>
        <v>0.30434782608695654</v>
      </c>
      <c r="AN63" s="12">
        <v>2</v>
      </c>
      <c r="AO63" s="17">
        <f t="shared" si="47"/>
        <v>8.6956521739130432E-2</v>
      </c>
      <c r="AP63" s="12">
        <v>3</v>
      </c>
      <c r="AQ63" s="17">
        <f t="shared" si="48"/>
        <v>0.13043478260869565</v>
      </c>
      <c r="AR63" s="12">
        <v>21</v>
      </c>
      <c r="AS63" s="17">
        <f t="shared" si="49"/>
        <v>0.91304347826086951</v>
      </c>
      <c r="AT63" s="13">
        <v>0.14307427833595404</v>
      </c>
      <c r="AU63" s="13">
        <v>2.7905588623022323E-2</v>
      </c>
      <c r="AV63" s="13">
        <v>9.8566611413667821E-3</v>
      </c>
      <c r="AW63" s="13">
        <v>0.13321761719458727</v>
      </c>
      <c r="AX63" s="13">
        <v>98.376819389512917</v>
      </c>
      <c r="AY63" s="13">
        <v>107.84554970891921</v>
      </c>
      <c r="AZ63" s="13">
        <v>1.2034692829790947</v>
      </c>
      <c r="BA63" s="13">
        <v>1.9130434782608696</v>
      </c>
      <c r="BB63" s="13">
        <v>8.5818772856562369</v>
      </c>
      <c r="BC63" s="14">
        <v>0.41606367583212733</v>
      </c>
      <c r="BD63" s="14">
        <v>0.34</v>
      </c>
      <c r="BE63" s="13">
        <v>3.0696256005172144</v>
      </c>
      <c r="BF63" s="14">
        <v>0.72</v>
      </c>
      <c r="BG63" s="14">
        <v>0.24</v>
      </c>
      <c r="BH63" s="13">
        <v>2.1452620497184345</v>
      </c>
      <c r="BI63" s="13">
        <v>4.7672489993742992</v>
      </c>
      <c r="BJ63" s="13">
        <v>3.2289267298070299</v>
      </c>
      <c r="BK63" s="13">
        <v>1.1587205793602895</v>
      </c>
      <c r="BL63" s="13">
        <v>1.9232716153237481</v>
      </c>
      <c r="BM63" s="13">
        <v>0.46080958483936463</v>
      </c>
      <c r="BN63" s="13">
        <v>9.7911227154046987</v>
      </c>
      <c r="BO63" s="15" t="s">
        <v>187</v>
      </c>
      <c r="BP63" s="15"/>
      <c r="BQ63" s="12" t="s">
        <v>271</v>
      </c>
      <c r="BR63" s="26">
        <v>106.25</v>
      </c>
      <c r="BS63" s="27">
        <v>127.25</v>
      </c>
      <c r="BT63" s="27">
        <v>21</v>
      </c>
      <c r="BU63" s="26">
        <f t="shared" si="24"/>
        <v>4.6195652173913047</v>
      </c>
      <c r="BV63" s="26">
        <f t="shared" si="25"/>
        <v>5.5326086956521738</v>
      </c>
      <c r="BW63" s="26">
        <f t="shared" si="25"/>
        <v>0.91304347826086951</v>
      </c>
      <c r="BX63" s="31">
        <f t="shared" si="26"/>
        <v>20.73170731707317</v>
      </c>
      <c r="BY63" s="31">
        <f t="shared" si="27"/>
        <v>24.829268292682926</v>
      </c>
      <c r="BZ63" s="31">
        <f t="shared" si="28"/>
        <v>4.0975609756097562</v>
      </c>
      <c r="CA63" s="35">
        <v>11</v>
      </c>
      <c r="CB63" s="35">
        <v>12</v>
      </c>
    </row>
    <row r="64" spans="1:80" x14ac:dyDescent="0.4">
      <c r="A64" s="12" t="s">
        <v>191</v>
      </c>
      <c r="B64" s="12" t="s">
        <v>178</v>
      </c>
      <c r="C64" s="9" t="s">
        <v>58</v>
      </c>
      <c r="D64" s="5">
        <v>51</v>
      </c>
      <c r="E64" s="22">
        <v>17</v>
      </c>
      <c r="F64" s="22">
        <v>50</v>
      </c>
      <c r="G64" s="10">
        <v>54595</v>
      </c>
      <c r="H64" s="5">
        <v>268</v>
      </c>
      <c r="I64" s="17">
        <f t="shared" si="29"/>
        <v>5.2549019607843137</v>
      </c>
      <c r="J64" s="7">
        <v>95</v>
      </c>
      <c r="K64" s="7">
        <v>221</v>
      </c>
      <c r="L64" s="17">
        <f t="shared" si="30"/>
        <v>1.8627450980392157</v>
      </c>
      <c r="M64" s="17">
        <f t="shared" si="31"/>
        <v>4.333333333333333</v>
      </c>
      <c r="N64" s="33">
        <f t="shared" si="32"/>
        <v>0.42986425339366519</v>
      </c>
      <c r="O64" s="12">
        <v>50</v>
      </c>
      <c r="P64" s="12">
        <v>89</v>
      </c>
      <c r="Q64" s="17">
        <f t="shared" si="33"/>
        <v>0.98039215686274506</v>
      </c>
      <c r="R64" s="17">
        <f t="shared" si="34"/>
        <v>1.7450980392156863</v>
      </c>
      <c r="S64" s="33">
        <f t="shared" si="35"/>
        <v>0.5617977528089888</v>
      </c>
      <c r="T64" s="12">
        <v>45</v>
      </c>
      <c r="U64" s="12">
        <v>132</v>
      </c>
      <c r="V64" s="17">
        <f t="shared" si="36"/>
        <v>0.88235294117647056</v>
      </c>
      <c r="W64" s="17">
        <f t="shared" si="37"/>
        <v>2.5882352941176472</v>
      </c>
      <c r="X64" s="33">
        <f t="shared" si="38"/>
        <v>0.34090909090909088</v>
      </c>
      <c r="Y64" s="12">
        <v>33</v>
      </c>
      <c r="Z64" s="12">
        <v>44</v>
      </c>
      <c r="AA64" s="17">
        <f t="shared" si="39"/>
        <v>0.6470588235294118</v>
      </c>
      <c r="AB64" s="17">
        <f t="shared" si="40"/>
        <v>0.86274509803921573</v>
      </c>
      <c r="AC64" s="33">
        <f t="shared" si="41"/>
        <v>0.75</v>
      </c>
      <c r="AD64" s="12">
        <v>153</v>
      </c>
      <c r="AE64" s="17">
        <f t="shared" si="42"/>
        <v>3</v>
      </c>
      <c r="AF64" s="12">
        <v>40</v>
      </c>
      <c r="AG64" s="17">
        <f t="shared" si="43"/>
        <v>0.78431372549019607</v>
      </c>
      <c r="AH64" s="12">
        <v>113</v>
      </c>
      <c r="AI64" s="17">
        <f t="shared" si="44"/>
        <v>2.215686274509804</v>
      </c>
      <c r="AJ64" s="11">
        <v>31</v>
      </c>
      <c r="AK64" s="17">
        <f t="shared" si="45"/>
        <v>0.60784313725490191</v>
      </c>
      <c r="AL64" s="12">
        <v>20</v>
      </c>
      <c r="AM64" s="17">
        <f t="shared" si="46"/>
        <v>0.39215686274509803</v>
      </c>
      <c r="AN64" s="12">
        <v>9</v>
      </c>
      <c r="AO64" s="17">
        <f t="shared" si="47"/>
        <v>0.17647058823529413</v>
      </c>
      <c r="AP64" s="12">
        <v>24</v>
      </c>
      <c r="AQ64" s="17">
        <f t="shared" si="48"/>
        <v>0.47058823529411764</v>
      </c>
      <c r="AR64" s="12">
        <v>85</v>
      </c>
      <c r="AS64" s="17">
        <f t="shared" si="49"/>
        <v>1.6666666666666667</v>
      </c>
      <c r="AT64" s="13">
        <v>1.5413111477772736</v>
      </c>
      <c r="AU64" s="13">
        <v>6.7787186268379263E-2</v>
      </c>
      <c r="AV64" s="13">
        <v>0.99626012483341386</v>
      </c>
      <c r="AW64" s="13">
        <v>0.54505102294385976</v>
      </c>
      <c r="AX64" s="13">
        <v>112.28904493175679</v>
      </c>
      <c r="AY64" s="13">
        <v>108.32715052008923</v>
      </c>
      <c r="AZ64" s="13">
        <v>6.8300162774265818</v>
      </c>
      <c r="BA64" s="13">
        <v>6.2745098039215685</v>
      </c>
      <c r="BB64" s="13">
        <v>14.073666849917537</v>
      </c>
      <c r="BC64" s="14">
        <v>0.55749708770178064</v>
      </c>
      <c r="BD64" s="14">
        <v>0.53167420814479638</v>
      </c>
      <c r="BE64" s="13">
        <v>13.24226866437224</v>
      </c>
      <c r="BF64" s="14">
        <v>0.59728506787330315</v>
      </c>
      <c r="BG64" s="14">
        <v>0.19909502262443438</v>
      </c>
      <c r="BH64" s="13">
        <v>4.7672489993742992</v>
      </c>
      <c r="BI64" s="13">
        <v>13.467478423232393</v>
      </c>
      <c r="BJ64" s="13">
        <v>8.5176860286288889</v>
      </c>
      <c r="BK64" s="13">
        <v>5.0868316696294267</v>
      </c>
      <c r="BL64" s="13">
        <v>1.2390825532898095</v>
      </c>
      <c r="BM64" s="13">
        <v>1.0368215658885704</v>
      </c>
      <c r="BN64" s="13">
        <v>9.0785292782569211</v>
      </c>
      <c r="BO64" s="15" t="s">
        <v>187</v>
      </c>
      <c r="BP64" s="15">
        <v>130000</v>
      </c>
      <c r="BQ64" s="12" t="s">
        <v>273</v>
      </c>
      <c r="BR64" s="26">
        <v>604.38</v>
      </c>
      <c r="BS64" s="27">
        <v>766.48</v>
      </c>
      <c r="BT64" s="27">
        <v>162.1</v>
      </c>
      <c r="BU64" s="26">
        <f t="shared" si="24"/>
        <v>11.850588235294119</v>
      </c>
      <c r="BV64" s="26">
        <f t="shared" si="25"/>
        <v>15.029019607843138</v>
      </c>
      <c r="BW64" s="26">
        <f t="shared" si="25"/>
        <v>3.1784313725490194</v>
      </c>
      <c r="BX64" s="31">
        <f t="shared" si="26"/>
        <v>26.568586866929206</v>
      </c>
      <c r="BY64" s="31">
        <f t="shared" si="27"/>
        <v>33.694514149647404</v>
      </c>
      <c r="BZ64" s="31">
        <f t="shared" si="28"/>
        <v>7.1259272827181972</v>
      </c>
      <c r="CA64" s="35">
        <v>30</v>
      </c>
      <c r="CB64" s="35">
        <v>21</v>
      </c>
    </row>
    <row r="65" spans="1:80" x14ac:dyDescent="0.4">
      <c r="A65" s="12" t="s">
        <v>191</v>
      </c>
      <c r="B65" s="12" t="s">
        <v>178</v>
      </c>
      <c r="C65" s="4" t="s">
        <v>167</v>
      </c>
      <c r="D65" s="32">
        <v>49</v>
      </c>
      <c r="E65" s="24">
        <v>9</v>
      </c>
      <c r="F65" s="24">
        <v>37</v>
      </c>
      <c r="G65" s="10">
        <v>28285</v>
      </c>
      <c r="H65" s="5">
        <v>163</v>
      </c>
      <c r="I65" s="17">
        <f t="shared" si="29"/>
        <v>3.3265306122448979</v>
      </c>
      <c r="J65" s="7">
        <v>69</v>
      </c>
      <c r="K65" s="7">
        <v>162</v>
      </c>
      <c r="L65" s="17">
        <f t="shared" si="30"/>
        <v>1.4081632653061225</v>
      </c>
      <c r="M65" s="17">
        <f t="shared" si="31"/>
        <v>3.306122448979592</v>
      </c>
      <c r="N65" s="33">
        <f t="shared" si="32"/>
        <v>0.42592592592592593</v>
      </c>
      <c r="O65" s="12">
        <v>58</v>
      </c>
      <c r="P65" s="12">
        <v>118</v>
      </c>
      <c r="Q65" s="17">
        <f t="shared" si="33"/>
        <v>1.1836734693877551</v>
      </c>
      <c r="R65" s="17">
        <f t="shared" si="34"/>
        <v>2.4081632653061225</v>
      </c>
      <c r="S65" s="33">
        <f t="shared" si="35"/>
        <v>0.49152542372881358</v>
      </c>
      <c r="T65" s="12">
        <v>11</v>
      </c>
      <c r="U65" s="12">
        <v>44</v>
      </c>
      <c r="V65" s="17">
        <f t="shared" si="36"/>
        <v>0.22448979591836735</v>
      </c>
      <c r="W65" s="17">
        <f t="shared" si="37"/>
        <v>0.89795918367346939</v>
      </c>
      <c r="X65" s="33">
        <f t="shared" si="38"/>
        <v>0.25</v>
      </c>
      <c r="Y65" s="12">
        <v>14</v>
      </c>
      <c r="Z65" s="12">
        <v>24</v>
      </c>
      <c r="AA65" s="17">
        <f t="shared" si="39"/>
        <v>0.2857142857142857</v>
      </c>
      <c r="AB65" s="17">
        <f t="shared" si="40"/>
        <v>0.48979591836734693</v>
      </c>
      <c r="AC65" s="33">
        <f t="shared" si="41"/>
        <v>0.58333333333333337</v>
      </c>
      <c r="AD65" s="12">
        <v>146</v>
      </c>
      <c r="AE65" s="17">
        <f t="shared" si="42"/>
        <v>2.9795918367346941</v>
      </c>
      <c r="AF65" s="12">
        <v>21</v>
      </c>
      <c r="AG65" s="17">
        <f t="shared" si="43"/>
        <v>0.42857142857142855</v>
      </c>
      <c r="AH65" s="12">
        <v>125</v>
      </c>
      <c r="AI65" s="17">
        <f t="shared" si="44"/>
        <v>2.5510204081632653</v>
      </c>
      <c r="AJ65" s="11">
        <v>74</v>
      </c>
      <c r="AK65" s="17">
        <f t="shared" si="45"/>
        <v>1.510204081632653</v>
      </c>
      <c r="AL65" s="12">
        <v>22</v>
      </c>
      <c r="AM65" s="17">
        <f t="shared" si="46"/>
        <v>0.44897959183673469</v>
      </c>
      <c r="AN65" s="12">
        <v>2</v>
      </c>
      <c r="AO65" s="17">
        <f t="shared" si="47"/>
        <v>4.0816326530612242E-2</v>
      </c>
      <c r="AP65" s="12">
        <v>30</v>
      </c>
      <c r="AQ65" s="17">
        <f t="shared" si="48"/>
        <v>0.61224489795918369</v>
      </c>
      <c r="AR65" s="12">
        <v>67</v>
      </c>
      <c r="AS65" s="17">
        <f t="shared" si="49"/>
        <v>1.3673469387755102</v>
      </c>
      <c r="AT65" s="13">
        <v>0.9001974967900418</v>
      </c>
      <c r="AU65" s="13">
        <v>7.6414741707498332E-2</v>
      </c>
      <c r="AV65" s="13">
        <v>0.17930371181253593</v>
      </c>
      <c r="AW65" s="13">
        <v>0.72089378497750589</v>
      </c>
      <c r="AX65" s="13">
        <v>100.43243545329186</v>
      </c>
      <c r="AY65" s="13">
        <v>99.415845348518062</v>
      </c>
      <c r="AZ65" s="13">
        <v>9.1248580515142805</v>
      </c>
      <c r="BA65" s="13">
        <v>5.591836734693878</v>
      </c>
      <c r="BB65" s="13">
        <v>23.258939624376612</v>
      </c>
      <c r="BC65" s="14">
        <v>0.47229949003245247</v>
      </c>
      <c r="BD65" s="14">
        <v>0.45987654320987653</v>
      </c>
      <c r="BE65" s="13">
        <v>18.816043327432471</v>
      </c>
      <c r="BF65" s="14">
        <v>0.27160493827160492</v>
      </c>
      <c r="BG65" s="14">
        <v>0.14814814814814814</v>
      </c>
      <c r="BH65" s="13">
        <v>4.6412515171551334</v>
      </c>
      <c r="BI65" s="13">
        <v>27.626497125923414</v>
      </c>
      <c r="BJ65" s="13">
        <v>15.072698671202241</v>
      </c>
      <c r="BK65" s="13">
        <v>23.805055893627856</v>
      </c>
      <c r="BL65" s="13">
        <v>2.6307221881769678</v>
      </c>
      <c r="BM65" s="13">
        <v>0.42726711939178519</v>
      </c>
      <c r="BN65" s="13">
        <v>14.810426540284361</v>
      </c>
      <c r="BO65" s="15" t="s">
        <v>190</v>
      </c>
      <c r="BP65" s="15">
        <v>28311</v>
      </c>
      <c r="BQ65" s="12" t="s">
        <v>272</v>
      </c>
      <c r="BR65" s="26">
        <v>437.15</v>
      </c>
      <c r="BS65" s="27">
        <v>579.85</v>
      </c>
      <c r="BT65" s="27">
        <v>142.69999999999999</v>
      </c>
      <c r="BU65" s="26">
        <f t="shared" si="24"/>
        <v>8.9214285714285726</v>
      </c>
      <c r="BV65" s="26">
        <f t="shared" si="25"/>
        <v>11.833673469387756</v>
      </c>
      <c r="BW65" s="26">
        <f t="shared" si="25"/>
        <v>2.9122448979591833</v>
      </c>
      <c r="BX65" s="31">
        <f t="shared" si="26"/>
        <v>37.092451829591653</v>
      </c>
      <c r="BY65" s="31">
        <f t="shared" si="27"/>
        <v>49.200636379706559</v>
      </c>
      <c r="BZ65" s="31">
        <f t="shared" si="28"/>
        <v>12.108184550114903</v>
      </c>
      <c r="CA65" s="34">
        <v>28</v>
      </c>
      <c r="CB65" s="34">
        <v>21</v>
      </c>
    </row>
    <row r="66" spans="1:80" x14ac:dyDescent="0.4">
      <c r="A66" s="12" t="s">
        <v>191</v>
      </c>
      <c r="B66" s="12" t="s">
        <v>178</v>
      </c>
      <c r="C66" s="4" t="s">
        <v>59</v>
      </c>
      <c r="D66" s="5">
        <v>5</v>
      </c>
      <c r="E66" s="22">
        <v>9</v>
      </c>
      <c r="F66" s="22">
        <v>49</v>
      </c>
      <c r="G66" s="10">
        <v>2944</v>
      </c>
      <c r="H66" s="5">
        <v>18</v>
      </c>
      <c r="I66" s="17">
        <f t="shared" ref="I66:I97" si="50">H66/$D66</f>
        <v>3.6</v>
      </c>
      <c r="J66" s="7">
        <v>6</v>
      </c>
      <c r="K66" s="7">
        <v>14</v>
      </c>
      <c r="L66" s="17">
        <f t="shared" ref="L66:L97" si="51">J66/$D66</f>
        <v>1.2</v>
      </c>
      <c r="M66" s="17">
        <f t="shared" ref="M66:M97" si="52">K66/$D66</f>
        <v>2.8</v>
      </c>
      <c r="N66" s="33">
        <f t="shared" ref="N66:N97" si="53">J66/K66</f>
        <v>0.42857142857142855</v>
      </c>
      <c r="O66" s="12">
        <v>3</v>
      </c>
      <c r="P66" s="12">
        <v>7</v>
      </c>
      <c r="Q66" s="17">
        <f t="shared" ref="Q66:Q97" si="54">O66/$D66</f>
        <v>0.6</v>
      </c>
      <c r="R66" s="17">
        <f t="shared" ref="R66:R97" si="55">P66/$D66</f>
        <v>1.4</v>
      </c>
      <c r="S66" s="33">
        <f t="shared" ref="S66:S97" si="56">O66/P66</f>
        <v>0.42857142857142855</v>
      </c>
      <c r="T66" s="12">
        <v>3</v>
      </c>
      <c r="U66" s="12">
        <v>7</v>
      </c>
      <c r="V66" s="17">
        <f t="shared" ref="V66:V97" si="57">T66/$D66</f>
        <v>0.6</v>
      </c>
      <c r="W66" s="17">
        <f t="shared" ref="W66:W97" si="58">U66/$D66</f>
        <v>1.4</v>
      </c>
      <c r="X66" s="33">
        <f t="shared" ref="X66:X97" si="59">T66/U66</f>
        <v>0.42857142857142855</v>
      </c>
      <c r="Y66" s="12">
        <v>3</v>
      </c>
      <c r="Z66" s="12">
        <v>4</v>
      </c>
      <c r="AA66" s="17">
        <f t="shared" ref="AA66:AA97" si="60">Y66/$D66</f>
        <v>0.6</v>
      </c>
      <c r="AB66" s="17">
        <f t="shared" ref="AB66:AB97" si="61">Z66/$D66</f>
        <v>0.8</v>
      </c>
      <c r="AC66" s="33">
        <f t="shared" ref="AC66:AC97" si="62">Y66/Z66</f>
        <v>0.75</v>
      </c>
      <c r="AD66" s="12">
        <v>3</v>
      </c>
      <c r="AE66" s="17">
        <f t="shared" ref="AE66:AE97" si="63">AD66/$D66</f>
        <v>0.6</v>
      </c>
      <c r="AF66" s="12">
        <v>1</v>
      </c>
      <c r="AG66" s="17">
        <f t="shared" ref="AG66:AG97" si="64">AF66/$D66</f>
        <v>0.2</v>
      </c>
      <c r="AH66" s="12">
        <v>2</v>
      </c>
      <c r="AI66" s="17">
        <f t="shared" ref="AI66:AI97" si="65">AH66/$D66</f>
        <v>0.4</v>
      </c>
      <c r="AJ66" s="11">
        <v>1</v>
      </c>
      <c r="AK66" s="17">
        <f t="shared" ref="AK66:AK97" si="66">AJ66/$D66</f>
        <v>0.2</v>
      </c>
      <c r="AL66" s="12">
        <v>1</v>
      </c>
      <c r="AM66" s="17">
        <f t="shared" ref="AM66:AM97" si="67">AL66/$D66</f>
        <v>0.2</v>
      </c>
      <c r="AN66" s="12">
        <v>1</v>
      </c>
      <c r="AO66" s="17">
        <f t="shared" ref="AO66:AO97" si="68">AN66/$D66</f>
        <v>0.2</v>
      </c>
      <c r="AP66" s="12">
        <v>0</v>
      </c>
      <c r="AQ66" s="17">
        <f t="shared" ref="AQ66:AQ97" si="69">AP66/$D66</f>
        <v>0</v>
      </c>
      <c r="AR66" s="12">
        <v>6</v>
      </c>
      <c r="AS66" s="17">
        <f t="shared" ref="AS66:AS97" si="70">AR66/$D66</f>
        <v>1.2</v>
      </c>
      <c r="AT66" s="13">
        <v>0.10912824520874381</v>
      </c>
      <c r="AU66" s="13">
        <v>8.8933035144646913E-2</v>
      </c>
      <c r="AV66" s="13">
        <v>9.4924660448112153E-2</v>
      </c>
      <c r="AW66" s="13">
        <v>1.4203584760631658E-2</v>
      </c>
      <c r="AX66" s="13">
        <v>123.2148955281793</v>
      </c>
      <c r="AY66" s="13">
        <v>111.29490000306245</v>
      </c>
      <c r="AZ66" s="13">
        <v>0.67865018198434823</v>
      </c>
      <c r="BA66" s="13">
        <v>3</v>
      </c>
      <c r="BB66" s="13">
        <v>12.224108658743633</v>
      </c>
      <c r="BC66" s="14">
        <v>0.57106598984771573</v>
      </c>
      <c r="BD66" s="14">
        <v>0.5357142857142857</v>
      </c>
      <c r="BE66" s="13">
        <v>1.4341393350082754</v>
      </c>
      <c r="BF66" s="14">
        <v>0.5</v>
      </c>
      <c r="BG66" s="14">
        <v>0.2857142857142857</v>
      </c>
      <c r="BH66" s="13">
        <v>0.21650918630435056</v>
      </c>
      <c r="BI66" s="13">
        <v>0.43301837260870113</v>
      </c>
      <c r="BJ66" s="13">
        <v>0.30340304439671467</v>
      </c>
      <c r="BK66" s="13">
        <v>0.26194582087271617</v>
      </c>
      <c r="BL66" s="13">
        <v>1.1479921041260595</v>
      </c>
      <c r="BM66" s="13">
        <v>0.20928109328443131</v>
      </c>
      <c r="BN66" s="13">
        <v>0</v>
      </c>
      <c r="BO66" s="15" t="s">
        <v>187</v>
      </c>
      <c r="BP66" s="15">
        <v>550000</v>
      </c>
      <c r="BQ66" s="12" t="s">
        <v>271</v>
      </c>
      <c r="BR66" s="26">
        <v>28.87</v>
      </c>
      <c r="BS66" s="27">
        <v>37.270000000000003</v>
      </c>
      <c r="BT66" s="27">
        <v>8.4</v>
      </c>
      <c r="BU66" s="26">
        <f t="shared" si="24"/>
        <v>5.7740000000000009</v>
      </c>
      <c r="BV66" s="26">
        <f t="shared" si="25"/>
        <v>7.4540000000000006</v>
      </c>
      <c r="BW66" s="26">
        <f t="shared" si="25"/>
        <v>1.6800000000000002</v>
      </c>
      <c r="BX66" s="31">
        <f t="shared" si="26"/>
        <v>23.53532608695653</v>
      </c>
      <c r="BY66" s="31">
        <f t="shared" si="27"/>
        <v>30.38315217391305</v>
      </c>
      <c r="BZ66" s="31">
        <f t="shared" si="28"/>
        <v>6.8478260869565215</v>
      </c>
      <c r="CA66" s="34">
        <v>4</v>
      </c>
      <c r="CB66" s="34">
        <v>1</v>
      </c>
    </row>
    <row r="67" spans="1:80" x14ac:dyDescent="0.4">
      <c r="A67" s="12" t="s">
        <v>191</v>
      </c>
      <c r="B67" s="12" t="s">
        <v>178</v>
      </c>
      <c r="C67" s="4" t="s">
        <v>233</v>
      </c>
      <c r="D67" s="5">
        <v>26</v>
      </c>
      <c r="E67" s="22">
        <v>8</v>
      </c>
      <c r="F67" s="22">
        <v>10</v>
      </c>
      <c r="G67" s="10">
        <v>12730</v>
      </c>
      <c r="H67" s="5">
        <v>45</v>
      </c>
      <c r="I67" s="17">
        <f t="shared" si="50"/>
        <v>1.7307692307692308</v>
      </c>
      <c r="J67" s="7">
        <v>15</v>
      </c>
      <c r="K67" s="7">
        <v>45</v>
      </c>
      <c r="L67" s="17">
        <f t="shared" si="51"/>
        <v>0.57692307692307687</v>
      </c>
      <c r="M67" s="17">
        <f t="shared" si="52"/>
        <v>1.7307692307692308</v>
      </c>
      <c r="N67" s="33">
        <f t="shared" si="53"/>
        <v>0.33333333333333331</v>
      </c>
      <c r="O67" s="12">
        <v>7</v>
      </c>
      <c r="P67" s="12">
        <v>21</v>
      </c>
      <c r="Q67" s="17">
        <f t="shared" si="54"/>
        <v>0.26923076923076922</v>
      </c>
      <c r="R67" s="17">
        <f t="shared" si="55"/>
        <v>0.80769230769230771</v>
      </c>
      <c r="S67" s="33">
        <f t="shared" si="56"/>
        <v>0.33333333333333331</v>
      </c>
      <c r="T67" s="12">
        <v>8</v>
      </c>
      <c r="U67" s="12">
        <v>24</v>
      </c>
      <c r="V67" s="17">
        <f t="shared" si="57"/>
        <v>0.30769230769230771</v>
      </c>
      <c r="W67" s="17">
        <f t="shared" si="58"/>
        <v>0.92307692307692313</v>
      </c>
      <c r="X67" s="33">
        <f t="shared" si="59"/>
        <v>0.33333333333333331</v>
      </c>
      <c r="Y67" s="12">
        <v>7</v>
      </c>
      <c r="Z67" s="12">
        <v>10</v>
      </c>
      <c r="AA67" s="17">
        <f t="shared" si="60"/>
        <v>0.26923076923076922</v>
      </c>
      <c r="AB67" s="17">
        <f t="shared" si="61"/>
        <v>0.38461538461538464</v>
      </c>
      <c r="AC67" s="33">
        <f t="shared" si="62"/>
        <v>0.7</v>
      </c>
      <c r="AD67" s="12">
        <v>17</v>
      </c>
      <c r="AE67" s="17">
        <f t="shared" si="63"/>
        <v>0.65384615384615385</v>
      </c>
      <c r="AF67" s="12">
        <v>7</v>
      </c>
      <c r="AG67" s="17">
        <f t="shared" si="64"/>
        <v>0.26923076923076922</v>
      </c>
      <c r="AH67" s="12">
        <v>10</v>
      </c>
      <c r="AI67" s="17">
        <f t="shared" si="65"/>
        <v>0.38461538461538464</v>
      </c>
      <c r="AJ67" s="11">
        <v>11</v>
      </c>
      <c r="AK67" s="17">
        <f t="shared" si="66"/>
        <v>0.42307692307692307</v>
      </c>
      <c r="AL67" s="12">
        <v>4</v>
      </c>
      <c r="AM67" s="17">
        <f t="shared" si="67"/>
        <v>0.15384615384615385</v>
      </c>
      <c r="AN67" s="12">
        <v>0</v>
      </c>
      <c r="AO67" s="17">
        <f t="shared" si="68"/>
        <v>0</v>
      </c>
      <c r="AP67" s="12">
        <v>9</v>
      </c>
      <c r="AQ67" s="17">
        <f t="shared" si="69"/>
        <v>0.34615384615384615</v>
      </c>
      <c r="AR67" s="12">
        <v>35</v>
      </c>
      <c r="AS67" s="17">
        <f t="shared" si="70"/>
        <v>1.3461538461538463</v>
      </c>
      <c r="AT67" s="13">
        <v>-3.6138071117032822E-2</v>
      </c>
      <c r="AU67" s="13">
        <v>-6.8077998964583015E-3</v>
      </c>
      <c r="AV67" s="13">
        <v>-7.423934322622254E-2</v>
      </c>
      <c r="AW67" s="13">
        <v>3.8101272109189718E-2</v>
      </c>
      <c r="AX67" s="13">
        <v>92.253581368949156</v>
      </c>
      <c r="AY67" s="13">
        <v>112.34766794924231</v>
      </c>
      <c r="AZ67" s="13">
        <v>0.39822400125780838</v>
      </c>
      <c r="BA67" s="13">
        <v>1.3461538461538463</v>
      </c>
      <c r="BB67" s="13">
        <v>6.5934065934065931</v>
      </c>
      <c r="BC67" s="14">
        <v>0.45546558704453444</v>
      </c>
      <c r="BD67" s="14">
        <v>0.42222222222222222</v>
      </c>
      <c r="BE67" s="13">
        <v>6.3880336669792621</v>
      </c>
      <c r="BF67" s="14">
        <v>0.53333333333333333</v>
      </c>
      <c r="BG67" s="14">
        <v>0.22222222222222221</v>
      </c>
      <c r="BH67" s="13">
        <v>1.8217701533323212</v>
      </c>
      <c r="BI67" s="13">
        <v>2.6025287904747443</v>
      </c>
      <c r="BJ67" s="13">
        <v>2.066649444587962</v>
      </c>
      <c r="BK67" s="13">
        <v>3.5762665944188567</v>
      </c>
      <c r="BL67" s="13">
        <v>1.061487204600077</v>
      </c>
      <c r="BM67" s="13">
        <v>0</v>
      </c>
      <c r="BN67" s="13">
        <v>15.41095890410959</v>
      </c>
      <c r="BO67" s="15" t="s">
        <v>187</v>
      </c>
      <c r="BP67" s="15">
        <v>45000</v>
      </c>
      <c r="BQ67" s="12" t="s">
        <v>271</v>
      </c>
      <c r="BR67" s="26">
        <v>99.24</v>
      </c>
      <c r="BS67" s="27">
        <v>143.54</v>
      </c>
      <c r="BT67" s="27">
        <v>44.3</v>
      </c>
      <c r="BU67" s="26">
        <f t="shared" ref="BU67:BU130" si="71">BV67-BW67</f>
        <v>3.8169230769230769</v>
      </c>
      <c r="BV67" s="26">
        <f t="shared" ref="BV67:BW130" si="72">BS67/$D67</f>
        <v>5.5207692307692309</v>
      </c>
      <c r="BW67" s="26">
        <f t="shared" si="72"/>
        <v>1.7038461538461538</v>
      </c>
      <c r="BX67" s="31">
        <f t="shared" si="26"/>
        <v>18.709819324430477</v>
      </c>
      <c r="BY67" s="31">
        <f t="shared" si="27"/>
        <v>27.061743912018851</v>
      </c>
      <c r="BZ67" s="31">
        <f t="shared" si="28"/>
        <v>8.3519245875883747</v>
      </c>
      <c r="CA67" s="34">
        <v>14</v>
      </c>
      <c r="CB67" s="34">
        <v>12</v>
      </c>
    </row>
    <row r="68" spans="1:80" x14ac:dyDescent="0.4">
      <c r="A68" s="12" t="s">
        <v>191</v>
      </c>
      <c r="B68" s="12" t="s">
        <v>178</v>
      </c>
      <c r="C68" s="4" t="s">
        <v>56</v>
      </c>
      <c r="D68" s="5">
        <v>37</v>
      </c>
      <c r="E68" s="22">
        <v>32</v>
      </c>
      <c r="F68" s="22">
        <v>40</v>
      </c>
      <c r="G68" s="10">
        <v>72509</v>
      </c>
      <c r="H68" s="5">
        <v>550</v>
      </c>
      <c r="I68" s="17">
        <f t="shared" si="50"/>
        <v>14.864864864864865</v>
      </c>
      <c r="J68" s="7">
        <v>198</v>
      </c>
      <c r="K68" s="7">
        <v>434</v>
      </c>
      <c r="L68" s="17">
        <f t="shared" si="51"/>
        <v>5.3513513513513518</v>
      </c>
      <c r="M68" s="17">
        <f t="shared" si="52"/>
        <v>11.72972972972973</v>
      </c>
      <c r="N68" s="33">
        <f t="shared" si="53"/>
        <v>0.45622119815668205</v>
      </c>
      <c r="O68" s="12">
        <v>139</v>
      </c>
      <c r="P68" s="12">
        <v>264</v>
      </c>
      <c r="Q68" s="17">
        <f t="shared" si="54"/>
        <v>3.7567567567567566</v>
      </c>
      <c r="R68" s="17">
        <f t="shared" si="55"/>
        <v>7.1351351351351351</v>
      </c>
      <c r="S68" s="33">
        <f t="shared" si="56"/>
        <v>0.52651515151515149</v>
      </c>
      <c r="T68" s="12">
        <v>59</v>
      </c>
      <c r="U68" s="12">
        <v>170</v>
      </c>
      <c r="V68" s="17">
        <f t="shared" si="57"/>
        <v>1.5945945945945945</v>
      </c>
      <c r="W68" s="17">
        <f t="shared" si="58"/>
        <v>4.5945945945945947</v>
      </c>
      <c r="X68" s="33">
        <f t="shared" si="59"/>
        <v>0.34705882352941175</v>
      </c>
      <c r="Y68" s="12">
        <v>95</v>
      </c>
      <c r="Z68" s="12">
        <v>123</v>
      </c>
      <c r="AA68" s="17">
        <f t="shared" si="60"/>
        <v>2.5675675675675675</v>
      </c>
      <c r="AB68" s="17">
        <f t="shared" si="61"/>
        <v>3.3243243243243241</v>
      </c>
      <c r="AC68" s="33">
        <f t="shared" si="62"/>
        <v>0.77235772357723576</v>
      </c>
      <c r="AD68" s="12">
        <v>207</v>
      </c>
      <c r="AE68" s="17">
        <f t="shared" si="63"/>
        <v>5.5945945945945947</v>
      </c>
      <c r="AF68" s="12">
        <v>61</v>
      </c>
      <c r="AG68" s="17">
        <f t="shared" si="64"/>
        <v>1.6486486486486487</v>
      </c>
      <c r="AH68" s="11">
        <v>146</v>
      </c>
      <c r="AI68" s="17">
        <f t="shared" si="65"/>
        <v>3.9459459459459461</v>
      </c>
      <c r="AJ68" s="11">
        <v>94</v>
      </c>
      <c r="AK68" s="17">
        <f t="shared" si="66"/>
        <v>2.5405405405405403</v>
      </c>
      <c r="AL68" s="12">
        <v>49</v>
      </c>
      <c r="AM68" s="17">
        <f t="shared" si="67"/>
        <v>1.3243243243243243</v>
      </c>
      <c r="AN68" s="12">
        <v>17</v>
      </c>
      <c r="AO68" s="17">
        <f t="shared" si="68"/>
        <v>0.45945945945945948</v>
      </c>
      <c r="AP68" s="12">
        <v>79</v>
      </c>
      <c r="AQ68" s="17">
        <f t="shared" si="69"/>
        <v>2.1351351351351351</v>
      </c>
      <c r="AR68" s="12">
        <v>91</v>
      </c>
      <c r="AS68" s="17">
        <f t="shared" si="70"/>
        <v>2.4594594594594597</v>
      </c>
      <c r="AT68" s="13">
        <v>2.5601661961579842</v>
      </c>
      <c r="AU68" s="13">
        <v>8.4726956298664668E-2</v>
      </c>
      <c r="AV68" s="13">
        <v>1.5242536884756195</v>
      </c>
      <c r="AW68" s="13">
        <v>1.0359125076823648</v>
      </c>
      <c r="AX68" s="13">
        <v>107.7433014341923</v>
      </c>
      <c r="AY68" s="13">
        <v>105.85856409693143</v>
      </c>
      <c r="AZ68" s="13">
        <v>7.8225488601863855</v>
      </c>
      <c r="BA68" s="13">
        <v>15.513513513513514</v>
      </c>
      <c r="BB68" s="13">
        <v>18.996138996138995</v>
      </c>
      <c r="BC68" s="14">
        <v>0.56338605261001395</v>
      </c>
      <c r="BD68" s="14">
        <v>0.52419354838709675</v>
      </c>
      <c r="BE68" s="13">
        <v>15.508483104526025</v>
      </c>
      <c r="BF68" s="14">
        <v>0.39170506912442399</v>
      </c>
      <c r="BG68" s="14">
        <v>0.28341013824884792</v>
      </c>
      <c r="BH68" s="13">
        <v>3.9688564054739852</v>
      </c>
      <c r="BI68" s="13">
        <v>9.4992300852328189</v>
      </c>
      <c r="BJ68" s="13">
        <v>6.2911240445545307</v>
      </c>
      <c r="BK68" s="13">
        <v>8.6054317973756493</v>
      </c>
      <c r="BL68" s="13">
        <v>2.2843491531427329</v>
      </c>
      <c r="BM68" s="13">
        <v>1.0691487689066383</v>
      </c>
      <c r="BN68" s="13">
        <v>13.930032444632529</v>
      </c>
      <c r="BO68" s="15" t="s">
        <v>187</v>
      </c>
      <c r="BP68" s="15"/>
      <c r="BQ68" s="12" t="s">
        <v>273</v>
      </c>
      <c r="BR68" s="26">
        <v>936.82</v>
      </c>
      <c r="BS68" s="27">
        <v>1302.6199999999999</v>
      </c>
      <c r="BT68" s="27">
        <v>365.8</v>
      </c>
      <c r="BU68" s="26">
        <f t="shared" si="71"/>
        <v>25.319459459459456</v>
      </c>
      <c r="BV68" s="26">
        <f t="shared" si="72"/>
        <v>35.205945945945942</v>
      </c>
      <c r="BW68" s="26">
        <f t="shared" si="72"/>
        <v>9.8864864864864863</v>
      </c>
      <c r="BX68" s="31">
        <f t="shared" si="26"/>
        <v>31.008123129542533</v>
      </c>
      <c r="BY68" s="31">
        <f t="shared" si="27"/>
        <v>43.115861479264638</v>
      </c>
      <c r="BZ68" s="31">
        <f t="shared" si="28"/>
        <v>12.107738349722103</v>
      </c>
      <c r="CA68" s="35">
        <v>22</v>
      </c>
      <c r="CB68" s="35">
        <v>15</v>
      </c>
    </row>
    <row r="69" spans="1:80" x14ac:dyDescent="0.4">
      <c r="A69" s="12" t="s">
        <v>191</v>
      </c>
      <c r="B69" s="12" t="s">
        <v>178</v>
      </c>
      <c r="C69" s="4" t="s">
        <v>200</v>
      </c>
      <c r="D69" s="5">
        <v>50</v>
      </c>
      <c r="E69" s="22">
        <v>20</v>
      </c>
      <c r="F69" s="22">
        <v>56</v>
      </c>
      <c r="G69" s="10">
        <v>62812</v>
      </c>
      <c r="H69" s="5">
        <v>552</v>
      </c>
      <c r="I69" s="17">
        <f t="shared" si="50"/>
        <v>11.04</v>
      </c>
      <c r="J69" s="7">
        <v>179</v>
      </c>
      <c r="K69" s="7">
        <v>384</v>
      </c>
      <c r="L69" s="17">
        <f t="shared" si="51"/>
        <v>3.58</v>
      </c>
      <c r="M69" s="17">
        <f t="shared" si="52"/>
        <v>7.68</v>
      </c>
      <c r="N69" s="33">
        <f t="shared" si="53"/>
        <v>0.46614583333333331</v>
      </c>
      <c r="O69" s="12">
        <v>110</v>
      </c>
      <c r="P69" s="12">
        <v>209</v>
      </c>
      <c r="Q69" s="17">
        <f t="shared" si="54"/>
        <v>2.2000000000000002</v>
      </c>
      <c r="R69" s="17">
        <f t="shared" si="55"/>
        <v>4.18</v>
      </c>
      <c r="S69" s="33">
        <f t="shared" si="56"/>
        <v>0.52631578947368418</v>
      </c>
      <c r="T69" s="12">
        <v>69</v>
      </c>
      <c r="U69" s="12">
        <v>175</v>
      </c>
      <c r="V69" s="17">
        <f t="shared" si="57"/>
        <v>1.38</v>
      </c>
      <c r="W69" s="17">
        <f t="shared" si="58"/>
        <v>3.5</v>
      </c>
      <c r="X69" s="33">
        <f t="shared" si="59"/>
        <v>0.39428571428571429</v>
      </c>
      <c r="Y69" s="12">
        <v>125</v>
      </c>
      <c r="Z69" s="12">
        <v>163</v>
      </c>
      <c r="AA69" s="17">
        <f t="shared" si="60"/>
        <v>2.5</v>
      </c>
      <c r="AB69" s="17">
        <f t="shared" si="61"/>
        <v>3.26</v>
      </c>
      <c r="AC69" s="33">
        <f t="shared" si="62"/>
        <v>0.76687116564417179</v>
      </c>
      <c r="AD69" s="12">
        <v>141</v>
      </c>
      <c r="AE69" s="17">
        <f t="shared" si="63"/>
        <v>2.82</v>
      </c>
      <c r="AF69" s="12">
        <v>22</v>
      </c>
      <c r="AG69" s="17">
        <f t="shared" si="64"/>
        <v>0.44</v>
      </c>
      <c r="AH69" s="11">
        <v>119</v>
      </c>
      <c r="AI69" s="17">
        <f t="shared" si="65"/>
        <v>2.38</v>
      </c>
      <c r="AJ69" s="11">
        <v>47</v>
      </c>
      <c r="AK69" s="17">
        <f t="shared" si="66"/>
        <v>0.94</v>
      </c>
      <c r="AL69" s="12">
        <v>27</v>
      </c>
      <c r="AM69" s="17">
        <f t="shared" si="67"/>
        <v>0.54</v>
      </c>
      <c r="AN69" s="12">
        <v>12</v>
      </c>
      <c r="AO69" s="17">
        <f t="shared" si="68"/>
        <v>0.24</v>
      </c>
      <c r="AP69" s="12">
        <v>72</v>
      </c>
      <c r="AQ69" s="17">
        <f t="shared" si="69"/>
        <v>1.44</v>
      </c>
      <c r="AR69" s="12">
        <v>83</v>
      </c>
      <c r="AS69" s="17">
        <f t="shared" si="70"/>
        <v>1.66</v>
      </c>
      <c r="AT69" s="13">
        <v>2.2053948801687824</v>
      </c>
      <c r="AU69" s="13">
        <v>8.4282606885431169E-2</v>
      </c>
      <c r="AV69" s="13">
        <v>1.5664879120419166</v>
      </c>
      <c r="AW69" s="13">
        <v>0.63890696812686587</v>
      </c>
      <c r="AX69" s="13">
        <v>109.43510060792963</v>
      </c>
      <c r="AY69" s="13">
        <v>108.22052717909885</v>
      </c>
      <c r="AZ69" s="13">
        <v>9.9424899073014252</v>
      </c>
      <c r="BA69" s="13">
        <v>9.2799999999999994</v>
      </c>
      <c r="BB69" s="13">
        <v>17.732484076433121</v>
      </c>
      <c r="BC69" s="14">
        <v>0.60563503905907135</v>
      </c>
      <c r="BD69" s="14">
        <v>0.55598958333333337</v>
      </c>
      <c r="BE69" s="13">
        <v>22.519790377445318</v>
      </c>
      <c r="BF69" s="14">
        <v>0.45572916666666669</v>
      </c>
      <c r="BG69" s="14">
        <v>0.42447916666666669</v>
      </c>
      <c r="BH69" s="13">
        <v>2.233699073353324</v>
      </c>
      <c r="BI69" s="13">
        <v>12.082281351320251</v>
      </c>
      <c r="BJ69" s="13">
        <v>6.6871866863330025</v>
      </c>
      <c r="BK69" s="13">
        <v>7.2545791315085406</v>
      </c>
      <c r="BL69" s="13">
        <v>1.4535444611398667</v>
      </c>
      <c r="BM69" s="13">
        <v>1.1777060249477393</v>
      </c>
      <c r="BN69" s="13">
        <v>13.64359887819298</v>
      </c>
      <c r="BO69" s="15" t="s">
        <v>188</v>
      </c>
      <c r="BP69" s="15"/>
      <c r="BQ69" s="12" t="s">
        <v>273</v>
      </c>
      <c r="BR69" s="26">
        <v>749.92</v>
      </c>
      <c r="BS69" s="27">
        <v>1082.72</v>
      </c>
      <c r="BT69" s="27">
        <v>332.8</v>
      </c>
      <c r="BU69" s="26">
        <f t="shared" si="71"/>
        <v>14.998399999999998</v>
      </c>
      <c r="BV69" s="26">
        <f t="shared" si="72"/>
        <v>21.654399999999999</v>
      </c>
      <c r="BW69" s="26">
        <f t="shared" si="72"/>
        <v>6.6560000000000006</v>
      </c>
      <c r="BX69" s="31">
        <f t="shared" si="26"/>
        <v>28.653887792141632</v>
      </c>
      <c r="BY69" s="31">
        <f t="shared" si="27"/>
        <v>41.369929312870156</v>
      </c>
      <c r="BZ69" s="31">
        <f t="shared" si="28"/>
        <v>12.716041520728524</v>
      </c>
      <c r="CA69" s="34">
        <v>31</v>
      </c>
      <c r="CB69" s="34">
        <v>19</v>
      </c>
    </row>
    <row r="70" spans="1:80" x14ac:dyDescent="0.4">
      <c r="A70" s="12" t="s">
        <v>191</v>
      </c>
      <c r="B70" s="12" t="s">
        <v>178</v>
      </c>
      <c r="C70" s="4" t="s">
        <v>215</v>
      </c>
      <c r="D70" s="5">
        <v>30</v>
      </c>
      <c r="E70" s="22">
        <v>22</v>
      </c>
      <c r="F70" s="22">
        <v>25</v>
      </c>
      <c r="G70" s="10">
        <v>40362</v>
      </c>
      <c r="H70" s="5">
        <v>215</v>
      </c>
      <c r="I70" s="17">
        <f t="shared" si="50"/>
        <v>7.166666666666667</v>
      </c>
      <c r="J70" s="6">
        <v>91</v>
      </c>
      <c r="K70" s="6">
        <v>182</v>
      </c>
      <c r="L70" s="17">
        <f t="shared" si="51"/>
        <v>3.0333333333333332</v>
      </c>
      <c r="M70" s="17">
        <f t="shared" si="52"/>
        <v>6.0666666666666664</v>
      </c>
      <c r="N70" s="33">
        <f t="shared" si="53"/>
        <v>0.5</v>
      </c>
      <c r="O70" s="12">
        <v>78</v>
      </c>
      <c r="P70" s="12">
        <v>126</v>
      </c>
      <c r="Q70" s="17">
        <f t="shared" si="54"/>
        <v>2.6</v>
      </c>
      <c r="R70" s="17">
        <f t="shared" si="55"/>
        <v>4.2</v>
      </c>
      <c r="S70" s="33">
        <f t="shared" si="56"/>
        <v>0.61904761904761907</v>
      </c>
      <c r="T70" s="12">
        <v>13</v>
      </c>
      <c r="U70" s="12">
        <v>56</v>
      </c>
      <c r="V70" s="17">
        <f t="shared" si="57"/>
        <v>0.43333333333333335</v>
      </c>
      <c r="W70" s="17">
        <f t="shared" si="58"/>
        <v>1.8666666666666667</v>
      </c>
      <c r="X70" s="33">
        <f t="shared" si="59"/>
        <v>0.23214285714285715</v>
      </c>
      <c r="Y70" s="12">
        <v>20</v>
      </c>
      <c r="Z70" s="12">
        <v>36</v>
      </c>
      <c r="AA70" s="17">
        <f t="shared" si="60"/>
        <v>0.66666666666666663</v>
      </c>
      <c r="AB70" s="17">
        <f t="shared" si="61"/>
        <v>1.2</v>
      </c>
      <c r="AC70" s="33">
        <f t="shared" si="62"/>
        <v>0.55555555555555558</v>
      </c>
      <c r="AD70" s="12">
        <v>105</v>
      </c>
      <c r="AE70" s="17">
        <f t="shared" si="63"/>
        <v>3.5</v>
      </c>
      <c r="AF70" s="12">
        <v>52</v>
      </c>
      <c r="AG70" s="17">
        <f t="shared" si="64"/>
        <v>1.7333333333333334</v>
      </c>
      <c r="AH70" s="12">
        <v>53</v>
      </c>
      <c r="AI70" s="17">
        <f t="shared" si="65"/>
        <v>1.7666666666666666</v>
      </c>
      <c r="AJ70" s="11">
        <v>22</v>
      </c>
      <c r="AK70" s="17">
        <f t="shared" si="66"/>
        <v>0.73333333333333328</v>
      </c>
      <c r="AL70" s="12">
        <v>23</v>
      </c>
      <c r="AM70" s="17">
        <f t="shared" si="67"/>
        <v>0.76666666666666672</v>
      </c>
      <c r="AN70" s="12">
        <v>10</v>
      </c>
      <c r="AO70" s="17">
        <f t="shared" si="68"/>
        <v>0.33333333333333331</v>
      </c>
      <c r="AP70" s="12">
        <v>30</v>
      </c>
      <c r="AQ70" s="17">
        <f t="shared" si="69"/>
        <v>1</v>
      </c>
      <c r="AR70" s="12">
        <v>87</v>
      </c>
      <c r="AS70" s="17">
        <f t="shared" si="70"/>
        <v>2.9</v>
      </c>
      <c r="AT70" s="13">
        <v>0.89568635073403224</v>
      </c>
      <c r="AU70" s="13">
        <v>5.3275024578975892E-2</v>
      </c>
      <c r="AV70" s="13">
        <v>0.48520986559490559</v>
      </c>
      <c r="AW70" s="13">
        <v>0.41047648513912666</v>
      </c>
      <c r="AX70" s="13">
        <v>105.44342953125184</v>
      </c>
      <c r="AY70" s="13">
        <v>108.22097452643807</v>
      </c>
      <c r="AZ70" s="13">
        <v>4.0365476998212024</v>
      </c>
      <c r="BA70" s="13">
        <v>7.9333333333333336</v>
      </c>
      <c r="BB70" s="13">
        <v>14.156133828996282</v>
      </c>
      <c r="BC70" s="14">
        <v>0.54336837848766684</v>
      </c>
      <c r="BD70" s="14">
        <v>0.5357142857142857</v>
      </c>
      <c r="BE70" s="13">
        <v>9.0794202199347147</v>
      </c>
      <c r="BF70" s="14">
        <v>0.30769230769230771</v>
      </c>
      <c r="BG70" s="14">
        <v>0.19780219780219779</v>
      </c>
      <c r="BH70" s="13">
        <v>4.9302924595759476</v>
      </c>
      <c r="BI70" s="13">
        <v>5.0251057761062539</v>
      </c>
      <c r="BJ70" s="13">
        <v>4.6503001934857044</v>
      </c>
      <c r="BK70" s="13">
        <v>2.7691823569518013</v>
      </c>
      <c r="BL70" s="13">
        <v>1.9271188394790251</v>
      </c>
      <c r="BM70" s="13">
        <v>0.91648002932736095</v>
      </c>
      <c r="BN70" s="13">
        <v>13.167134831460674</v>
      </c>
      <c r="BO70" s="15" t="s">
        <v>187</v>
      </c>
      <c r="BP70" s="15"/>
      <c r="BQ70" s="12" t="s">
        <v>273</v>
      </c>
      <c r="BR70" s="26">
        <v>446.17</v>
      </c>
      <c r="BS70" s="27">
        <v>590.66999999999996</v>
      </c>
      <c r="BT70" s="27">
        <v>144.5</v>
      </c>
      <c r="BU70" s="26">
        <f t="shared" si="71"/>
        <v>14.872333333333334</v>
      </c>
      <c r="BV70" s="26">
        <f t="shared" si="72"/>
        <v>19.689</v>
      </c>
      <c r="BW70" s="26">
        <f t="shared" si="72"/>
        <v>4.8166666666666664</v>
      </c>
      <c r="BX70" s="31">
        <f t="shared" si="26"/>
        <v>26.53010257172588</v>
      </c>
      <c r="BY70" s="31">
        <f t="shared" si="27"/>
        <v>35.122342797680986</v>
      </c>
      <c r="BZ70" s="31">
        <f t="shared" si="28"/>
        <v>8.5922402259551056</v>
      </c>
      <c r="CA70" s="35">
        <v>19</v>
      </c>
      <c r="CB70" s="35">
        <v>11</v>
      </c>
    </row>
    <row r="71" spans="1:80" x14ac:dyDescent="0.4">
      <c r="A71" s="12" t="s">
        <v>191</v>
      </c>
      <c r="B71" s="12" t="s">
        <v>178</v>
      </c>
      <c r="C71" s="4" t="s">
        <v>51</v>
      </c>
      <c r="D71" s="32">
        <v>42</v>
      </c>
      <c r="E71" s="24">
        <v>13</v>
      </c>
      <c r="F71" s="24">
        <v>33</v>
      </c>
      <c r="G71" s="10">
        <v>34145</v>
      </c>
      <c r="H71" s="5">
        <v>187</v>
      </c>
      <c r="I71" s="17">
        <f t="shared" si="50"/>
        <v>4.4523809523809526</v>
      </c>
      <c r="J71" s="7">
        <v>67</v>
      </c>
      <c r="K71" s="7">
        <v>152</v>
      </c>
      <c r="L71" s="17">
        <f t="shared" si="51"/>
        <v>1.5952380952380953</v>
      </c>
      <c r="M71" s="17">
        <f t="shared" si="52"/>
        <v>3.6190476190476191</v>
      </c>
      <c r="N71" s="33">
        <f t="shared" si="53"/>
        <v>0.44078947368421051</v>
      </c>
      <c r="O71" s="12">
        <v>27</v>
      </c>
      <c r="P71" s="12">
        <v>56</v>
      </c>
      <c r="Q71" s="17">
        <f t="shared" si="54"/>
        <v>0.6428571428571429</v>
      </c>
      <c r="R71" s="17">
        <f t="shared" si="55"/>
        <v>1.3333333333333333</v>
      </c>
      <c r="S71" s="33">
        <f t="shared" si="56"/>
        <v>0.48214285714285715</v>
      </c>
      <c r="T71" s="12">
        <v>40</v>
      </c>
      <c r="U71" s="12">
        <v>96</v>
      </c>
      <c r="V71" s="17">
        <f t="shared" si="57"/>
        <v>0.95238095238095233</v>
      </c>
      <c r="W71" s="17">
        <f t="shared" si="58"/>
        <v>2.2857142857142856</v>
      </c>
      <c r="X71" s="33">
        <f t="shared" si="59"/>
        <v>0.41666666666666669</v>
      </c>
      <c r="Y71" s="12">
        <v>13</v>
      </c>
      <c r="Z71" s="12">
        <v>15</v>
      </c>
      <c r="AA71" s="17">
        <f t="shared" si="60"/>
        <v>0.30952380952380953</v>
      </c>
      <c r="AB71" s="17">
        <f t="shared" si="61"/>
        <v>0.35714285714285715</v>
      </c>
      <c r="AC71" s="33">
        <f t="shared" si="62"/>
        <v>0.8666666666666667</v>
      </c>
      <c r="AD71" s="12">
        <v>92</v>
      </c>
      <c r="AE71" s="17">
        <f t="shared" si="63"/>
        <v>2.1904761904761907</v>
      </c>
      <c r="AF71" s="12">
        <v>19</v>
      </c>
      <c r="AG71" s="17">
        <f t="shared" si="64"/>
        <v>0.45238095238095238</v>
      </c>
      <c r="AH71" s="12">
        <v>73</v>
      </c>
      <c r="AI71" s="17">
        <f t="shared" si="65"/>
        <v>1.7380952380952381</v>
      </c>
      <c r="AJ71" s="11">
        <v>20</v>
      </c>
      <c r="AK71" s="17">
        <f t="shared" si="66"/>
        <v>0.47619047619047616</v>
      </c>
      <c r="AL71" s="12">
        <v>14</v>
      </c>
      <c r="AM71" s="17">
        <f t="shared" si="67"/>
        <v>0.33333333333333331</v>
      </c>
      <c r="AN71" s="12">
        <v>8</v>
      </c>
      <c r="AO71" s="17">
        <f t="shared" si="68"/>
        <v>0.19047619047619047</v>
      </c>
      <c r="AP71" s="12">
        <v>7</v>
      </c>
      <c r="AQ71" s="17">
        <f t="shared" si="69"/>
        <v>0.16666666666666666</v>
      </c>
      <c r="AR71" s="12">
        <v>56</v>
      </c>
      <c r="AS71" s="17">
        <f t="shared" si="70"/>
        <v>1.3333333333333333</v>
      </c>
      <c r="AT71" s="13">
        <v>1.3819511355475929</v>
      </c>
      <c r="AU71" s="13">
        <v>9.7132393993856467E-2</v>
      </c>
      <c r="AV71" s="13">
        <v>0.99462123727925822</v>
      </c>
      <c r="AW71" s="13">
        <v>0.38732989826833469</v>
      </c>
      <c r="AX71" s="13">
        <v>122.17531961204746</v>
      </c>
      <c r="AY71" s="13">
        <v>107.54846985141279</v>
      </c>
      <c r="AZ71" s="13">
        <v>6.8692329338951916</v>
      </c>
      <c r="BA71" s="13">
        <v>5.4047619047619051</v>
      </c>
      <c r="BB71" s="13">
        <v>15.955016693024074</v>
      </c>
      <c r="BC71" s="14">
        <v>0.58953341740226983</v>
      </c>
      <c r="BD71" s="14">
        <v>0.57236842105263153</v>
      </c>
      <c r="BE71" s="13">
        <v>10.91742497500727</v>
      </c>
      <c r="BF71" s="14">
        <v>0.63157894736842102</v>
      </c>
      <c r="BG71" s="14">
        <v>9.8684210526315791E-2</v>
      </c>
      <c r="BH71" s="13">
        <v>2.9802635964723092</v>
      </c>
      <c r="BI71" s="13">
        <v>11.450486449604135</v>
      </c>
      <c r="BJ71" s="13">
        <v>6.7407971175765367</v>
      </c>
      <c r="BK71" s="13">
        <v>4.2714506914410801</v>
      </c>
      <c r="BL71" s="13">
        <v>1.3861569276962877</v>
      </c>
      <c r="BM71" s="13">
        <v>1.2129551187653633</v>
      </c>
      <c r="BN71" s="13">
        <v>4.2270531400966185</v>
      </c>
      <c r="BO71" s="15" t="s">
        <v>187</v>
      </c>
      <c r="BP71" s="15">
        <v>100000</v>
      </c>
      <c r="BQ71" s="12" t="s">
        <v>273</v>
      </c>
      <c r="BR71" s="26">
        <v>392.77</v>
      </c>
      <c r="BS71" s="27">
        <v>484.27</v>
      </c>
      <c r="BT71" s="27">
        <v>91.5</v>
      </c>
      <c r="BU71" s="26">
        <f t="shared" si="71"/>
        <v>9.3516666666666666</v>
      </c>
      <c r="BV71" s="26">
        <f t="shared" si="72"/>
        <v>11.530238095238095</v>
      </c>
      <c r="BW71" s="26">
        <f t="shared" si="72"/>
        <v>2.1785714285714284</v>
      </c>
      <c r="BX71" s="31">
        <f t="shared" si="26"/>
        <v>27.607204568750916</v>
      </c>
      <c r="BY71" s="31">
        <f t="shared" si="27"/>
        <v>34.038600087860594</v>
      </c>
      <c r="BZ71" s="31">
        <f t="shared" si="28"/>
        <v>6.431395519109679</v>
      </c>
      <c r="CA71" s="35">
        <v>27</v>
      </c>
      <c r="CB71" s="35">
        <v>15</v>
      </c>
    </row>
    <row r="72" spans="1:80" x14ac:dyDescent="0.4">
      <c r="A72" s="12" t="s">
        <v>191</v>
      </c>
      <c r="B72" s="12" t="s">
        <v>178</v>
      </c>
      <c r="C72" s="4" t="s">
        <v>55</v>
      </c>
      <c r="D72" s="5">
        <v>41</v>
      </c>
      <c r="E72" s="22">
        <v>24</v>
      </c>
      <c r="F72" s="22">
        <v>3</v>
      </c>
      <c r="G72" s="10">
        <v>59150</v>
      </c>
      <c r="H72" s="5">
        <v>302</v>
      </c>
      <c r="I72" s="17">
        <f t="shared" si="50"/>
        <v>7.3658536585365857</v>
      </c>
      <c r="J72" s="7">
        <v>114</v>
      </c>
      <c r="K72" s="7">
        <v>274</v>
      </c>
      <c r="L72" s="17">
        <f t="shared" si="51"/>
        <v>2.7804878048780486</v>
      </c>
      <c r="M72" s="17">
        <f t="shared" si="52"/>
        <v>6.6829268292682924</v>
      </c>
      <c r="N72" s="33">
        <f t="shared" si="53"/>
        <v>0.41605839416058393</v>
      </c>
      <c r="O72" s="12">
        <v>81</v>
      </c>
      <c r="P72" s="12">
        <v>158</v>
      </c>
      <c r="Q72" s="17">
        <f t="shared" si="54"/>
        <v>1.975609756097561</v>
      </c>
      <c r="R72" s="17">
        <f t="shared" si="55"/>
        <v>3.8536585365853657</v>
      </c>
      <c r="S72" s="33">
        <f t="shared" si="56"/>
        <v>0.51265822784810122</v>
      </c>
      <c r="T72" s="12">
        <v>33</v>
      </c>
      <c r="U72" s="12">
        <v>116</v>
      </c>
      <c r="V72" s="17">
        <f t="shared" si="57"/>
        <v>0.80487804878048785</v>
      </c>
      <c r="W72" s="17">
        <f t="shared" si="58"/>
        <v>2.8292682926829267</v>
      </c>
      <c r="X72" s="33">
        <f t="shared" si="59"/>
        <v>0.28448275862068967</v>
      </c>
      <c r="Y72" s="12">
        <v>41</v>
      </c>
      <c r="Z72" s="12">
        <v>66</v>
      </c>
      <c r="AA72" s="17">
        <f t="shared" si="60"/>
        <v>1</v>
      </c>
      <c r="AB72" s="17">
        <f t="shared" si="61"/>
        <v>1.6097560975609757</v>
      </c>
      <c r="AC72" s="33">
        <f t="shared" si="62"/>
        <v>0.62121212121212122</v>
      </c>
      <c r="AD72" s="12">
        <v>110</v>
      </c>
      <c r="AE72" s="17">
        <f t="shared" si="63"/>
        <v>2.6829268292682928</v>
      </c>
      <c r="AF72" s="12">
        <v>27</v>
      </c>
      <c r="AG72" s="17">
        <f t="shared" si="64"/>
        <v>0.65853658536585369</v>
      </c>
      <c r="AH72" s="12">
        <v>83</v>
      </c>
      <c r="AI72" s="17">
        <f t="shared" si="65"/>
        <v>2.024390243902439</v>
      </c>
      <c r="AJ72" s="11">
        <v>88</v>
      </c>
      <c r="AK72" s="17">
        <f t="shared" si="66"/>
        <v>2.1463414634146343</v>
      </c>
      <c r="AL72" s="12">
        <v>25</v>
      </c>
      <c r="AM72" s="17">
        <f t="shared" si="67"/>
        <v>0.6097560975609756</v>
      </c>
      <c r="AN72" s="12">
        <v>9</v>
      </c>
      <c r="AO72" s="17">
        <f t="shared" si="68"/>
        <v>0.21951219512195122</v>
      </c>
      <c r="AP72" s="12">
        <v>48</v>
      </c>
      <c r="AQ72" s="17">
        <f t="shared" si="69"/>
        <v>1.1707317073170731</v>
      </c>
      <c r="AR72" s="11">
        <v>94</v>
      </c>
      <c r="AS72" s="17">
        <f t="shared" si="70"/>
        <v>2.2926829268292681</v>
      </c>
      <c r="AT72" s="13">
        <v>0.74162260586366435</v>
      </c>
      <c r="AU72" s="13">
        <v>3.0084584183912147E-2</v>
      </c>
      <c r="AV72" s="13">
        <v>0.28234376971331088</v>
      </c>
      <c r="AW72" s="13">
        <v>0.45927883615035348</v>
      </c>
      <c r="AX72" s="13">
        <v>100.27722905918178</v>
      </c>
      <c r="AY72" s="13">
        <v>109.60566670231498</v>
      </c>
      <c r="AZ72" s="13">
        <v>4.6959571774613202</v>
      </c>
      <c r="BA72" s="13">
        <v>7.3414634146341466</v>
      </c>
      <c r="BB72" s="13">
        <v>12.210334161553675</v>
      </c>
      <c r="BC72" s="14">
        <v>0.49828405491024286</v>
      </c>
      <c r="BD72" s="14">
        <v>0.47627737226277372</v>
      </c>
      <c r="BE72" s="13">
        <v>13.038892478612338</v>
      </c>
      <c r="BF72" s="14">
        <v>0.42335766423357662</v>
      </c>
      <c r="BG72" s="14">
        <v>0.24087591240875914</v>
      </c>
      <c r="BH72" s="13">
        <v>2.3861022798323543</v>
      </c>
      <c r="BI72" s="13">
        <v>7.3350551565216815</v>
      </c>
      <c r="BJ72" s="13">
        <v>4.5408831708161568</v>
      </c>
      <c r="BK72" s="13">
        <v>10.526630581058047</v>
      </c>
      <c r="BL72" s="13">
        <v>1.4286111026533668</v>
      </c>
      <c r="BM72" s="13">
        <v>0.76881432813636208</v>
      </c>
      <c r="BN72" s="13">
        <v>13.673655423883318</v>
      </c>
      <c r="BO72" s="15" t="s">
        <v>187</v>
      </c>
      <c r="BP72" s="15">
        <v>310000</v>
      </c>
      <c r="BQ72" s="12" t="s">
        <v>271</v>
      </c>
      <c r="BR72" s="26">
        <v>606.26</v>
      </c>
      <c r="BS72" s="27">
        <v>849.96</v>
      </c>
      <c r="BT72" s="27">
        <v>243.7</v>
      </c>
      <c r="BU72" s="26">
        <f t="shared" si="71"/>
        <v>14.786829268292683</v>
      </c>
      <c r="BV72" s="26">
        <f t="shared" si="72"/>
        <v>20.730731707317073</v>
      </c>
      <c r="BW72" s="26">
        <f t="shared" si="72"/>
        <v>5.9439024390243897</v>
      </c>
      <c r="BX72" s="31">
        <f t="shared" si="26"/>
        <v>24.598884192730345</v>
      </c>
      <c r="BY72" s="31">
        <f t="shared" si="27"/>
        <v>34.486965342349954</v>
      </c>
      <c r="BZ72" s="31">
        <f t="shared" si="28"/>
        <v>9.8880811496196106</v>
      </c>
      <c r="CA72" s="35">
        <v>25</v>
      </c>
      <c r="CB72" s="35">
        <v>16</v>
      </c>
    </row>
    <row r="73" spans="1:80" x14ac:dyDescent="0.4">
      <c r="A73" s="12" t="s">
        <v>191</v>
      </c>
      <c r="B73" s="12" t="s">
        <v>178</v>
      </c>
      <c r="C73" s="4" t="s">
        <v>228</v>
      </c>
      <c r="D73" s="5">
        <v>28</v>
      </c>
      <c r="E73" s="22">
        <v>10</v>
      </c>
      <c r="F73" s="22">
        <v>43</v>
      </c>
      <c r="G73" s="10">
        <v>18007</v>
      </c>
      <c r="H73" s="5">
        <v>70</v>
      </c>
      <c r="I73" s="17">
        <f t="shared" si="50"/>
        <v>2.5</v>
      </c>
      <c r="J73" s="7">
        <v>16</v>
      </c>
      <c r="K73" s="7">
        <v>73</v>
      </c>
      <c r="L73" s="17">
        <f t="shared" si="51"/>
        <v>0.5714285714285714</v>
      </c>
      <c r="M73" s="17">
        <f t="shared" si="52"/>
        <v>2.6071428571428572</v>
      </c>
      <c r="N73" s="33">
        <f t="shared" si="53"/>
        <v>0.21917808219178081</v>
      </c>
      <c r="O73" s="12">
        <v>7</v>
      </c>
      <c r="P73" s="12">
        <v>31</v>
      </c>
      <c r="Q73" s="17">
        <f t="shared" si="54"/>
        <v>0.25</v>
      </c>
      <c r="R73" s="17">
        <f t="shared" si="55"/>
        <v>1.1071428571428572</v>
      </c>
      <c r="S73" s="33">
        <f t="shared" si="56"/>
        <v>0.22580645161290322</v>
      </c>
      <c r="T73" s="12">
        <v>9</v>
      </c>
      <c r="U73" s="12">
        <v>42</v>
      </c>
      <c r="V73" s="17">
        <f t="shared" si="57"/>
        <v>0.32142857142857145</v>
      </c>
      <c r="W73" s="17">
        <f t="shared" si="58"/>
        <v>1.5</v>
      </c>
      <c r="X73" s="33">
        <f t="shared" si="59"/>
        <v>0.21428571428571427</v>
      </c>
      <c r="Y73" s="12">
        <v>29</v>
      </c>
      <c r="Z73" s="12">
        <v>37</v>
      </c>
      <c r="AA73" s="17">
        <f t="shared" si="60"/>
        <v>1.0357142857142858</v>
      </c>
      <c r="AB73" s="17">
        <f t="shared" si="61"/>
        <v>1.3214285714285714</v>
      </c>
      <c r="AC73" s="33">
        <f t="shared" si="62"/>
        <v>0.78378378378378377</v>
      </c>
      <c r="AD73" s="12">
        <v>20</v>
      </c>
      <c r="AE73" s="17">
        <f t="shared" si="63"/>
        <v>0.7142857142857143</v>
      </c>
      <c r="AF73" s="12">
        <v>6</v>
      </c>
      <c r="AG73" s="17">
        <f t="shared" si="64"/>
        <v>0.21428571428571427</v>
      </c>
      <c r="AH73" s="12">
        <v>14</v>
      </c>
      <c r="AI73" s="17">
        <f t="shared" si="65"/>
        <v>0.5</v>
      </c>
      <c r="AJ73" s="11">
        <v>39</v>
      </c>
      <c r="AK73" s="17">
        <f t="shared" si="66"/>
        <v>1.3928571428571428</v>
      </c>
      <c r="AL73" s="12">
        <v>12</v>
      </c>
      <c r="AM73" s="17">
        <f t="shared" si="67"/>
        <v>0.42857142857142855</v>
      </c>
      <c r="AN73" s="12">
        <v>0</v>
      </c>
      <c r="AO73" s="17">
        <f t="shared" si="68"/>
        <v>0</v>
      </c>
      <c r="AP73" s="12">
        <v>19</v>
      </c>
      <c r="AQ73" s="17">
        <f t="shared" si="69"/>
        <v>0.6785714285714286</v>
      </c>
      <c r="AR73" s="12">
        <v>35</v>
      </c>
      <c r="AS73" s="17">
        <f t="shared" si="70"/>
        <v>1.25</v>
      </c>
      <c r="AT73" s="13">
        <v>-0.14274402606020314</v>
      </c>
      <c r="AU73" s="13">
        <v>-1.9028308295072623E-2</v>
      </c>
      <c r="AV73" s="13">
        <v>-0.27755543157190488</v>
      </c>
      <c r="AW73" s="13">
        <v>0.13481140551170173</v>
      </c>
      <c r="AX73" s="13">
        <v>87.634855117412883</v>
      </c>
      <c r="AY73" s="13">
        <v>109.76372064359977</v>
      </c>
      <c r="AZ73" s="13">
        <v>1.2073624045745228</v>
      </c>
      <c r="BA73" s="13">
        <v>2.0357142857142856</v>
      </c>
      <c r="BB73" s="13">
        <v>7.5983114863363701</v>
      </c>
      <c r="BC73" s="14">
        <v>0.39202508960573479</v>
      </c>
      <c r="BD73" s="14">
        <v>0.28082191780821919</v>
      </c>
      <c r="BE73" s="13">
        <v>9.0258415144030568</v>
      </c>
      <c r="BF73" s="14">
        <v>0.57534246575342463</v>
      </c>
      <c r="BG73" s="14">
        <v>0.50684931506849318</v>
      </c>
      <c r="BH73" s="13">
        <v>1.189958731570101</v>
      </c>
      <c r="BI73" s="13">
        <v>2.776570373663569</v>
      </c>
      <c r="BJ73" s="13">
        <v>1.8528190062173657</v>
      </c>
      <c r="BK73" s="13">
        <v>9.5750557521942827</v>
      </c>
      <c r="BL73" s="13">
        <v>2.2533904110094949</v>
      </c>
      <c r="BM73" s="13">
        <v>0</v>
      </c>
      <c r="BN73" s="13">
        <v>17.547100110823791</v>
      </c>
      <c r="BO73" s="15" t="s">
        <v>187</v>
      </c>
      <c r="BP73" s="15">
        <v>55000</v>
      </c>
      <c r="BQ73" s="12" t="s">
        <v>271</v>
      </c>
      <c r="BR73" s="26">
        <v>152.93</v>
      </c>
      <c r="BS73" s="27">
        <v>241.53</v>
      </c>
      <c r="BT73" s="27">
        <v>88.6</v>
      </c>
      <c r="BU73" s="26">
        <f t="shared" si="71"/>
        <v>5.461785714285714</v>
      </c>
      <c r="BV73" s="26">
        <f t="shared" si="72"/>
        <v>8.6260714285714286</v>
      </c>
      <c r="BW73" s="26">
        <f t="shared" si="72"/>
        <v>3.1642857142857141</v>
      </c>
      <c r="BX73" s="31">
        <f t="shared" si="26"/>
        <v>20.382740045537847</v>
      </c>
      <c r="BY73" s="31">
        <f t="shared" si="27"/>
        <v>32.191481090686956</v>
      </c>
      <c r="BZ73" s="31">
        <f t="shared" si="28"/>
        <v>11.808741045149109</v>
      </c>
      <c r="CA73" s="35">
        <v>15</v>
      </c>
      <c r="CB73" s="35">
        <v>13</v>
      </c>
    </row>
    <row r="74" spans="1:80" x14ac:dyDescent="0.4">
      <c r="A74" s="12" t="s">
        <v>191</v>
      </c>
      <c r="B74" s="12" t="s">
        <v>178</v>
      </c>
      <c r="C74" s="12" t="s">
        <v>50</v>
      </c>
      <c r="D74" s="11">
        <v>50</v>
      </c>
      <c r="E74" s="11">
        <v>33</v>
      </c>
      <c r="F74" s="11">
        <v>42</v>
      </c>
      <c r="G74" s="10">
        <v>101089</v>
      </c>
      <c r="H74" s="7">
        <v>1158</v>
      </c>
      <c r="I74" s="17">
        <f t="shared" si="50"/>
        <v>23.16</v>
      </c>
      <c r="J74" s="6">
        <v>482</v>
      </c>
      <c r="K74" s="6">
        <v>1091</v>
      </c>
      <c r="L74" s="17">
        <f t="shared" si="51"/>
        <v>9.64</v>
      </c>
      <c r="M74" s="17">
        <f t="shared" si="52"/>
        <v>21.82</v>
      </c>
      <c r="N74" s="33">
        <f t="shared" si="53"/>
        <v>0.44179651695692024</v>
      </c>
      <c r="O74" s="5">
        <v>396</v>
      </c>
      <c r="P74" s="7">
        <v>794</v>
      </c>
      <c r="Q74" s="17">
        <f t="shared" si="54"/>
        <v>7.92</v>
      </c>
      <c r="R74" s="17">
        <f t="shared" si="55"/>
        <v>15.88</v>
      </c>
      <c r="S74" s="33">
        <f t="shared" si="56"/>
        <v>0.4987405541561713</v>
      </c>
      <c r="T74" s="7">
        <v>86</v>
      </c>
      <c r="U74" s="7">
        <v>297</v>
      </c>
      <c r="V74" s="17">
        <f t="shared" si="57"/>
        <v>1.72</v>
      </c>
      <c r="W74" s="17">
        <f t="shared" si="58"/>
        <v>5.94</v>
      </c>
      <c r="X74" s="33">
        <f t="shared" si="59"/>
        <v>0.28956228956228958</v>
      </c>
      <c r="Y74" s="5">
        <v>108</v>
      </c>
      <c r="Z74" s="5">
        <v>161</v>
      </c>
      <c r="AA74" s="17">
        <f t="shared" si="60"/>
        <v>2.16</v>
      </c>
      <c r="AB74" s="17">
        <f t="shared" si="61"/>
        <v>3.22</v>
      </c>
      <c r="AC74" s="33">
        <f t="shared" si="62"/>
        <v>0.67080745341614911</v>
      </c>
      <c r="AD74" s="12">
        <v>543</v>
      </c>
      <c r="AE74" s="17">
        <f t="shared" si="63"/>
        <v>10.86</v>
      </c>
      <c r="AF74" s="12">
        <v>113</v>
      </c>
      <c r="AG74" s="17">
        <f t="shared" si="64"/>
        <v>2.2599999999999998</v>
      </c>
      <c r="AH74" s="6">
        <v>430</v>
      </c>
      <c r="AI74" s="17">
        <f t="shared" si="65"/>
        <v>8.6</v>
      </c>
      <c r="AJ74" s="6">
        <v>238</v>
      </c>
      <c r="AK74" s="17">
        <f t="shared" si="66"/>
        <v>4.76</v>
      </c>
      <c r="AL74" s="7">
        <v>61</v>
      </c>
      <c r="AM74" s="17">
        <f t="shared" si="67"/>
        <v>1.22</v>
      </c>
      <c r="AN74" s="7">
        <v>52</v>
      </c>
      <c r="AO74" s="17">
        <f t="shared" si="68"/>
        <v>1.04</v>
      </c>
      <c r="AP74" s="7">
        <v>94</v>
      </c>
      <c r="AQ74" s="17">
        <f t="shared" si="69"/>
        <v>1.88</v>
      </c>
      <c r="AR74" s="7">
        <v>76</v>
      </c>
      <c r="AS74" s="17">
        <f t="shared" si="70"/>
        <v>1.52</v>
      </c>
      <c r="AT74" s="13">
        <v>5.4970451831135723</v>
      </c>
      <c r="AU74" s="13">
        <v>0.13049365419854178</v>
      </c>
      <c r="AV74" s="13">
        <v>2.9988850833627065</v>
      </c>
      <c r="AW74" s="13">
        <v>2.4981600997508657</v>
      </c>
      <c r="AX74" s="13">
        <v>106.64045748990677</v>
      </c>
      <c r="AY74" s="13">
        <v>99.868498978805434</v>
      </c>
      <c r="AZ74" s="13">
        <v>17.820030108897779</v>
      </c>
      <c r="BA74" s="13">
        <v>25.92</v>
      </c>
      <c r="BB74" s="13">
        <v>30.76557863501484</v>
      </c>
      <c r="BC74" s="14">
        <v>0.49834744887419957</v>
      </c>
      <c r="BD74" s="14">
        <v>0.48120989917506873</v>
      </c>
      <c r="BE74" s="13">
        <v>33.289217733071709</v>
      </c>
      <c r="BF74" s="14">
        <v>0.27222731439046743</v>
      </c>
      <c r="BG74" s="14">
        <v>0.14757103574702107</v>
      </c>
      <c r="BH74" s="13">
        <v>7.1267071774770834</v>
      </c>
      <c r="BI74" s="13">
        <v>27.119328197479163</v>
      </c>
      <c r="BJ74" s="13">
        <v>15.99678296740324</v>
      </c>
      <c r="BK74" s="13">
        <v>28.028028028028025</v>
      </c>
      <c r="BL74" s="13">
        <v>2.0398718253781007</v>
      </c>
      <c r="BM74" s="13">
        <v>3.1700600025299517</v>
      </c>
      <c r="BN74" s="13">
        <v>7.4850299401197606</v>
      </c>
      <c r="BO74" s="15" t="s">
        <v>189</v>
      </c>
      <c r="BP74" s="15">
        <v>220000</v>
      </c>
      <c r="BQ74" s="12" t="s">
        <v>272</v>
      </c>
      <c r="BR74" s="26">
        <v>1880.4</v>
      </c>
      <c r="BS74" s="27">
        <v>2651.7</v>
      </c>
      <c r="BT74" s="27">
        <v>771.3</v>
      </c>
      <c r="BU74" s="26">
        <f t="shared" si="71"/>
        <v>37.608000000000004</v>
      </c>
      <c r="BV74" s="26">
        <f t="shared" si="72"/>
        <v>53.033999999999999</v>
      </c>
      <c r="BW74" s="26">
        <f t="shared" si="72"/>
        <v>15.425999999999998</v>
      </c>
      <c r="BX74" s="31">
        <f t="shared" si="26"/>
        <v>44.643433014472393</v>
      </c>
      <c r="BY74" s="31">
        <f t="shared" si="27"/>
        <v>62.955217679470564</v>
      </c>
      <c r="BZ74" s="31">
        <f t="shared" si="28"/>
        <v>18.311784664998171</v>
      </c>
      <c r="CA74" s="35">
        <v>31</v>
      </c>
      <c r="CB74" s="35">
        <v>19</v>
      </c>
    </row>
    <row r="75" spans="1:80" x14ac:dyDescent="0.4">
      <c r="A75" s="12" t="s">
        <v>191</v>
      </c>
      <c r="B75" s="12" t="s">
        <v>178</v>
      </c>
      <c r="C75" s="8" t="s">
        <v>52</v>
      </c>
      <c r="D75" s="32">
        <v>51</v>
      </c>
      <c r="E75" s="24">
        <v>15</v>
      </c>
      <c r="F75" s="24">
        <v>32</v>
      </c>
      <c r="G75" s="10">
        <v>47516</v>
      </c>
      <c r="H75" s="5">
        <v>161</v>
      </c>
      <c r="I75" s="17">
        <f t="shared" si="50"/>
        <v>3.1568627450980391</v>
      </c>
      <c r="J75" s="7">
        <v>60</v>
      </c>
      <c r="K75" s="7">
        <v>118</v>
      </c>
      <c r="L75" s="17">
        <f t="shared" si="51"/>
        <v>1.1764705882352942</v>
      </c>
      <c r="M75" s="17">
        <f t="shared" si="52"/>
        <v>2.3137254901960786</v>
      </c>
      <c r="N75" s="33">
        <f t="shared" si="53"/>
        <v>0.50847457627118642</v>
      </c>
      <c r="O75" s="12">
        <v>53</v>
      </c>
      <c r="P75" s="12">
        <v>94</v>
      </c>
      <c r="Q75" s="17">
        <f t="shared" si="54"/>
        <v>1.0392156862745099</v>
      </c>
      <c r="R75" s="17">
        <f t="shared" si="55"/>
        <v>1.8431372549019607</v>
      </c>
      <c r="S75" s="33">
        <f t="shared" si="56"/>
        <v>0.56382978723404253</v>
      </c>
      <c r="T75" s="12">
        <v>7</v>
      </c>
      <c r="U75" s="12">
        <v>24</v>
      </c>
      <c r="V75" s="17">
        <f t="shared" si="57"/>
        <v>0.13725490196078433</v>
      </c>
      <c r="W75" s="17">
        <f t="shared" si="58"/>
        <v>0.47058823529411764</v>
      </c>
      <c r="X75" s="33">
        <f t="shared" si="59"/>
        <v>0.29166666666666669</v>
      </c>
      <c r="Y75" s="12">
        <v>34</v>
      </c>
      <c r="Z75" s="12">
        <v>48</v>
      </c>
      <c r="AA75" s="17">
        <f t="shared" si="60"/>
        <v>0.66666666666666663</v>
      </c>
      <c r="AB75" s="17">
        <f t="shared" si="61"/>
        <v>0.94117647058823528</v>
      </c>
      <c r="AC75" s="33">
        <f t="shared" si="62"/>
        <v>0.70833333333333337</v>
      </c>
      <c r="AD75" s="12">
        <v>154</v>
      </c>
      <c r="AE75" s="17">
        <f t="shared" si="63"/>
        <v>3.0196078431372548</v>
      </c>
      <c r="AF75" s="12">
        <v>64</v>
      </c>
      <c r="AG75" s="17">
        <f t="shared" si="64"/>
        <v>1.2549019607843137</v>
      </c>
      <c r="AH75" s="12">
        <v>90</v>
      </c>
      <c r="AI75" s="17">
        <f t="shared" si="65"/>
        <v>1.7647058823529411</v>
      </c>
      <c r="AJ75" s="11">
        <v>36</v>
      </c>
      <c r="AK75" s="17">
        <f t="shared" si="66"/>
        <v>0.70588235294117652</v>
      </c>
      <c r="AL75" s="12">
        <v>17</v>
      </c>
      <c r="AM75" s="17">
        <f t="shared" si="67"/>
        <v>0.33333333333333331</v>
      </c>
      <c r="AN75" s="12">
        <v>7</v>
      </c>
      <c r="AO75" s="17">
        <f t="shared" si="68"/>
        <v>0.13725490196078433</v>
      </c>
      <c r="AP75" s="12">
        <v>20</v>
      </c>
      <c r="AQ75" s="17">
        <f t="shared" si="69"/>
        <v>0.39215686274509803</v>
      </c>
      <c r="AR75" s="12">
        <v>89</v>
      </c>
      <c r="AS75" s="17">
        <f t="shared" si="70"/>
        <v>1.7450980392156863</v>
      </c>
      <c r="AT75" s="13">
        <v>1.5706791055927971</v>
      </c>
      <c r="AU75" s="13">
        <v>7.9307200484362378E-2</v>
      </c>
      <c r="AV75" s="13">
        <v>1.1389486116242922</v>
      </c>
      <c r="AW75" s="13">
        <v>0.43173049396850499</v>
      </c>
      <c r="AX75" s="13">
        <v>122.39250525393058</v>
      </c>
      <c r="AY75" s="13">
        <v>108.84723104943507</v>
      </c>
      <c r="AZ75" s="13">
        <v>6.2446246259641844</v>
      </c>
      <c r="BA75" s="13">
        <v>5.5490196078431371</v>
      </c>
      <c r="BB75" s="13">
        <v>14.289320878566018</v>
      </c>
      <c r="BC75" s="14">
        <v>0.57863714778608388</v>
      </c>
      <c r="BD75" s="14">
        <v>0.53813559322033899</v>
      </c>
      <c r="BE75" s="13">
        <v>9.150804709528277</v>
      </c>
      <c r="BF75" s="14">
        <v>0.20338983050847459</v>
      </c>
      <c r="BG75" s="14">
        <v>0.40677966101694918</v>
      </c>
      <c r="BH75" s="13">
        <v>8.7570067456317577</v>
      </c>
      <c r="BI75" s="13">
        <v>12.314540736044661</v>
      </c>
      <c r="BJ75" s="13">
        <v>9.8428027700459229</v>
      </c>
      <c r="BK75" s="13">
        <v>6.5032817486602044</v>
      </c>
      <c r="BL75" s="13">
        <v>1.209169079632062</v>
      </c>
      <c r="BM75" s="13">
        <v>0.92582183220140579</v>
      </c>
      <c r="BN75" s="13">
        <v>12.569130216189039</v>
      </c>
      <c r="BO75" s="15" t="s">
        <v>187</v>
      </c>
      <c r="BP75" s="15">
        <v>45000</v>
      </c>
      <c r="BQ75" s="12" t="s">
        <v>273</v>
      </c>
      <c r="BR75" s="26">
        <v>535.98</v>
      </c>
      <c r="BS75" s="27">
        <v>633.48</v>
      </c>
      <c r="BT75" s="27">
        <v>97.5</v>
      </c>
      <c r="BU75" s="26">
        <f t="shared" si="71"/>
        <v>10.509411764705883</v>
      </c>
      <c r="BV75" s="26">
        <f t="shared" si="72"/>
        <v>12.421176470588236</v>
      </c>
      <c r="BW75" s="26">
        <f t="shared" si="72"/>
        <v>1.911764705882353</v>
      </c>
      <c r="BX75" s="31">
        <f t="shared" si="26"/>
        <v>27.071975755534979</v>
      </c>
      <c r="BY75" s="31">
        <f t="shared" si="27"/>
        <v>31.996632713191346</v>
      </c>
      <c r="BZ75" s="31">
        <f t="shared" si="28"/>
        <v>4.9246569576563681</v>
      </c>
      <c r="CA75" s="35">
        <v>31</v>
      </c>
      <c r="CB75" s="35">
        <v>20</v>
      </c>
    </row>
    <row r="76" spans="1:80" x14ac:dyDescent="0.4">
      <c r="A76" s="12" t="s">
        <v>191</v>
      </c>
      <c r="B76" s="12" t="s">
        <v>178</v>
      </c>
      <c r="C76" s="4" t="s">
        <v>53</v>
      </c>
      <c r="D76" s="5">
        <v>38</v>
      </c>
      <c r="E76" s="22">
        <v>13</v>
      </c>
      <c r="F76" s="22">
        <v>22</v>
      </c>
      <c r="G76" s="10">
        <v>30493</v>
      </c>
      <c r="H76" s="5">
        <v>57</v>
      </c>
      <c r="I76" s="17">
        <f t="shared" si="50"/>
        <v>1.5</v>
      </c>
      <c r="J76" s="7">
        <v>17</v>
      </c>
      <c r="K76" s="7">
        <v>64</v>
      </c>
      <c r="L76" s="17">
        <f t="shared" si="51"/>
        <v>0.44736842105263158</v>
      </c>
      <c r="M76" s="17">
        <f t="shared" si="52"/>
        <v>1.6842105263157894</v>
      </c>
      <c r="N76" s="33">
        <f t="shared" si="53"/>
        <v>0.265625</v>
      </c>
      <c r="O76" s="12">
        <v>6</v>
      </c>
      <c r="P76" s="12">
        <v>19</v>
      </c>
      <c r="Q76" s="17">
        <f t="shared" si="54"/>
        <v>0.15789473684210525</v>
      </c>
      <c r="R76" s="17">
        <f t="shared" si="55"/>
        <v>0.5</v>
      </c>
      <c r="S76" s="33">
        <f t="shared" si="56"/>
        <v>0.31578947368421051</v>
      </c>
      <c r="T76" s="12">
        <v>11</v>
      </c>
      <c r="U76" s="12">
        <v>45</v>
      </c>
      <c r="V76" s="17">
        <f t="shared" si="57"/>
        <v>0.28947368421052633</v>
      </c>
      <c r="W76" s="17">
        <f t="shared" si="58"/>
        <v>1.1842105263157894</v>
      </c>
      <c r="X76" s="33">
        <f t="shared" si="59"/>
        <v>0.24444444444444444</v>
      </c>
      <c r="Y76" s="12">
        <v>12</v>
      </c>
      <c r="Z76" s="12">
        <v>12</v>
      </c>
      <c r="AA76" s="17">
        <f t="shared" si="60"/>
        <v>0.31578947368421051</v>
      </c>
      <c r="AB76" s="17">
        <f t="shared" si="61"/>
        <v>0.31578947368421051</v>
      </c>
      <c r="AC76" s="33">
        <f t="shared" si="62"/>
        <v>1</v>
      </c>
      <c r="AD76" s="12">
        <v>88</v>
      </c>
      <c r="AE76" s="17">
        <f t="shared" si="63"/>
        <v>2.3157894736842106</v>
      </c>
      <c r="AF76" s="12">
        <v>41</v>
      </c>
      <c r="AG76" s="17">
        <f t="shared" si="64"/>
        <v>1.0789473684210527</v>
      </c>
      <c r="AH76" s="12">
        <v>47</v>
      </c>
      <c r="AI76" s="17">
        <f t="shared" si="65"/>
        <v>1.236842105263158</v>
      </c>
      <c r="AJ76" s="11">
        <v>42</v>
      </c>
      <c r="AK76" s="17">
        <f t="shared" si="66"/>
        <v>1.1052631578947369</v>
      </c>
      <c r="AL76" s="12">
        <v>31</v>
      </c>
      <c r="AM76" s="17">
        <f t="shared" si="67"/>
        <v>0.81578947368421051</v>
      </c>
      <c r="AN76" s="12">
        <v>2</v>
      </c>
      <c r="AO76" s="17">
        <f t="shared" si="68"/>
        <v>5.2631578947368418E-2</v>
      </c>
      <c r="AP76" s="12">
        <v>22</v>
      </c>
      <c r="AQ76" s="17">
        <f t="shared" si="69"/>
        <v>0.57894736842105265</v>
      </c>
      <c r="AR76" s="12">
        <v>58</v>
      </c>
      <c r="AS76" s="17">
        <f t="shared" si="70"/>
        <v>1.5263157894736843</v>
      </c>
      <c r="AT76" s="13">
        <v>0.55787756155089463</v>
      </c>
      <c r="AU76" s="13">
        <v>4.393313255421142E-2</v>
      </c>
      <c r="AV76" s="13">
        <v>7.0381760317539885E-2</v>
      </c>
      <c r="AW76" s="13">
        <v>0.48749580123335479</v>
      </c>
      <c r="AX76" s="13">
        <v>99.640826409207179</v>
      </c>
      <c r="AY76" s="13">
        <v>104.87515843583</v>
      </c>
      <c r="AZ76" s="13">
        <v>3.4825811419609245</v>
      </c>
      <c r="BA76" s="13">
        <v>3.9736842105263159</v>
      </c>
      <c r="BB76" s="13">
        <v>11.891324320777006</v>
      </c>
      <c r="BC76" s="14">
        <v>0.4113741339491917</v>
      </c>
      <c r="BD76" s="14">
        <v>0.3515625</v>
      </c>
      <c r="BE76" s="13">
        <v>6.1003070113610418</v>
      </c>
      <c r="BF76" s="14">
        <v>0.703125</v>
      </c>
      <c r="BG76" s="14">
        <v>0.1875</v>
      </c>
      <c r="BH76" s="13">
        <v>6.519302169655564</v>
      </c>
      <c r="BI76" s="13">
        <v>7.4733463896051582</v>
      </c>
      <c r="BJ76" s="13">
        <v>6.5361540304116845</v>
      </c>
      <c r="BK76" s="13">
        <v>8.2194461658892983</v>
      </c>
      <c r="BL76" s="13">
        <v>3.4389663717741374</v>
      </c>
      <c r="BM76" s="13">
        <v>0.307397915073641</v>
      </c>
      <c r="BN76" s="13">
        <v>24.101665205959684</v>
      </c>
      <c r="BO76" s="15" t="s">
        <v>187</v>
      </c>
      <c r="BP76" s="15">
        <v>40000</v>
      </c>
      <c r="BQ76" s="12" t="s">
        <v>271</v>
      </c>
      <c r="BR76" s="26">
        <v>319.45</v>
      </c>
      <c r="BS76" s="27">
        <v>396.05</v>
      </c>
      <c r="BT76" s="27">
        <v>76.599999999999994</v>
      </c>
      <c r="BU76" s="26">
        <f t="shared" si="71"/>
        <v>8.4065789473684216</v>
      </c>
      <c r="BV76" s="26">
        <f t="shared" si="72"/>
        <v>10.422368421052632</v>
      </c>
      <c r="BW76" s="26">
        <f t="shared" si="72"/>
        <v>2.0157894736842104</v>
      </c>
      <c r="BX76" s="31">
        <f t="shared" si="26"/>
        <v>25.142819663529338</v>
      </c>
      <c r="BY76" s="31">
        <f t="shared" si="27"/>
        <v>31.171744334765357</v>
      </c>
      <c r="BZ76" s="31">
        <f t="shared" si="28"/>
        <v>6.0289246712360214</v>
      </c>
      <c r="CA76" s="35">
        <v>23</v>
      </c>
      <c r="CB76" s="35">
        <v>15</v>
      </c>
    </row>
    <row r="77" spans="1:80" x14ac:dyDescent="0.4">
      <c r="A77" s="12" t="s">
        <v>191</v>
      </c>
      <c r="B77" s="12" t="s">
        <v>178</v>
      </c>
      <c r="C77" s="8" t="s">
        <v>241</v>
      </c>
      <c r="D77" s="5">
        <v>1</v>
      </c>
      <c r="E77" s="22">
        <v>14</v>
      </c>
      <c r="F77" s="22">
        <v>56</v>
      </c>
      <c r="G77" s="10">
        <v>896</v>
      </c>
      <c r="H77" s="5">
        <v>8</v>
      </c>
      <c r="I77" s="17">
        <f t="shared" si="50"/>
        <v>8</v>
      </c>
      <c r="J77" s="7">
        <v>2</v>
      </c>
      <c r="K77" s="7">
        <v>5</v>
      </c>
      <c r="L77" s="17">
        <f t="shared" si="51"/>
        <v>2</v>
      </c>
      <c r="M77" s="17">
        <f t="shared" si="52"/>
        <v>5</v>
      </c>
      <c r="N77" s="33">
        <f t="shared" si="53"/>
        <v>0.4</v>
      </c>
      <c r="O77" s="12">
        <v>2</v>
      </c>
      <c r="P77" s="12">
        <v>5</v>
      </c>
      <c r="Q77" s="17">
        <f t="shared" si="54"/>
        <v>2</v>
      </c>
      <c r="R77" s="17">
        <f t="shared" si="55"/>
        <v>5</v>
      </c>
      <c r="S77" s="33">
        <f t="shared" si="56"/>
        <v>0.4</v>
      </c>
      <c r="T77" s="12">
        <v>0</v>
      </c>
      <c r="U77" s="12">
        <v>0</v>
      </c>
      <c r="V77" s="17">
        <f t="shared" si="57"/>
        <v>0</v>
      </c>
      <c r="W77" s="17">
        <f t="shared" si="58"/>
        <v>0</v>
      </c>
      <c r="X77" s="33" t="e">
        <f t="shared" si="59"/>
        <v>#DIV/0!</v>
      </c>
      <c r="Y77" s="12">
        <v>4</v>
      </c>
      <c r="Z77" s="12">
        <v>4</v>
      </c>
      <c r="AA77" s="17">
        <f t="shared" si="60"/>
        <v>4</v>
      </c>
      <c r="AB77" s="17">
        <f t="shared" si="61"/>
        <v>4</v>
      </c>
      <c r="AC77" s="33">
        <f t="shared" si="62"/>
        <v>1</v>
      </c>
      <c r="AD77" s="12">
        <v>7</v>
      </c>
      <c r="AE77" s="17">
        <f t="shared" si="63"/>
        <v>7</v>
      </c>
      <c r="AF77" s="12">
        <v>4</v>
      </c>
      <c r="AG77" s="17">
        <f t="shared" si="64"/>
        <v>4</v>
      </c>
      <c r="AH77" s="12">
        <v>3</v>
      </c>
      <c r="AI77" s="17">
        <f t="shared" si="65"/>
        <v>3</v>
      </c>
      <c r="AJ77" s="11">
        <v>0</v>
      </c>
      <c r="AK77" s="17">
        <f t="shared" si="66"/>
        <v>0</v>
      </c>
      <c r="AL77" s="12">
        <v>0</v>
      </c>
      <c r="AM77" s="17">
        <f t="shared" si="67"/>
        <v>0</v>
      </c>
      <c r="AN77" s="12">
        <v>0</v>
      </c>
      <c r="AO77" s="17">
        <f t="shared" si="68"/>
        <v>0</v>
      </c>
      <c r="AP77" s="12">
        <v>1</v>
      </c>
      <c r="AQ77" s="17">
        <f t="shared" si="69"/>
        <v>1</v>
      </c>
      <c r="AR77" s="12">
        <v>1</v>
      </c>
      <c r="AS77" s="17">
        <f t="shared" si="70"/>
        <v>1</v>
      </c>
      <c r="AT77" s="13">
        <v>6.9798525630554942E-2</v>
      </c>
      <c r="AU77" s="13">
        <v>0.18696033651041502</v>
      </c>
      <c r="AV77" s="13">
        <v>6.1389641203422579E-2</v>
      </c>
      <c r="AW77" s="13">
        <v>8.4088844271323609E-3</v>
      </c>
      <c r="AX77" s="13">
        <v>125.34545746367189</v>
      </c>
      <c r="AY77" s="13">
        <v>108.67372693590876</v>
      </c>
      <c r="AZ77" s="13">
        <v>0.30526887864954688</v>
      </c>
      <c r="BA77" s="13">
        <v>11</v>
      </c>
      <c r="BB77" s="13">
        <v>29.464285714285712</v>
      </c>
      <c r="BC77" s="14">
        <v>0.59171597633136097</v>
      </c>
      <c r="BD77" s="14">
        <v>0.4</v>
      </c>
      <c r="BE77" s="13">
        <v>0.46419893620279529</v>
      </c>
      <c r="BF77" s="14">
        <v>0</v>
      </c>
      <c r="BG77" s="14">
        <v>0.8</v>
      </c>
      <c r="BH77" s="13">
        <v>0.56930317291635046</v>
      </c>
      <c r="BI77" s="13">
        <v>0.42697737968726279</v>
      </c>
      <c r="BJ77" s="13">
        <v>0.46537602382725241</v>
      </c>
      <c r="BK77" s="13">
        <v>0</v>
      </c>
      <c r="BL77" s="13">
        <v>0</v>
      </c>
      <c r="BM77" s="13">
        <v>0</v>
      </c>
      <c r="BN77" s="13">
        <v>12.88659793814433</v>
      </c>
      <c r="BO77" s="15" t="s">
        <v>187</v>
      </c>
      <c r="BP77" s="15">
        <v>57580</v>
      </c>
      <c r="BQ77" s="12" t="s">
        <v>272</v>
      </c>
      <c r="BR77" s="26">
        <v>16.23</v>
      </c>
      <c r="BS77" s="27">
        <v>20.73</v>
      </c>
      <c r="BT77" s="27">
        <v>4.5</v>
      </c>
      <c r="BU77" s="26">
        <f t="shared" si="71"/>
        <v>16.23</v>
      </c>
      <c r="BV77" s="26">
        <f t="shared" si="72"/>
        <v>20.73</v>
      </c>
      <c r="BW77" s="26">
        <f t="shared" si="72"/>
        <v>4.5</v>
      </c>
      <c r="BX77" s="31">
        <f t="shared" si="26"/>
        <v>43.473214285714285</v>
      </c>
      <c r="BY77" s="31">
        <f t="shared" si="27"/>
        <v>55.526785714285715</v>
      </c>
      <c r="BZ77" s="31">
        <f t="shared" si="28"/>
        <v>12.053571428571429</v>
      </c>
      <c r="CA77" s="35">
        <v>0</v>
      </c>
      <c r="CB77" s="35">
        <v>1</v>
      </c>
    </row>
    <row r="78" spans="1:80" x14ac:dyDescent="0.4">
      <c r="A78" s="12" t="s">
        <v>191</v>
      </c>
      <c r="B78" s="12" t="s">
        <v>183</v>
      </c>
      <c r="C78" s="4" t="s">
        <v>114</v>
      </c>
      <c r="D78" s="5">
        <v>2</v>
      </c>
      <c r="E78" s="22">
        <v>2</v>
      </c>
      <c r="F78" s="22">
        <v>24</v>
      </c>
      <c r="G78" s="10">
        <v>288</v>
      </c>
      <c r="H78" s="5">
        <v>0</v>
      </c>
      <c r="I78" s="17">
        <f t="shared" si="50"/>
        <v>0</v>
      </c>
      <c r="J78" s="7">
        <v>0</v>
      </c>
      <c r="K78" s="7">
        <v>2</v>
      </c>
      <c r="L78" s="17">
        <f t="shared" si="51"/>
        <v>0</v>
      </c>
      <c r="M78" s="17">
        <f t="shared" si="52"/>
        <v>1</v>
      </c>
      <c r="N78" s="33">
        <f t="shared" si="53"/>
        <v>0</v>
      </c>
      <c r="O78" s="12">
        <v>0</v>
      </c>
      <c r="P78" s="12">
        <v>2</v>
      </c>
      <c r="Q78" s="17">
        <f t="shared" si="54"/>
        <v>0</v>
      </c>
      <c r="R78" s="17">
        <f t="shared" si="55"/>
        <v>1</v>
      </c>
      <c r="S78" s="33">
        <f t="shared" si="56"/>
        <v>0</v>
      </c>
      <c r="T78" s="12">
        <v>0</v>
      </c>
      <c r="U78" s="12">
        <v>0</v>
      </c>
      <c r="V78" s="17">
        <f t="shared" si="57"/>
        <v>0</v>
      </c>
      <c r="W78" s="17">
        <f t="shared" si="58"/>
        <v>0</v>
      </c>
      <c r="X78" s="33" t="e">
        <f t="shared" si="59"/>
        <v>#DIV/0!</v>
      </c>
      <c r="Y78" s="12">
        <v>0</v>
      </c>
      <c r="Z78" s="12">
        <v>0</v>
      </c>
      <c r="AA78" s="17">
        <f t="shared" si="60"/>
        <v>0</v>
      </c>
      <c r="AB78" s="17">
        <f t="shared" si="61"/>
        <v>0</v>
      </c>
      <c r="AC78" s="33" t="e">
        <f t="shared" si="62"/>
        <v>#DIV/0!</v>
      </c>
      <c r="AD78" s="12">
        <v>0</v>
      </c>
      <c r="AE78" s="17">
        <f t="shared" si="63"/>
        <v>0</v>
      </c>
      <c r="AF78" s="12">
        <v>0</v>
      </c>
      <c r="AG78" s="17">
        <f t="shared" si="64"/>
        <v>0</v>
      </c>
      <c r="AH78" s="12">
        <v>0</v>
      </c>
      <c r="AI78" s="17">
        <f t="shared" si="65"/>
        <v>0</v>
      </c>
      <c r="AJ78" s="12">
        <v>0</v>
      </c>
      <c r="AK78" s="17">
        <f t="shared" si="66"/>
        <v>0</v>
      </c>
      <c r="AL78" s="12">
        <v>0</v>
      </c>
      <c r="AM78" s="17">
        <f t="shared" si="67"/>
        <v>0</v>
      </c>
      <c r="AN78" s="12">
        <v>0</v>
      </c>
      <c r="AO78" s="17">
        <f t="shared" si="68"/>
        <v>0</v>
      </c>
      <c r="AP78" s="12">
        <v>0</v>
      </c>
      <c r="AQ78" s="17">
        <f t="shared" si="69"/>
        <v>0</v>
      </c>
      <c r="AR78" s="12">
        <v>0</v>
      </c>
      <c r="AS78" s="17">
        <f t="shared" si="70"/>
        <v>0</v>
      </c>
      <c r="AT78" s="13">
        <v>-5.2809258447820168E-2</v>
      </c>
      <c r="AU78" s="13">
        <v>-0.44007715373183476</v>
      </c>
      <c r="AV78" s="13">
        <v>-4.7670413635954978E-2</v>
      </c>
      <c r="AW78" s="13">
        <v>-5.1388448118651932E-3</v>
      </c>
      <c r="AX78" s="13">
        <v>0</v>
      </c>
      <c r="AY78" s="13">
        <v>123.02510837991326</v>
      </c>
      <c r="AZ78" s="13">
        <v>-0.48878978828118097</v>
      </c>
      <c r="BA78" s="13">
        <v>-1</v>
      </c>
      <c r="BB78" s="13">
        <v>-16.666666666666668</v>
      </c>
      <c r="BC78" s="14">
        <v>0</v>
      </c>
      <c r="BD78" s="14">
        <v>0</v>
      </c>
      <c r="BE78" s="13">
        <v>0.74441982896210002</v>
      </c>
      <c r="BF78" s="14">
        <v>0</v>
      </c>
      <c r="BG78" s="14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5" t="s">
        <v>187</v>
      </c>
      <c r="BP78" s="15"/>
      <c r="BQ78" s="12" t="s">
        <v>272</v>
      </c>
      <c r="BR78" s="26">
        <v>-0.8</v>
      </c>
      <c r="BS78" s="27">
        <v>1.2</v>
      </c>
      <c r="BT78" s="27">
        <v>2</v>
      </c>
      <c r="BU78" s="26">
        <f t="shared" si="71"/>
        <v>-0.4</v>
      </c>
      <c r="BV78" s="26">
        <f t="shared" si="72"/>
        <v>0.6</v>
      </c>
      <c r="BW78" s="26">
        <f t="shared" si="72"/>
        <v>1</v>
      </c>
      <c r="BX78" s="31">
        <f t="shared" ref="BX78:BX141" si="73">BY78-BZ78</f>
        <v>-6.6666666666666679</v>
      </c>
      <c r="BY78" s="31">
        <f t="shared" ref="BY78:BY141" si="74">BS78*2400/$G78</f>
        <v>10</v>
      </c>
      <c r="BZ78" s="31">
        <f t="shared" ref="BZ78:BZ141" si="75">BT78*2400/$G78</f>
        <v>16.666666666666668</v>
      </c>
      <c r="CA78" s="30">
        <v>0</v>
      </c>
      <c r="CB78" s="30">
        <v>2</v>
      </c>
    </row>
    <row r="79" spans="1:80" x14ac:dyDescent="0.4">
      <c r="A79" s="12" t="s">
        <v>191</v>
      </c>
      <c r="B79" s="12" t="s">
        <v>183</v>
      </c>
      <c r="C79" s="4" t="s">
        <v>100</v>
      </c>
      <c r="D79" s="5">
        <v>27</v>
      </c>
      <c r="E79" s="22">
        <v>10</v>
      </c>
      <c r="F79" s="22">
        <v>53</v>
      </c>
      <c r="G79" s="10">
        <v>17629</v>
      </c>
      <c r="H79" s="5">
        <v>62</v>
      </c>
      <c r="I79" s="17">
        <f t="shared" si="50"/>
        <v>2.2962962962962963</v>
      </c>
      <c r="J79" s="7">
        <v>28</v>
      </c>
      <c r="K79" s="7">
        <v>71</v>
      </c>
      <c r="L79" s="17">
        <f t="shared" si="51"/>
        <v>1.037037037037037</v>
      </c>
      <c r="M79" s="17">
        <f t="shared" si="52"/>
        <v>2.6296296296296298</v>
      </c>
      <c r="N79" s="33">
        <f t="shared" si="53"/>
        <v>0.39436619718309857</v>
      </c>
      <c r="O79" s="12">
        <v>22</v>
      </c>
      <c r="P79" s="12">
        <v>49</v>
      </c>
      <c r="Q79" s="17">
        <f t="shared" si="54"/>
        <v>0.81481481481481477</v>
      </c>
      <c r="R79" s="17">
        <f t="shared" si="55"/>
        <v>1.8148148148148149</v>
      </c>
      <c r="S79" s="33">
        <f t="shared" si="56"/>
        <v>0.44897959183673469</v>
      </c>
      <c r="T79" s="12">
        <v>6</v>
      </c>
      <c r="U79" s="12">
        <v>22</v>
      </c>
      <c r="V79" s="17">
        <f t="shared" si="57"/>
        <v>0.22222222222222221</v>
      </c>
      <c r="W79" s="17">
        <f t="shared" si="58"/>
        <v>0.81481481481481477</v>
      </c>
      <c r="X79" s="33">
        <f t="shared" si="59"/>
        <v>0.27272727272727271</v>
      </c>
      <c r="Y79" s="12">
        <v>0</v>
      </c>
      <c r="Z79" s="12">
        <v>0</v>
      </c>
      <c r="AA79" s="17">
        <f t="shared" si="60"/>
        <v>0</v>
      </c>
      <c r="AB79" s="17">
        <f t="shared" si="61"/>
        <v>0</v>
      </c>
      <c r="AC79" s="33" t="e">
        <f t="shared" si="62"/>
        <v>#DIV/0!</v>
      </c>
      <c r="AD79" s="12">
        <v>24</v>
      </c>
      <c r="AE79" s="17">
        <f t="shared" si="63"/>
        <v>0.88888888888888884</v>
      </c>
      <c r="AF79" s="12">
        <v>7</v>
      </c>
      <c r="AG79" s="17">
        <f t="shared" si="64"/>
        <v>0.25925925925925924</v>
      </c>
      <c r="AH79" s="12">
        <v>17</v>
      </c>
      <c r="AI79" s="17">
        <f t="shared" si="65"/>
        <v>0.62962962962962965</v>
      </c>
      <c r="AJ79" s="12">
        <v>36</v>
      </c>
      <c r="AK79" s="17">
        <f t="shared" si="66"/>
        <v>1.3333333333333333</v>
      </c>
      <c r="AL79" s="12">
        <v>4</v>
      </c>
      <c r="AM79" s="17">
        <f t="shared" si="67"/>
        <v>0.14814814814814814</v>
      </c>
      <c r="AN79" s="12">
        <v>2</v>
      </c>
      <c r="AO79" s="17">
        <f t="shared" si="68"/>
        <v>7.407407407407407E-2</v>
      </c>
      <c r="AP79" s="12">
        <v>16</v>
      </c>
      <c r="AQ79" s="17">
        <f t="shared" si="69"/>
        <v>0.59259259259259256</v>
      </c>
      <c r="AR79" s="12">
        <v>30</v>
      </c>
      <c r="AS79" s="17">
        <f t="shared" si="70"/>
        <v>1.1111111111111112</v>
      </c>
      <c r="AT79" s="13">
        <v>-0.28907426718339091</v>
      </c>
      <c r="AU79" s="13">
        <v>-3.9349908753907217E-2</v>
      </c>
      <c r="AV79" s="13">
        <v>-0.13837669778032893</v>
      </c>
      <c r="AW79" s="13">
        <v>-0.150697569403062</v>
      </c>
      <c r="AX79" s="13">
        <v>91.970735683227332</v>
      </c>
      <c r="AY79" s="13">
        <v>118.3576316869771</v>
      </c>
      <c r="AZ79" s="13">
        <v>1.8782410152056435</v>
      </c>
      <c r="BA79" s="13">
        <v>2.5555555555555554</v>
      </c>
      <c r="BB79" s="13">
        <v>9.3925472179683496</v>
      </c>
      <c r="BC79" s="14">
        <v>0.43661971830985913</v>
      </c>
      <c r="BD79" s="14">
        <v>0.43661971830985913</v>
      </c>
      <c r="BE79" s="13">
        <v>7.1409583592934061</v>
      </c>
      <c r="BF79" s="14">
        <v>0.30985915492957744</v>
      </c>
      <c r="BG79" s="14">
        <v>0</v>
      </c>
      <c r="BH79" s="13">
        <v>1.3670250767731047</v>
      </c>
      <c r="BI79" s="13">
        <v>3.3199180435918261</v>
      </c>
      <c r="BJ79" s="13">
        <v>2.1893340661520972</v>
      </c>
      <c r="BK79" s="13">
        <v>8.9576378377257537</v>
      </c>
      <c r="BL79" s="13">
        <v>0.7670209850039692</v>
      </c>
      <c r="BM79" s="13">
        <v>0.37753924638447184</v>
      </c>
      <c r="BN79" s="13">
        <v>18.390804597701148</v>
      </c>
      <c r="BO79" s="15" t="s">
        <v>187</v>
      </c>
      <c r="BP79" s="15">
        <v>95000</v>
      </c>
      <c r="BQ79" s="12" t="s">
        <v>271</v>
      </c>
      <c r="BR79" s="26">
        <v>159.05000000000001</v>
      </c>
      <c r="BS79" s="27">
        <v>224.45</v>
      </c>
      <c r="BT79" s="27">
        <v>65.400000000000006</v>
      </c>
      <c r="BU79" s="26">
        <f t="shared" si="71"/>
        <v>5.8907407407407408</v>
      </c>
      <c r="BV79" s="26">
        <f t="shared" si="72"/>
        <v>8.3129629629629633</v>
      </c>
      <c r="BW79" s="26">
        <f t="shared" si="72"/>
        <v>2.4222222222222225</v>
      </c>
      <c r="BX79" s="31">
        <f t="shared" si="73"/>
        <v>21.652958193885077</v>
      </c>
      <c r="BY79" s="31">
        <f t="shared" si="74"/>
        <v>30.556469453740995</v>
      </c>
      <c r="BZ79" s="31">
        <f t="shared" si="75"/>
        <v>8.9035112598559198</v>
      </c>
      <c r="CA79" s="30">
        <v>6</v>
      </c>
      <c r="CB79" s="30">
        <v>21</v>
      </c>
    </row>
    <row r="80" spans="1:80" x14ac:dyDescent="0.4">
      <c r="A80" s="12" t="s">
        <v>191</v>
      </c>
      <c r="B80" s="12" t="s">
        <v>183</v>
      </c>
      <c r="C80" s="4" t="s">
        <v>162</v>
      </c>
      <c r="D80" s="5">
        <v>6</v>
      </c>
      <c r="E80" s="22">
        <v>3</v>
      </c>
      <c r="F80" s="22">
        <v>28</v>
      </c>
      <c r="G80" s="10">
        <v>1247</v>
      </c>
      <c r="H80" s="5">
        <v>3</v>
      </c>
      <c r="I80" s="17">
        <f t="shared" si="50"/>
        <v>0.5</v>
      </c>
      <c r="J80" s="7">
        <v>1</v>
      </c>
      <c r="K80" s="7">
        <v>5</v>
      </c>
      <c r="L80" s="17">
        <f t="shared" si="51"/>
        <v>0.16666666666666666</v>
      </c>
      <c r="M80" s="17">
        <f t="shared" si="52"/>
        <v>0.83333333333333337</v>
      </c>
      <c r="N80" s="33">
        <f t="shared" si="53"/>
        <v>0.2</v>
      </c>
      <c r="O80" s="12">
        <v>1</v>
      </c>
      <c r="P80" s="12">
        <v>5</v>
      </c>
      <c r="Q80" s="17">
        <f t="shared" si="54"/>
        <v>0.16666666666666666</v>
      </c>
      <c r="R80" s="17">
        <f t="shared" si="55"/>
        <v>0.83333333333333337</v>
      </c>
      <c r="S80" s="33">
        <f t="shared" si="56"/>
        <v>0.2</v>
      </c>
      <c r="T80" s="12">
        <v>0</v>
      </c>
      <c r="U80" s="12">
        <v>0</v>
      </c>
      <c r="V80" s="17">
        <f t="shared" si="57"/>
        <v>0</v>
      </c>
      <c r="W80" s="17">
        <f t="shared" si="58"/>
        <v>0</v>
      </c>
      <c r="X80" s="33" t="e">
        <f t="shared" si="59"/>
        <v>#DIV/0!</v>
      </c>
      <c r="Y80" s="12">
        <v>1</v>
      </c>
      <c r="Z80" s="12">
        <v>2</v>
      </c>
      <c r="AA80" s="17">
        <f t="shared" si="60"/>
        <v>0.16666666666666666</v>
      </c>
      <c r="AB80" s="17">
        <f t="shared" si="61"/>
        <v>0.33333333333333331</v>
      </c>
      <c r="AC80" s="33">
        <f t="shared" si="62"/>
        <v>0.5</v>
      </c>
      <c r="AD80" s="12">
        <v>7</v>
      </c>
      <c r="AE80" s="17">
        <f t="shared" si="63"/>
        <v>1.1666666666666667</v>
      </c>
      <c r="AF80" s="12">
        <v>4</v>
      </c>
      <c r="AG80" s="17">
        <f t="shared" si="64"/>
        <v>0.66666666666666663</v>
      </c>
      <c r="AH80" s="12">
        <v>3</v>
      </c>
      <c r="AI80" s="17">
        <f t="shared" si="65"/>
        <v>0.5</v>
      </c>
      <c r="AJ80" s="12">
        <v>0</v>
      </c>
      <c r="AK80" s="17">
        <f t="shared" si="66"/>
        <v>0</v>
      </c>
      <c r="AL80" s="12">
        <v>1</v>
      </c>
      <c r="AM80" s="17">
        <f t="shared" si="67"/>
        <v>0.16666666666666666</v>
      </c>
      <c r="AN80" s="12">
        <v>0</v>
      </c>
      <c r="AO80" s="17">
        <f t="shared" si="68"/>
        <v>0</v>
      </c>
      <c r="AP80" s="12">
        <v>1</v>
      </c>
      <c r="AQ80" s="17">
        <f t="shared" si="69"/>
        <v>0.16666666666666666</v>
      </c>
      <c r="AR80" s="12">
        <v>4</v>
      </c>
      <c r="AS80" s="17">
        <f t="shared" si="70"/>
        <v>0.66666666666666663</v>
      </c>
      <c r="AT80" s="13">
        <v>-3.9082595146505486E-2</v>
      </c>
      <c r="AU80" s="13">
        <v>-7.5158836820202857E-2</v>
      </c>
      <c r="AV80" s="13">
        <v>-4.7035140299744309E-2</v>
      </c>
      <c r="AW80" s="13">
        <v>7.9525451532388245E-3</v>
      </c>
      <c r="AX80" s="13">
        <v>75.915839547475372</v>
      </c>
      <c r="AY80" s="13">
        <v>110.86652616750587</v>
      </c>
      <c r="AZ80" s="13">
        <v>0.13901627768759611</v>
      </c>
      <c r="BA80" s="13">
        <v>0.83333333333333337</v>
      </c>
      <c r="BB80" s="13">
        <v>9.615384615384615</v>
      </c>
      <c r="BC80" s="14">
        <v>0.25510204081632654</v>
      </c>
      <c r="BD80" s="14">
        <v>0.2</v>
      </c>
      <c r="BE80" s="13">
        <v>1.7728644542051242</v>
      </c>
      <c r="BF80" s="14">
        <v>0</v>
      </c>
      <c r="BG80" s="14">
        <v>0.4</v>
      </c>
      <c r="BH80" s="13">
        <v>2.4523828987165865</v>
      </c>
      <c r="BI80" s="13">
        <v>1.8392871740374399</v>
      </c>
      <c r="BJ80" s="13">
        <v>2.0046967180250874</v>
      </c>
      <c r="BK80" s="13">
        <v>0</v>
      </c>
      <c r="BL80" s="13">
        <v>2.7090038034064468</v>
      </c>
      <c r="BM80" s="13">
        <v>0</v>
      </c>
      <c r="BN80" s="13">
        <v>14.534883720930234</v>
      </c>
      <c r="BO80" s="15" t="s">
        <v>187</v>
      </c>
      <c r="BP80" s="15"/>
      <c r="BQ80" s="12" t="s">
        <v>272</v>
      </c>
      <c r="BR80" s="26">
        <v>11.9</v>
      </c>
      <c r="BS80" s="27">
        <v>18.2</v>
      </c>
      <c r="BT80" s="27">
        <v>6.3</v>
      </c>
      <c r="BU80" s="26">
        <f t="shared" si="71"/>
        <v>1.9833333333333332</v>
      </c>
      <c r="BV80" s="26">
        <f t="shared" si="72"/>
        <v>3.0333333333333332</v>
      </c>
      <c r="BW80" s="26">
        <f t="shared" si="72"/>
        <v>1.05</v>
      </c>
      <c r="BX80" s="31">
        <f t="shared" si="73"/>
        <v>22.902967121090615</v>
      </c>
      <c r="BY80" s="31">
        <f t="shared" si="74"/>
        <v>35.028067361668001</v>
      </c>
      <c r="BZ80" s="31">
        <f t="shared" si="75"/>
        <v>12.125100240577385</v>
      </c>
      <c r="CA80" s="30">
        <v>2</v>
      </c>
      <c r="CB80" s="30">
        <v>4</v>
      </c>
    </row>
    <row r="81" spans="1:80" x14ac:dyDescent="0.4">
      <c r="A81" s="12" t="s">
        <v>191</v>
      </c>
      <c r="B81" s="12" t="s">
        <v>183</v>
      </c>
      <c r="C81" s="4" t="s">
        <v>224</v>
      </c>
      <c r="D81" s="5">
        <v>35</v>
      </c>
      <c r="E81" s="22">
        <v>13</v>
      </c>
      <c r="F81" s="22">
        <v>34</v>
      </c>
      <c r="G81" s="10">
        <v>28507</v>
      </c>
      <c r="H81" s="5">
        <v>84</v>
      </c>
      <c r="I81" s="17">
        <f t="shared" si="50"/>
        <v>2.4</v>
      </c>
      <c r="J81" s="7">
        <v>30</v>
      </c>
      <c r="K81" s="7">
        <v>96</v>
      </c>
      <c r="L81" s="17">
        <f t="shared" si="51"/>
        <v>0.8571428571428571</v>
      </c>
      <c r="M81" s="17">
        <f t="shared" si="52"/>
        <v>2.7428571428571429</v>
      </c>
      <c r="N81" s="33">
        <f t="shared" si="53"/>
        <v>0.3125</v>
      </c>
      <c r="O81" s="12">
        <v>11</v>
      </c>
      <c r="P81" s="12">
        <v>28</v>
      </c>
      <c r="Q81" s="17">
        <f t="shared" si="54"/>
        <v>0.31428571428571428</v>
      </c>
      <c r="R81" s="17">
        <f t="shared" si="55"/>
        <v>0.8</v>
      </c>
      <c r="S81" s="33">
        <f t="shared" si="56"/>
        <v>0.39285714285714285</v>
      </c>
      <c r="T81" s="12">
        <v>19</v>
      </c>
      <c r="U81" s="12">
        <v>68</v>
      </c>
      <c r="V81" s="17">
        <f t="shared" si="57"/>
        <v>0.54285714285714282</v>
      </c>
      <c r="W81" s="17">
        <f t="shared" si="58"/>
        <v>1.9428571428571428</v>
      </c>
      <c r="X81" s="33">
        <f t="shared" si="59"/>
        <v>0.27941176470588236</v>
      </c>
      <c r="Y81" s="12">
        <v>5</v>
      </c>
      <c r="Z81" s="12">
        <v>6</v>
      </c>
      <c r="AA81" s="17">
        <f t="shared" si="60"/>
        <v>0.14285714285714285</v>
      </c>
      <c r="AB81" s="17">
        <f t="shared" si="61"/>
        <v>0.17142857142857143</v>
      </c>
      <c r="AC81" s="33">
        <f t="shared" si="62"/>
        <v>0.83333333333333337</v>
      </c>
      <c r="AD81" s="12">
        <v>48</v>
      </c>
      <c r="AE81" s="17">
        <f t="shared" si="63"/>
        <v>1.3714285714285714</v>
      </c>
      <c r="AF81" s="12">
        <v>14</v>
      </c>
      <c r="AG81" s="17">
        <f t="shared" si="64"/>
        <v>0.4</v>
      </c>
      <c r="AH81" s="12">
        <v>34</v>
      </c>
      <c r="AI81" s="17">
        <f t="shared" si="65"/>
        <v>0.97142857142857142</v>
      </c>
      <c r="AJ81" s="12">
        <v>27</v>
      </c>
      <c r="AK81" s="17">
        <f t="shared" si="66"/>
        <v>0.77142857142857146</v>
      </c>
      <c r="AL81" s="12">
        <v>12</v>
      </c>
      <c r="AM81" s="17">
        <f t="shared" si="67"/>
        <v>0.34285714285714286</v>
      </c>
      <c r="AN81" s="12">
        <v>4</v>
      </c>
      <c r="AO81" s="17">
        <f t="shared" si="68"/>
        <v>0.11428571428571428</v>
      </c>
      <c r="AP81" s="12">
        <v>18</v>
      </c>
      <c r="AQ81" s="17">
        <f t="shared" si="69"/>
        <v>0.51428571428571423</v>
      </c>
      <c r="AR81" s="12">
        <v>43</v>
      </c>
      <c r="AS81" s="17">
        <f t="shared" si="70"/>
        <v>1.2285714285714286</v>
      </c>
      <c r="AT81" s="13">
        <v>-0.43402485916946831</v>
      </c>
      <c r="AU81" s="13">
        <v>-3.6562290698726713E-2</v>
      </c>
      <c r="AV81" s="13">
        <v>-0.3043836657659017</v>
      </c>
      <c r="AW81" s="13">
        <v>-0.12964119340356664</v>
      </c>
      <c r="AX81" s="13">
        <v>88.23323702519842</v>
      </c>
      <c r="AY81" s="13">
        <v>116.35078855277305</v>
      </c>
      <c r="AZ81" s="13">
        <v>1.919236074096365</v>
      </c>
      <c r="BA81" s="13">
        <v>2.5714285714285716</v>
      </c>
      <c r="BB81" s="13">
        <v>7.5816075816075825</v>
      </c>
      <c r="BC81" s="14">
        <v>0.42579075425790752</v>
      </c>
      <c r="BD81" s="14">
        <v>0.41145833333333331</v>
      </c>
      <c r="BE81" s="13">
        <v>7.6802177852703117</v>
      </c>
      <c r="BF81" s="14">
        <v>0.70833333333333337</v>
      </c>
      <c r="BG81" s="14">
        <v>6.25E-2</v>
      </c>
      <c r="BH81" s="13">
        <v>2.1932859339873154</v>
      </c>
      <c r="BI81" s="13">
        <v>5.3265515539691952</v>
      </c>
      <c r="BJ81" s="13">
        <v>3.5126170643668782</v>
      </c>
      <c r="BK81" s="13">
        <v>5.3371989589167468</v>
      </c>
      <c r="BL81" s="13">
        <v>1.4240098616993662</v>
      </c>
      <c r="BM81" s="13">
        <v>0.60573250095592157</v>
      </c>
      <c r="BN81" s="13">
        <v>15.432098765432098</v>
      </c>
      <c r="BO81" s="15" t="s">
        <v>187</v>
      </c>
      <c r="BP81" s="15">
        <v>90000</v>
      </c>
      <c r="BQ81" s="12" t="s">
        <v>273</v>
      </c>
      <c r="BR81" s="26">
        <v>226.88</v>
      </c>
      <c r="BS81" s="27">
        <v>315.77999999999997</v>
      </c>
      <c r="BT81" s="27">
        <v>88.9</v>
      </c>
      <c r="BU81" s="26">
        <f t="shared" si="71"/>
        <v>6.4822857142857133</v>
      </c>
      <c r="BV81" s="26">
        <f t="shared" si="72"/>
        <v>9.0222857142857134</v>
      </c>
      <c r="BW81" s="26">
        <f t="shared" si="72"/>
        <v>2.54</v>
      </c>
      <c r="BX81" s="31">
        <f t="shared" si="73"/>
        <v>19.100992738625596</v>
      </c>
      <c r="BY81" s="31">
        <f t="shared" si="74"/>
        <v>26.585470235380779</v>
      </c>
      <c r="BZ81" s="31">
        <f t="shared" si="75"/>
        <v>7.4844774967551828</v>
      </c>
      <c r="CA81" s="30">
        <v>8</v>
      </c>
      <c r="CB81" s="30">
        <v>27</v>
      </c>
    </row>
    <row r="82" spans="1:80" x14ac:dyDescent="0.4">
      <c r="A82" s="12" t="s">
        <v>191</v>
      </c>
      <c r="B82" s="12" t="s">
        <v>183</v>
      </c>
      <c r="C82" s="12" t="s">
        <v>128</v>
      </c>
      <c r="D82" s="12">
        <v>42</v>
      </c>
      <c r="E82" s="11">
        <v>21</v>
      </c>
      <c r="F82" s="11">
        <v>10</v>
      </c>
      <c r="G82" s="10">
        <v>53333</v>
      </c>
      <c r="H82" s="7">
        <v>701</v>
      </c>
      <c r="I82" s="17">
        <f t="shared" si="50"/>
        <v>16.69047619047619</v>
      </c>
      <c r="J82" s="7">
        <v>267</v>
      </c>
      <c r="K82" s="7">
        <v>546</v>
      </c>
      <c r="L82" s="17">
        <f t="shared" si="51"/>
        <v>6.3571428571428568</v>
      </c>
      <c r="M82" s="17">
        <f t="shared" si="52"/>
        <v>13</v>
      </c>
      <c r="N82" s="33">
        <f t="shared" si="53"/>
        <v>0.48901098901098899</v>
      </c>
      <c r="O82" s="5">
        <v>193</v>
      </c>
      <c r="P82" s="7">
        <v>375</v>
      </c>
      <c r="Q82" s="17">
        <f t="shared" si="54"/>
        <v>4.5952380952380949</v>
      </c>
      <c r="R82" s="17">
        <f t="shared" si="55"/>
        <v>8.9285714285714288</v>
      </c>
      <c r="S82" s="33">
        <f t="shared" si="56"/>
        <v>0.51466666666666672</v>
      </c>
      <c r="T82" s="7">
        <v>74</v>
      </c>
      <c r="U82" s="7">
        <v>171</v>
      </c>
      <c r="V82" s="17">
        <f t="shared" si="57"/>
        <v>1.7619047619047619</v>
      </c>
      <c r="W82" s="17">
        <f t="shared" si="58"/>
        <v>4.0714285714285712</v>
      </c>
      <c r="X82" s="33">
        <f t="shared" si="59"/>
        <v>0.43274853801169588</v>
      </c>
      <c r="Y82" s="5">
        <v>93</v>
      </c>
      <c r="Z82" s="5">
        <v>118</v>
      </c>
      <c r="AA82" s="17">
        <f t="shared" si="60"/>
        <v>2.2142857142857144</v>
      </c>
      <c r="AB82" s="17">
        <f t="shared" si="61"/>
        <v>2.8095238095238093</v>
      </c>
      <c r="AC82" s="33">
        <f t="shared" si="62"/>
        <v>0.78813559322033899</v>
      </c>
      <c r="AD82" s="12">
        <v>260</v>
      </c>
      <c r="AE82" s="17">
        <f t="shared" si="63"/>
        <v>6.1904761904761907</v>
      </c>
      <c r="AF82" s="12">
        <v>47</v>
      </c>
      <c r="AG82" s="17">
        <f t="shared" si="64"/>
        <v>1.1190476190476191</v>
      </c>
      <c r="AH82" s="7">
        <v>213</v>
      </c>
      <c r="AI82" s="17">
        <f t="shared" si="65"/>
        <v>5.0714285714285712</v>
      </c>
      <c r="AJ82" s="7">
        <v>35</v>
      </c>
      <c r="AK82" s="17">
        <f t="shared" si="66"/>
        <v>0.83333333333333337</v>
      </c>
      <c r="AL82" s="7">
        <v>20</v>
      </c>
      <c r="AM82" s="17">
        <f t="shared" si="67"/>
        <v>0.47619047619047616</v>
      </c>
      <c r="AN82" s="7">
        <v>22</v>
      </c>
      <c r="AO82" s="17">
        <f t="shared" si="68"/>
        <v>0.52380952380952384</v>
      </c>
      <c r="AP82" s="7">
        <v>55</v>
      </c>
      <c r="AQ82" s="17">
        <f t="shared" si="69"/>
        <v>1.3095238095238095</v>
      </c>
      <c r="AR82" s="7">
        <v>68</v>
      </c>
      <c r="AS82" s="17">
        <f t="shared" si="70"/>
        <v>1.6190476190476191</v>
      </c>
      <c r="AT82" s="13">
        <v>2.4084761798855654</v>
      </c>
      <c r="AU82" s="13">
        <v>0.10836788210958674</v>
      </c>
      <c r="AV82" s="13">
        <v>1.887683376070312</v>
      </c>
      <c r="AW82" s="13">
        <v>0.52079280381525317</v>
      </c>
      <c r="AX82" s="13">
        <v>108.36016450275127</v>
      </c>
      <c r="AY82" s="13">
        <v>109.1636965682594</v>
      </c>
      <c r="AZ82" s="13">
        <v>15.904734939865374</v>
      </c>
      <c r="BA82" s="13">
        <v>16.166666666666668</v>
      </c>
      <c r="BB82" s="13">
        <v>30.551181102362204</v>
      </c>
      <c r="BC82" s="14">
        <v>0.58619882258496125</v>
      </c>
      <c r="BD82" s="14">
        <v>0.5567765567765568</v>
      </c>
      <c r="BE82" s="13">
        <v>27.555397496273443</v>
      </c>
      <c r="BF82" s="14">
        <v>0.31318681318681318</v>
      </c>
      <c r="BG82" s="14">
        <v>0.21611721611721613</v>
      </c>
      <c r="BH82" s="13">
        <v>4.7193888224120757</v>
      </c>
      <c r="BI82" s="13">
        <v>21.387868493058985</v>
      </c>
      <c r="BJ82" s="13">
        <v>12.195050451158236</v>
      </c>
      <c r="BK82" s="13">
        <v>6.150241616634939</v>
      </c>
      <c r="BL82" s="13">
        <v>1.2676553230788321</v>
      </c>
      <c r="BM82" s="13">
        <v>2.1353263045509143</v>
      </c>
      <c r="BN82" s="13">
        <v>8.423696624395026</v>
      </c>
      <c r="BO82" s="15" t="s">
        <v>189</v>
      </c>
      <c r="BP82" s="15">
        <v>40000</v>
      </c>
      <c r="BQ82" s="12" t="s">
        <v>273</v>
      </c>
      <c r="BR82" s="26">
        <v>932.42</v>
      </c>
      <c r="BS82" s="27">
        <v>1304.22</v>
      </c>
      <c r="BT82" s="27">
        <v>371.8</v>
      </c>
      <c r="BU82" s="26">
        <f t="shared" si="71"/>
        <v>22.200476190476188</v>
      </c>
      <c r="BV82" s="26">
        <f t="shared" si="72"/>
        <v>31.052857142857142</v>
      </c>
      <c r="BW82" s="26">
        <f t="shared" si="72"/>
        <v>8.8523809523809529</v>
      </c>
      <c r="BX82" s="31">
        <f t="shared" si="73"/>
        <v>41.95916224476403</v>
      </c>
      <c r="BY82" s="31">
        <f t="shared" si="74"/>
        <v>58.690266814167586</v>
      </c>
      <c r="BZ82" s="31">
        <f t="shared" si="75"/>
        <v>16.731104569403559</v>
      </c>
      <c r="CA82" s="30">
        <v>11</v>
      </c>
      <c r="CB82" s="30">
        <v>31</v>
      </c>
    </row>
    <row r="83" spans="1:80" x14ac:dyDescent="0.4">
      <c r="A83" s="12" t="s">
        <v>191</v>
      </c>
      <c r="B83" s="12" t="s">
        <v>183</v>
      </c>
      <c r="C83" s="4" t="s">
        <v>112</v>
      </c>
      <c r="D83" s="5">
        <v>16</v>
      </c>
      <c r="E83" s="22">
        <v>11</v>
      </c>
      <c r="F83" s="22">
        <v>26</v>
      </c>
      <c r="G83" s="10">
        <v>10977</v>
      </c>
      <c r="H83" s="5">
        <v>34</v>
      </c>
      <c r="I83" s="17">
        <f t="shared" si="50"/>
        <v>2.125</v>
      </c>
      <c r="J83" s="7">
        <v>13</v>
      </c>
      <c r="K83" s="7">
        <v>36</v>
      </c>
      <c r="L83" s="17">
        <f t="shared" si="51"/>
        <v>0.8125</v>
      </c>
      <c r="M83" s="17">
        <f t="shared" si="52"/>
        <v>2.25</v>
      </c>
      <c r="N83" s="33">
        <f t="shared" si="53"/>
        <v>0.3611111111111111</v>
      </c>
      <c r="O83" s="12">
        <v>8</v>
      </c>
      <c r="P83" s="12">
        <v>13</v>
      </c>
      <c r="Q83" s="17">
        <f t="shared" si="54"/>
        <v>0.5</v>
      </c>
      <c r="R83" s="17">
        <f t="shared" si="55"/>
        <v>0.8125</v>
      </c>
      <c r="S83" s="33">
        <f t="shared" si="56"/>
        <v>0.61538461538461542</v>
      </c>
      <c r="T83" s="12">
        <v>5</v>
      </c>
      <c r="U83" s="12">
        <v>23</v>
      </c>
      <c r="V83" s="17">
        <f t="shared" si="57"/>
        <v>0.3125</v>
      </c>
      <c r="W83" s="17">
        <f t="shared" si="58"/>
        <v>1.4375</v>
      </c>
      <c r="X83" s="33">
        <f t="shared" si="59"/>
        <v>0.21739130434782608</v>
      </c>
      <c r="Y83" s="12">
        <v>3</v>
      </c>
      <c r="Z83" s="12">
        <v>4</v>
      </c>
      <c r="AA83" s="17">
        <f t="shared" si="60"/>
        <v>0.1875</v>
      </c>
      <c r="AB83" s="17">
        <f t="shared" si="61"/>
        <v>0.25</v>
      </c>
      <c r="AC83" s="33">
        <f t="shared" si="62"/>
        <v>0.75</v>
      </c>
      <c r="AD83" s="12">
        <v>25</v>
      </c>
      <c r="AE83" s="17">
        <f t="shared" si="63"/>
        <v>1.5625</v>
      </c>
      <c r="AF83" s="12">
        <v>17</v>
      </c>
      <c r="AG83" s="17">
        <f t="shared" si="64"/>
        <v>1.0625</v>
      </c>
      <c r="AH83" s="12">
        <v>8</v>
      </c>
      <c r="AI83" s="17">
        <f t="shared" si="65"/>
        <v>0.5</v>
      </c>
      <c r="AJ83" s="12">
        <v>10</v>
      </c>
      <c r="AK83" s="17">
        <f t="shared" si="66"/>
        <v>0.625</v>
      </c>
      <c r="AL83" s="12">
        <v>6</v>
      </c>
      <c r="AM83" s="17">
        <f t="shared" si="67"/>
        <v>0.375</v>
      </c>
      <c r="AN83" s="12">
        <v>2</v>
      </c>
      <c r="AO83" s="17">
        <f t="shared" si="68"/>
        <v>0.125</v>
      </c>
      <c r="AP83" s="12">
        <v>5</v>
      </c>
      <c r="AQ83" s="17">
        <f t="shared" si="69"/>
        <v>0.3125</v>
      </c>
      <c r="AR83" s="12">
        <v>24</v>
      </c>
      <c r="AS83" s="17">
        <f t="shared" si="70"/>
        <v>1.5</v>
      </c>
      <c r="AT83" s="13">
        <v>6.6698428024135614E-2</v>
      </c>
      <c r="AU83" s="13">
        <v>1.4584204378455309E-2</v>
      </c>
      <c r="AV83" s="13">
        <v>0.11462616977299273</v>
      </c>
      <c r="AW83" s="13">
        <v>-4.7927741748857104E-2</v>
      </c>
      <c r="AX83" s="13">
        <v>105.63619790298556</v>
      </c>
      <c r="AY83" s="13">
        <v>116.25849453005065</v>
      </c>
      <c r="AZ83" s="13">
        <v>1.501614332335687</v>
      </c>
      <c r="BA83" s="13">
        <v>3</v>
      </c>
      <c r="BB83" s="13">
        <v>10.495626822157433</v>
      </c>
      <c r="BC83" s="14">
        <v>0.45021186440677968</v>
      </c>
      <c r="BD83" s="14">
        <v>0.43055555555555558</v>
      </c>
      <c r="BE83" s="13">
        <v>3.3409041046970795</v>
      </c>
      <c r="BF83" s="14">
        <v>0.63888888888888884</v>
      </c>
      <c r="BG83" s="14">
        <v>0.1111111111111111</v>
      </c>
      <c r="BH83" s="13">
        <v>3.1602135312907613</v>
      </c>
      <c r="BI83" s="13">
        <v>1.4871593088427111</v>
      </c>
      <c r="BJ83" s="13">
        <v>2.170850256920128</v>
      </c>
      <c r="BK83" s="13">
        <v>2.2798951248242578</v>
      </c>
      <c r="BL83" s="13">
        <v>1.8481250437233483</v>
      </c>
      <c r="BM83" s="13">
        <v>0.35937773744760942</v>
      </c>
      <c r="BN83" s="13">
        <v>11.693171188026193</v>
      </c>
      <c r="BO83" s="15" t="s">
        <v>187</v>
      </c>
      <c r="BP83" s="15">
        <v>360000</v>
      </c>
      <c r="BQ83" s="12" t="s">
        <v>273</v>
      </c>
      <c r="BR83" s="26">
        <v>109.74</v>
      </c>
      <c r="BS83" s="27">
        <v>139.24</v>
      </c>
      <c r="BT83" s="27">
        <v>29.5</v>
      </c>
      <c r="BU83" s="26">
        <f t="shared" si="71"/>
        <v>6.8587500000000006</v>
      </c>
      <c r="BV83" s="26">
        <f t="shared" si="72"/>
        <v>8.7025000000000006</v>
      </c>
      <c r="BW83" s="26">
        <f t="shared" si="72"/>
        <v>1.84375</v>
      </c>
      <c r="BX83" s="31">
        <f t="shared" si="73"/>
        <v>23.993440830828092</v>
      </c>
      <c r="BY83" s="31">
        <f t="shared" si="74"/>
        <v>30.443290516534571</v>
      </c>
      <c r="BZ83" s="31">
        <f t="shared" si="75"/>
        <v>6.4498496857064769</v>
      </c>
      <c r="CA83" s="30">
        <v>7</v>
      </c>
      <c r="CB83" s="30">
        <v>9</v>
      </c>
    </row>
    <row r="84" spans="1:80" x14ac:dyDescent="0.4">
      <c r="A84" s="12" t="s">
        <v>191</v>
      </c>
      <c r="B84" s="12" t="s">
        <v>183</v>
      </c>
      <c r="C84" s="4" t="s">
        <v>120</v>
      </c>
      <c r="D84" s="5">
        <v>54</v>
      </c>
      <c r="E84" s="22">
        <v>24</v>
      </c>
      <c r="F84" s="22">
        <v>54</v>
      </c>
      <c r="G84" s="10">
        <v>80677</v>
      </c>
      <c r="H84" s="5">
        <v>557</v>
      </c>
      <c r="I84" s="17">
        <f t="shared" si="50"/>
        <v>10.314814814814815</v>
      </c>
      <c r="J84" s="7">
        <v>202</v>
      </c>
      <c r="K84" s="7">
        <v>514</v>
      </c>
      <c r="L84" s="17">
        <f t="shared" si="51"/>
        <v>3.7407407407407409</v>
      </c>
      <c r="M84" s="17">
        <f t="shared" si="52"/>
        <v>9.518518518518519</v>
      </c>
      <c r="N84" s="33">
        <f t="shared" si="53"/>
        <v>0.39299610894941633</v>
      </c>
      <c r="O84" s="12">
        <v>104</v>
      </c>
      <c r="P84" s="12">
        <v>248</v>
      </c>
      <c r="Q84" s="17">
        <f t="shared" si="54"/>
        <v>1.9259259259259258</v>
      </c>
      <c r="R84" s="17">
        <f t="shared" si="55"/>
        <v>4.5925925925925926</v>
      </c>
      <c r="S84" s="33">
        <f t="shared" si="56"/>
        <v>0.41935483870967744</v>
      </c>
      <c r="T84" s="12">
        <v>98</v>
      </c>
      <c r="U84" s="12">
        <v>266</v>
      </c>
      <c r="V84" s="17">
        <f t="shared" si="57"/>
        <v>1.8148148148148149</v>
      </c>
      <c r="W84" s="17">
        <f t="shared" si="58"/>
        <v>4.9259259259259256</v>
      </c>
      <c r="X84" s="33">
        <f t="shared" si="59"/>
        <v>0.36842105263157893</v>
      </c>
      <c r="Y84" s="12">
        <v>55</v>
      </c>
      <c r="Z84" s="12">
        <v>74</v>
      </c>
      <c r="AA84" s="17">
        <f t="shared" si="60"/>
        <v>1.0185185185185186</v>
      </c>
      <c r="AB84" s="17">
        <f t="shared" si="61"/>
        <v>1.3703703703703705</v>
      </c>
      <c r="AC84" s="33">
        <f t="shared" si="62"/>
        <v>0.7432432432432432</v>
      </c>
      <c r="AD84" s="12">
        <v>134</v>
      </c>
      <c r="AE84" s="17">
        <f t="shared" si="63"/>
        <v>2.4814814814814814</v>
      </c>
      <c r="AF84" s="12">
        <v>27</v>
      </c>
      <c r="AG84" s="17">
        <f t="shared" si="64"/>
        <v>0.5</v>
      </c>
      <c r="AH84" s="12">
        <v>107</v>
      </c>
      <c r="AI84" s="17">
        <f t="shared" si="65"/>
        <v>1.9814814814814814</v>
      </c>
      <c r="AJ84" s="12">
        <v>143</v>
      </c>
      <c r="AK84" s="17">
        <f t="shared" si="66"/>
        <v>2.6481481481481484</v>
      </c>
      <c r="AL84" s="12">
        <v>55</v>
      </c>
      <c r="AM84" s="17">
        <f t="shared" si="67"/>
        <v>1.0185185185185186</v>
      </c>
      <c r="AN84" s="12">
        <v>5</v>
      </c>
      <c r="AO84" s="17">
        <f t="shared" si="68"/>
        <v>9.2592592592592587E-2</v>
      </c>
      <c r="AP84" s="12">
        <v>71</v>
      </c>
      <c r="AQ84" s="17">
        <f t="shared" si="69"/>
        <v>1.3148148148148149</v>
      </c>
      <c r="AR84" s="12">
        <v>85</v>
      </c>
      <c r="AS84" s="17">
        <f t="shared" si="70"/>
        <v>1.5740740740740742</v>
      </c>
      <c r="AT84" s="13">
        <v>0.70311234183072202</v>
      </c>
      <c r="AU84" s="13">
        <v>2.0916624775568111E-2</v>
      </c>
      <c r="AV84" s="13">
        <v>0.77431956026230553</v>
      </c>
      <c r="AW84" s="13">
        <v>-7.1207218431583508E-2</v>
      </c>
      <c r="AX84" s="13">
        <v>101.61729921869207</v>
      </c>
      <c r="AY84" s="13">
        <v>114.50919572744593</v>
      </c>
      <c r="AZ84" s="13">
        <v>10.022722229109533</v>
      </c>
      <c r="BA84" s="13">
        <v>9.1111111111111107</v>
      </c>
      <c r="BB84" s="13">
        <v>14.63632307005801</v>
      </c>
      <c r="BC84" s="14">
        <v>0.50955064402810313</v>
      </c>
      <c r="BD84" s="14">
        <v>0.48832684824902722</v>
      </c>
      <c r="BE84" s="13">
        <v>22.155369136088407</v>
      </c>
      <c r="BF84" s="14">
        <v>0.51750972762645919</v>
      </c>
      <c r="BG84" s="14">
        <v>0.14396887159533073</v>
      </c>
      <c r="BH84" s="13">
        <v>2.3046489891553463</v>
      </c>
      <c r="BI84" s="13">
        <v>9.1332385866526682</v>
      </c>
      <c r="BJ84" s="13">
        <v>5.3427908706057785</v>
      </c>
      <c r="BK84" s="13">
        <v>18.296973961998592</v>
      </c>
      <c r="BL84" s="13">
        <v>2.3048492868488588</v>
      </c>
      <c r="BM84" s="13">
        <v>0.41253870128691456</v>
      </c>
      <c r="BN84" s="13">
        <v>11.496858604831921</v>
      </c>
      <c r="BO84" s="15" t="s">
        <v>187</v>
      </c>
      <c r="BP84" s="15"/>
      <c r="BQ84" s="12" t="s">
        <v>271</v>
      </c>
      <c r="BR84" s="26">
        <v>904.25</v>
      </c>
      <c r="BS84" s="27">
        <v>1321.15</v>
      </c>
      <c r="BT84" s="27">
        <v>416.9</v>
      </c>
      <c r="BU84" s="26">
        <f t="shared" si="71"/>
        <v>16.745370370370374</v>
      </c>
      <c r="BV84" s="26">
        <f t="shared" si="72"/>
        <v>24.465740740740742</v>
      </c>
      <c r="BW84" s="26">
        <f t="shared" si="72"/>
        <v>7.7203703703703699</v>
      </c>
      <c r="BX84" s="31">
        <f t="shared" si="73"/>
        <v>26.899859935297542</v>
      </c>
      <c r="BY84" s="31">
        <f t="shared" si="74"/>
        <v>39.301907606876803</v>
      </c>
      <c r="BZ84" s="31">
        <f t="shared" si="75"/>
        <v>12.402047671579261</v>
      </c>
      <c r="CA84" s="30">
        <v>16</v>
      </c>
      <c r="CB84" s="30">
        <v>38</v>
      </c>
    </row>
    <row r="85" spans="1:80" x14ac:dyDescent="0.4">
      <c r="A85" s="12" t="s">
        <v>191</v>
      </c>
      <c r="B85" s="12" t="s">
        <v>183</v>
      </c>
      <c r="C85" s="8" t="s">
        <v>212</v>
      </c>
      <c r="D85" s="5">
        <v>38</v>
      </c>
      <c r="E85" s="22">
        <v>15</v>
      </c>
      <c r="F85" s="22">
        <v>43</v>
      </c>
      <c r="G85" s="10">
        <v>35847</v>
      </c>
      <c r="H85" s="5">
        <v>225</v>
      </c>
      <c r="I85" s="17">
        <f t="shared" si="50"/>
        <v>5.9210526315789478</v>
      </c>
      <c r="J85" s="7">
        <v>83</v>
      </c>
      <c r="K85" s="7">
        <v>190</v>
      </c>
      <c r="L85" s="17">
        <f t="shared" si="51"/>
        <v>2.1842105263157894</v>
      </c>
      <c r="M85" s="17">
        <f t="shared" si="52"/>
        <v>5</v>
      </c>
      <c r="N85" s="33">
        <f t="shared" si="53"/>
        <v>0.43684210526315792</v>
      </c>
      <c r="O85" s="12">
        <v>36</v>
      </c>
      <c r="P85" s="12">
        <v>68</v>
      </c>
      <c r="Q85" s="17">
        <f t="shared" si="54"/>
        <v>0.94736842105263153</v>
      </c>
      <c r="R85" s="17">
        <f t="shared" si="55"/>
        <v>1.7894736842105263</v>
      </c>
      <c r="S85" s="33">
        <f t="shared" si="56"/>
        <v>0.52941176470588236</v>
      </c>
      <c r="T85" s="12">
        <v>47</v>
      </c>
      <c r="U85" s="12">
        <v>122</v>
      </c>
      <c r="V85" s="17">
        <f t="shared" si="57"/>
        <v>1.236842105263158</v>
      </c>
      <c r="W85" s="17">
        <f t="shared" si="58"/>
        <v>3.2105263157894739</v>
      </c>
      <c r="X85" s="33">
        <f t="shared" si="59"/>
        <v>0.38524590163934425</v>
      </c>
      <c r="Y85" s="12">
        <v>12</v>
      </c>
      <c r="Z85" s="12">
        <v>14</v>
      </c>
      <c r="AA85" s="17">
        <f t="shared" si="60"/>
        <v>0.31578947368421051</v>
      </c>
      <c r="AB85" s="17">
        <f t="shared" si="61"/>
        <v>0.36842105263157893</v>
      </c>
      <c r="AC85" s="33">
        <f t="shared" si="62"/>
        <v>0.8571428571428571</v>
      </c>
      <c r="AD85" s="12">
        <v>67</v>
      </c>
      <c r="AE85" s="17">
        <f t="shared" si="63"/>
        <v>1.763157894736842</v>
      </c>
      <c r="AF85" s="12">
        <v>25</v>
      </c>
      <c r="AG85" s="17">
        <f t="shared" si="64"/>
        <v>0.65789473684210531</v>
      </c>
      <c r="AH85" s="12">
        <v>42</v>
      </c>
      <c r="AI85" s="17">
        <f t="shared" si="65"/>
        <v>1.1052631578947369</v>
      </c>
      <c r="AJ85" s="12">
        <v>18</v>
      </c>
      <c r="AK85" s="17">
        <f t="shared" si="66"/>
        <v>0.47368421052631576</v>
      </c>
      <c r="AL85" s="12">
        <v>9</v>
      </c>
      <c r="AM85" s="17">
        <f t="shared" si="67"/>
        <v>0.23684210526315788</v>
      </c>
      <c r="AN85" s="12">
        <v>6</v>
      </c>
      <c r="AO85" s="17">
        <f t="shared" si="68"/>
        <v>0.15789473684210525</v>
      </c>
      <c r="AP85" s="12">
        <v>20</v>
      </c>
      <c r="AQ85" s="17">
        <f t="shared" si="69"/>
        <v>0.52631578947368418</v>
      </c>
      <c r="AR85" s="12">
        <v>90</v>
      </c>
      <c r="AS85" s="17">
        <f t="shared" si="70"/>
        <v>2.3684210526315788</v>
      </c>
      <c r="AT85" s="13">
        <v>0.42783116356870743</v>
      </c>
      <c r="AU85" s="13">
        <v>2.8654205295666067E-2</v>
      </c>
      <c r="AV85" s="13">
        <v>0.66133916126908909</v>
      </c>
      <c r="AW85" s="13">
        <v>-0.23350799770038169</v>
      </c>
      <c r="AX85" s="13">
        <v>108.54868236315399</v>
      </c>
      <c r="AY85" s="13">
        <v>117.33790306346418</v>
      </c>
      <c r="AZ85" s="13">
        <v>4.8219387073675621</v>
      </c>
      <c r="BA85" s="13">
        <v>5.1578947368421053</v>
      </c>
      <c r="BB85" s="13">
        <v>13.127197633532399</v>
      </c>
      <c r="BC85" s="14">
        <v>0.57351141924959215</v>
      </c>
      <c r="BD85" s="14">
        <v>0.56052631578947365</v>
      </c>
      <c r="BE85" s="13">
        <v>12.286100632500766</v>
      </c>
      <c r="BF85" s="14">
        <v>0.64210526315789473</v>
      </c>
      <c r="BG85" s="14">
        <v>7.3684210526315783E-2</v>
      </c>
      <c r="BH85" s="13">
        <v>3.3808035719316667</v>
      </c>
      <c r="BI85" s="13">
        <v>5.6797500008452007</v>
      </c>
      <c r="BJ85" s="13">
        <v>4.2323062357820964</v>
      </c>
      <c r="BK85" s="13">
        <v>3.3469172722624227</v>
      </c>
      <c r="BL85" s="13">
        <v>0.84912459451529854</v>
      </c>
      <c r="BM85" s="13">
        <v>0.78430475468417837</v>
      </c>
      <c r="BN85" s="13">
        <v>9.2524056254626199</v>
      </c>
      <c r="BO85" s="15" t="s">
        <v>187</v>
      </c>
      <c r="BP85" s="15">
        <v>500000</v>
      </c>
      <c r="BQ85" s="12" t="s">
        <v>273</v>
      </c>
      <c r="BR85" s="26">
        <v>364.76</v>
      </c>
      <c r="BS85" s="27">
        <v>495.86</v>
      </c>
      <c r="BT85" s="27">
        <v>131.1</v>
      </c>
      <c r="BU85" s="26">
        <f t="shared" si="71"/>
        <v>9.5989473684210544</v>
      </c>
      <c r="BV85" s="26">
        <f t="shared" si="72"/>
        <v>13.048947368421054</v>
      </c>
      <c r="BW85" s="26">
        <f t="shared" si="72"/>
        <v>3.4499999999999997</v>
      </c>
      <c r="BX85" s="31">
        <f t="shared" si="73"/>
        <v>24.421123106536111</v>
      </c>
      <c r="BY85" s="31">
        <f t="shared" si="74"/>
        <v>33.198426646581304</v>
      </c>
      <c r="BZ85" s="31">
        <f t="shared" si="75"/>
        <v>8.7773035400451924</v>
      </c>
      <c r="CA85" s="30">
        <v>9</v>
      </c>
      <c r="CB85" s="30">
        <v>29</v>
      </c>
    </row>
    <row r="86" spans="1:80" x14ac:dyDescent="0.4">
      <c r="A86" s="12" t="s">
        <v>191</v>
      </c>
      <c r="B86" s="12" t="s">
        <v>183</v>
      </c>
      <c r="C86" s="4" t="s">
        <v>78</v>
      </c>
      <c r="D86" s="5">
        <v>54</v>
      </c>
      <c r="E86" s="22">
        <v>16</v>
      </c>
      <c r="F86" s="22">
        <v>24</v>
      </c>
      <c r="G86" s="10">
        <v>53128</v>
      </c>
      <c r="H86" s="5">
        <v>288</v>
      </c>
      <c r="I86" s="17">
        <f t="shared" si="50"/>
        <v>5.333333333333333</v>
      </c>
      <c r="J86" s="7">
        <v>94</v>
      </c>
      <c r="K86" s="7">
        <v>239</v>
      </c>
      <c r="L86" s="17">
        <f t="shared" si="51"/>
        <v>1.7407407407407407</v>
      </c>
      <c r="M86" s="17">
        <f t="shared" si="52"/>
        <v>4.4259259259259256</v>
      </c>
      <c r="N86" s="33">
        <f t="shared" si="53"/>
        <v>0.39330543933054396</v>
      </c>
      <c r="O86" s="12">
        <v>6</v>
      </c>
      <c r="P86" s="12">
        <v>10</v>
      </c>
      <c r="Q86" s="17">
        <f t="shared" si="54"/>
        <v>0.1111111111111111</v>
      </c>
      <c r="R86" s="17">
        <f t="shared" si="55"/>
        <v>0.18518518518518517</v>
      </c>
      <c r="S86" s="33">
        <f t="shared" si="56"/>
        <v>0.6</v>
      </c>
      <c r="T86" s="12">
        <v>88</v>
      </c>
      <c r="U86" s="12">
        <v>229</v>
      </c>
      <c r="V86" s="17">
        <f t="shared" si="57"/>
        <v>1.6296296296296295</v>
      </c>
      <c r="W86" s="17">
        <f t="shared" si="58"/>
        <v>4.2407407407407405</v>
      </c>
      <c r="X86" s="33">
        <f t="shared" si="59"/>
        <v>0.38427947598253276</v>
      </c>
      <c r="Y86" s="12">
        <v>12</v>
      </c>
      <c r="Z86" s="12">
        <v>14</v>
      </c>
      <c r="AA86" s="17">
        <f t="shared" si="60"/>
        <v>0.22222222222222221</v>
      </c>
      <c r="AB86" s="17">
        <f t="shared" si="61"/>
        <v>0.25925925925925924</v>
      </c>
      <c r="AC86" s="33">
        <f t="shared" si="62"/>
        <v>0.8571428571428571</v>
      </c>
      <c r="AD86" s="12">
        <v>68</v>
      </c>
      <c r="AE86" s="17">
        <f t="shared" si="63"/>
        <v>1.2592592592592593</v>
      </c>
      <c r="AF86" s="12">
        <v>17</v>
      </c>
      <c r="AG86" s="17">
        <f t="shared" si="64"/>
        <v>0.31481481481481483</v>
      </c>
      <c r="AH86" s="12">
        <v>51</v>
      </c>
      <c r="AI86" s="17">
        <f t="shared" si="65"/>
        <v>0.94444444444444442</v>
      </c>
      <c r="AJ86" s="12">
        <v>59</v>
      </c>
      <c r="AK86" s="17">
        <f t="shared" si="66"/>
        <v>1.0925925925925926</v>
      </c>
      <c r="AL86" s="12">
        <v>24</v>
      </c>
      <c r="AM86" s="17">
        <f t="shared" si="67"/>
        <v>0.44444444444444442</v>
      </c>
      <c r="AN86" s="12">
        <v>3</v>
      </c>
      <c r="AO86" s="17">
        <f t="shared" si="68"/>
        <v>5.5555555555555552E-2</v>
      </c>
      <c r="AP86" s="12">
        <v>25</v>
      </c>
      <c r="AQ86" s="17">
        <f t="shared" si="69"/>
        <v>0.46296296296296297</v>
      </c>
      <c r="AR86" s="12">
        <v>42</v>
      </c>
      <c r="AS86" s="17">
        <f t="shared" si="70"/>
        <v>0.77777777777777779</v>
      </c>
      <c r="AT86" s="13">
        <v>0.94865434726178799</v>
      </c>
      <c r="AU86" s="13">
        <v>4.2847983164489067E-2</v>
      </c>
      <c r="AV86" s="13">
        <v>1.2717484619068296</v>
      </c>
      <c r="AW86" s="13">
        <v>-0.32309411464504156</v>
      </c>
      <c r="AX86" s="13">
        <v>114.23446560695058</v>
      </c>
      <c r="AY86" s="13">
        <v>117.11905334898766</v>
      </c>
      <c r="AZ86" s="13">
        <v>9.0855637660233093</v>
      </c>
      <c r="BA86" s="13">
        <v>5</v>
      </c>
      <c r="BB86" s="13">
        <v>12.195121951219512</v>
      </c>
      <c r="BC86" s="14">
        <v>0.58737151248164465</v>
      </c>
      <c r="BD86" s="14">
        <v>0.57740585774058573</v>
      </c>
      <c r="BE86" s="13">
        <v>14.715545926273238</v>
      </c>
      <c r="BF86" s="14">
        <v>0.95815899581589958</v>
      </c>
      <c r="BG86" s="14">
        <v>5.8577405857740586E-2</v>
      </c>
      <c r="BH86" s="13">
        <v>2.2031569943754699</v>
      </c>
      <c r="BI86" s="13">
        <v>6.6094709831264087</v>
      </c>
      <c r="BJ86" s="13">
        <v>4.116496861171143</v>
      </c>
      <c r="BK86" s="13">
        <v>10.653665583243049</v>
      </c>
      <c r="BL86" s="13">
        <v>1.5270265341694875</v>
      </c>
      <c r="BM86" s="13">
        <v>0.37581269495283559</v>
      </c>
      <c r="BN86" s="13">
        <v>9.2537755404204933</v>
      </c>
      <c r="BO86" s="15" t="s">
        <v>187</v>
      </c>
      <c r="BP86" s="15">
        <v>50000</v>
      </c>
      <c r="BQ86" s="12" t="s">
        <v>273</v>
      </c>
      <c r="BR86" s="26">
        <v>531.37</v>
      </c>
      <c r="BS86" s="27">
        <v>701.37</v>
      </c>
      <c r="BT86" s="27">
        <v>170</v>
      </c>
      <c r="BU86" s="26">
        <f t="shared" si="71"/>
        <v>9.8401851851851845</v>
      </c>
      <c r="BV86" s="26">
        <f t="shared" si="72"/>
        <v>12.988333333333333</v>
      </c>
      <c r="BW86" s="26">
        <f t="shared" si="72"/>
        <v>3.1481481481481484</v>
      </c>
      <c r="BX86" s="31">
        <f t="shared" si="73"/>
        <v>24.004065652763138</v>
      </c>
      <c r="BY86" s="31">
        <f t="shared" si="74"/>
        <v>31.683631983135069</v>
      </c>
      <c r="BZ86" s="31">
        <f t="shared" si="75"/>
        <v>7.6795663303719319</v>
      </c>
      <c r="CA86" s="30">
        <v>16</v>
      </c>
      <c r="CB86" s="30">
        <v>38</v>
      </c>
    </row>
    <row r="87" spans="1:80" x14ac:dyDescent="0.4">
      <c r="A87" s="12" t="s">
        <v>191</v>
      </c>
      <c r="B87" s="12" t="s">
        <v>183</v>
      </c>
      <c r="C87" s="4" t="s">
        <v>225</v>
      </c>
      <c r="D87" s="5">
        <v>12</v>
      </c>
      <c r="E87" s="22">
        <v>23</v>
      </c>
      <c r="F87" s="22">
        <v>47</v>
      </c>
      <c r="G87" s="10">
        <v>17123</v>
      </c>
      <c r="H87" s="5">
        <v>81</v>
      </c>
      <c r="I87" s="17">
        <f t="shared" si="50"/>
        <v>6.75</v>
      </c>
      <c r="J87" s="7">
        <v>29</v>
      </c>
      <c r="K87" s="7">
        <v>91</v>
      </c>
      <c r="L87" s="17">
        <f t="shared" si="51"/>
        <v>2.4166666666666665</v>
      </c>
      <c r="M87" s="17">
        <f t="shared" si="52"/>
        <v>7.583333333333333</v>
      </c>
      <c r="N87" s="33">
        <f t="shared" si="53"/>
        <v>0.31868131868131866</v>
      </c>
      <c r="O87" s="12">
        <v>21</v>
      </c>
      <c r="P87" s="12">
        <v>55</v>
      </c>
      <c r="Q87" s="17">
        <f t="shared" si="54"/>
        <v>1.75</v>
      </c>
      <c r="R87" s="17">
        <f t="shared" si="55"/>
        <v>4.583333333333333</v>
      </c>
      <c r="S87" s="33">
        <f t="shared" si="56"/>
        <v>0.38181818181818183</v>
      </c>
      <c r="T87" s="12">
        <v>8</v>
      </c>
      <c r="U87" s="12">
        <v>36</v>
      </c>
      <c r="V87" s="17">
        <f t="shared" si="57"/>
        <v>0.66666666666666663</v>
      </c>
      <c r="W87" s="17">
        <f t="shared" si="58"/>
        <v>3</v>
      </c>
      <c r="X87" s="33">
        <f t="shared" si="59"/>
        <v>0.22222222222222221</v>
      </c>
      <c r="Y87" s="12">
        <v>15</v>
      </c>
      <c r="Z87" s="12">
        <v>17</v>
      </c>
      <c r="AA87" s="17">
        <f t="shared" si="60"/>
        <v>1.25</v>
      </c>
      <c r="AB87" s="17">
        <f t="shared" si="61"/>
        <v>1.4166666666666667</v>
      </c>
      <c r="AC87" s="33">
        <f t="shared" si="62"/>
        <v>0.88235294117647056</v>
      </c>
      <c r="AD87" s="12">
        <v>40</v>
      </c>
      <c r="AE87" s="17">
        <f t="shared" si="63"/>
        <v>3.3333333333333335</v>
      </c>
      <c r="AF87" s="12">
        <v>5</v>
      </c>
      <c r="AG87" s="17">
        <f t="shared" si="64"/>
        <v>0.41666666666666669</v>
      </c>
      <c r="AH87" s="12">
        <v>35</v>
      </c>
      <c r="AI87" s="17">
        <f t="shared" si="65"/>
        <v>2.9166666666666665</v>
      </c>
      <c r="AJ87" s="12">
        <v>31</v>
      </c>
      <c r="AK87" s="17">
        <f t="shared" si="66"/>
        <v>2.5833333333333335</v>
      </c>
      <c r="AL87" s="12">
        <v>14</v>
      </c>
      <c r="AM87" s="17">
        <f t="shared" si="67"/>
        <v>1.1666666666666667</v>
      </c>
      <c r="AN87" s="12">
        <v>0</v>
      </c>
      <c r="AO87" s="17">
        <f t="shared" si="68"/>
        <v>0</v>
      </c>
      <c r="AP87" s="12">
        <v>23</v>
      </c>
      <c r="AQ87" s="17">
        <f t="shared" si="69"/>
        <v>1.9166666666666667</v>
      </c>
      <c r="AR87" s="12">
        <v>22</v>
      </c>
      <c r="AS87" s="17">
        <f t="shared" si="70"/>
        <v>1.8333333333333333</v>
      </c>
      <c r="AT87" s="13">
        <v>-0.46651793555660864</v>
      </c>
      <c r="AU87" s="13">
        <v>-6.5384433855165902E-2</v>
      </c>
      <c r="AV87" s="13">
        <v>-0.53727706824903432</v>
      </c>
      <c r="AW87" s="13">
        <v>7.0759132692425689E-2</v>
      </c>
      <c r="AX87" s="13">
        <v>82.009336167825836</v>
      </c>
      <c r="AY87" s="13">
        <v>111.99126620931796</v>
      </c>
      <c r="AZ87" s="13">
        <v>1.0581879285680718</v>
      </c>
      <c r="BA87" s="13">
        <v>6.583333333333333</v>
      </c>
      <c r="BB87" s="13">
        <v>11.072179397337072</v>
      </c>
      <c r="BC87" s="14">
        <v>0.41125101543460602</v>
      </c>
      <c r="BD87" s="14">
        <v>0.36263736263736263</v>
      </c>
      <c r="BE87" s="13">
        <v>4.5627979672086516</v>
      </c>
      <c r="BF87" s="14">
        <v>0.39560439560439559</v>
      </c>
      <c r="BG87" s="14">
        <v>0.18681318681318682</v>
      </c>
      <c r="BH87" s="13">
        <v>0.4468251952812281</v>
      </c>
      <c r="BI87" s="13">
        <v>3.1277763669685967</v>
      </c>
      <c r="BJ87" s="13">
        <v>1.6697443882239189</v>
      </c>
      <c r="BK87" s="13">
        <v>3.4049408254235578</v>
      </c>
      <c r="BL87" s="13">
        <v>2.7640571392850641</v>
      </c>
      <c r="BM87" s="13">
        <v>0</v>
      </c>
      <c r="BN87" s="13">
        <v>18.933157721435627</v>
      </c>
      <c r="BO87" s="15" t="s">
        <v>187</v>
      </c>
      <c r="BP87" s="15"/>
      <c r="BQ87" s="12" t="s">
        <v>271</v>
      </c>
      <c r="BR87" s="26">
        <v>163.05000000000001</v>
      </c>
      <c r="BS87" s="27">
        <v>258.35000000000002</v>
      </c>
      <c r="BT87" s="27">
        <v>95.3</v>
      </c>
      <c r="BU87" s="26">
        <f t="shared" si="71"/>
        <v>13.587500000000002</v>
      </c>
      <c r="BV87" s="26">
        <f t="shared" si="72"/>
        <v>21.529166666666669</v>
      </c>
      <c r="BW87" s="26">
        <f t="shared" si="72"/>
        <v>7.9416666666666664</v>
      </c>
      <c r="BX87" s="31">
        <f t="shared" si="73"/>
        <v>22.85347193832856</v>
      </c>
      <c r="BY87" s="31">
        <f t="shared" si="74"/>
        <v>36.210944343864973</v>
      </c>
      <c r="BZ87" s="31">
        <f t="shared" si="75"/>
        <v>13.357472405536413</v>
      </c>
      <c r="CA87" s="30">
        <v>5</v>
      </c>
      <c r="CB87" s="30">
        <v>7</v>
      </c>
    </row>
    <row r="88" spans="1:80" x14ac:dyDescent="0.4">
      <c r="A88" s="12" t="s">
        <v>191</v>
      </c>
      <c r="B88" s="12" t="s">
        <v>183</v>
      </c>
      <c r="C88" s="8" t="s">
        <v>110</v>
      </c>
      <c r="D88" s="5">
        <v>40</v>
      </c>
      <c r="E88" s="22">
        <v>17</v>
      </c>
      <c r="F88" s="22">
        <v>56</v>
      </c>
      <c r="G88" s="10">
        <v>43049</v>
      </c>
      <c r="H88" s="5">
        <v>253</v>
      </c>
      <c r="I88" s="17">
        <f t="shared" si="50"/>
        <v>6.3250000000000002</v>
      </c>
      <c r="J88" s="7">
        <v>104</v>
      </c>
      <c r="K88" s="7">
        <v>226</v>
      </c>
      <c r="L88" s="17">
        <f t="shared" si="51"/>
        <v>2.6</v>
      </c>
      <c r="M88" s="17">
        <f t="shared" si="52"/>
        <v>5.65</v>
      </c>
      <c r="N88" s="33">
        <f t="shared" si="53"/>
        <v>0.46017699115044247</v>
      </c>
      <c r="O88" s="12">
        <v>103</v>
      </c>
      <c r="P88" s="12">
        <v>213</v>
      </c>
      <c r="Q88" s="17">
        <f t="shared" si="54"/>
        <v>2.5750000000000002</v>
      </c>
      <c r="R88" s="17">
        <f t="shared" si="55"/>
        <v>5.3250000000000002</v>
      </c>
      <c r="S88" s="33">
        <f t="shared" si="56"/>
        <v>0.48356807511737088</v>
      </c>
      <c r="T88" s="12">
        <v>1</v>
      </c>
      <c r="U88" s="12">
        <v>13</v>
      </c>
      <c r="V88" s="17">
        <f t="shared" si="57"/>
        <v>2.5000000000000001E-2</v>
      </c>
      <c r="W88" s="17">
        <f t="shared" si="58"/>
        <v>0.32500000000000001</v>
      </c>
      <c r="X88" s="33">
        <f t="shared" si="59"/>
        <v>7.6923076923076927E-2</v>
      </c>
      <c r="Y88" s="12">
        <v>44</v>
      </c>
      <c r="Z88" s="12">
        <v>80</v>
      </c>
      <c r="AA88" s="17">
        <f t="shared" si="60"/>
        <v>1.1000000000000001</v>
      </c>
      <c r="AB88" s="17">
        <f t="shared" si="61"/>
        <v>2</v>
      </c>
      <c r="AC88" s="33">
        <f t="shared" si="62"/>
        <v>0.55000000000000004</v>
      </c>
      <c r="AD88" s="12">
        <v>178</v>
      </c>
      <c r="AE88" s="17">
        <f t="shared" si="63"/>
        <v>4.45</v>
      </c>
      <c r="AF88" s="12">
        <v>74</v>
      </c>
      <c r="AG88" s="17">
        <f t="shared" si="64"/>
        <v>1.85</v>
      </c>
      <c r="AH88" s="12">
        <v>104</v>
      </c>
      <c r="AI88" s="17">
        <f t="shared" si="65"/>
        <v>2.6</v>
      </c>
      <c r="AJ88" s="12">
        <v>21</v>
      </c>
      <c r="AK88" s="17">
        <f t="shared" si="66"/>
        <v>0.52500000000000002</v>
      </c>
      <c r="AL88" s="12">
        <v>20</v>
      </c>
      <c r="AM88" s="17">
        <f t="shared" si="67"/>
        <v>0.5</v>
      </c>
      <c r="AN88" s="12">
        <v>26</v>
      </c>
      <c r="AO88" s="17">
        <f t="shared" si="68"/>
        <v>0.65</v>
      </c>
      <c r="AP88" s="12">
        <v>37</v>
      </c>
      <c r="AQ88" s="17">
        <f t="shared" si="69"/>
        <v>0.92500000000000004</v>
      </c>
      <c r="AR88" s="12">
        <v>108</v>
      </c>
      <c r="AS88" s="17">
        <f t="shared" si="70"/>
        <v>2.7</v>
      </c>
      <c r="AT88" s="13">
        <v>0.29457039403709961</v>
      </c>
      <c r="AU88" s="13">
        <v>1.6425858403555739E-2</v>
      </c>
      <c r="AV88" s="13">
        <v>6.0378769207428018E-2</v>
      </c>
      <c r="AW88" s="13">
        <v>0.2341916248296716</v>
      </c>
      <c r="AX88" s="13">
        <v>97.865838373746413</v>
      </c>
      <c r="AY88" s="13">
        <v>111.33396977426386</v>
      </c>
      <c r="AZ88" s="13">
        <v>6.1007120524287828</v>
      </c>
      <c r="BA88" s="13">
        <v>7.5750000000000002</v>
      </c>
      <c r="BB88" s="13">
        <v>16.895910780669144</v>
      </c>
      <c r="BC88" s="14">
        <v>0.48430321592649311</v>
      </c>
      <c r="BD88" s="14">
        <v>0.46238938053097345</v>
      </c>
      <c r="BE88" s="13">
        <v>14.854081315750815</v>
      </c>
      <c r="BF88" s="14">
        <v>5.7522123893805309E-2</v>
      </c>
      <c r="BG88" s="14">
        <v>0.35398230088495575</v>
      </c>
      <c r="BH88" s="13">
        <v>8.7702317790533684</v>
      </c>
      <c r="BI88" s="13">
        <v>12.325731148939868</v>
      </c>
      <c r="BJ88" s="13">
        <v>9.8542075528625634</v>
      </c>
      <c r="BK88" s="13">
        <v>3.4747118195356022</v>
      </c>
      <c r="BL88" s="13">
        <v>1.5710207930535527</v>
      </c>
      <c r="BM88" s="13">
        <v>2.9785600953139233</v>
      </c>
      <c r="BN88" s="13">
        <v>12.407780013413817</v>
      </c>
      <c r="BO88" s="15" t="s">
        <v>187</v>
      </c>
      <c r="BP88" s="15"/>
      <c r="BQ88" s="12" t="s">
        <v>273</v>
      </c>
      <c r="BR88" s="26">
        <v>527.27</v>
      </c>
      <c r="BS88" s="27">
        <v>732.37</v>
      </c>
      <c r="BT88" s="27">
        <v>205.1</v>
      </c>
      <c r="BU88" s="26">
        <f t="shared" si="71"/>
        <v>13.181749999999999</v>
      </c>
      <c r="BV88" s="26">
        <f t="shared" si="72"/>
        <v>18.309249999999999</v>
      </c>
      <c r="BW88" s="26">
        <f t="shared" si="72"/>
        <v>5.1274999999999995</v>
      </c>
      <c r="BX88" s="31">
        <f t="shared" si="73"/>
        <v>29.395526028479175</v>
      </c>
      <c r="BY88" s="31">
        <f t="shared" si="74"/>
        <v>40.829937977653373</v>
      </c>
      <c r="BZ88" s="31">
        <f t="shared" si="75"/>
        <v>11.434411949174196</v>
      </c>
      <c r="CA88" s="30">
        <v>12</v>
      </c>
      <c r="CB88" s="30">
        <v>28</v>
      </c>
    </row>
    <row r="89" spans="1:80" x14ac:dyDescent="0.4">
      <c r="A89" s="12" t="s">
        <v>191</v>
      </c>
      <c r="B89" s="12" t="s">
        <v>183</v>
      </c>
      <c r="C89" s="4" t="s">
        <v>165</v>
      </c>
      <c r="D89" s="22">
        <v>7</v>
      </c>
      <c r="E89" s="22">
        <v>7</v>
      </c>
      <c r="F89" s="22">
        <v>28</v>
      </c>
      <c r="G89" s="10">
        <v>3135</v>
      </c>
      <c r="H89" s="5">
        <v>16</v>
      </c>
      <c r="I89" s="17">
        <f t="shared" si="50"/>
        <v>2.2857142857142856</v>
      </c>
      <c r="J89" s="7">
        <v>6</v>
      </c>
      <c r="K89" s="7">
        <v>12</v>
      </c>
      <c r="L89" s="17">
        <f t="shared" si="51"/>
        <v>0.8571428571428571</v>
      </c>
      <c r="M89" s="17">
        <f t="shared" si="52"/>
        <v>1.7142857142857142</v>
      </c>
      <c r="N89" s="33">
        <f t="shared" si="53"/>
        <v>0.5</v>
      </c>
      <c r="O89" s="12">
        <v>3</v>
      </c>
      <c r="P89" s="12">
        <v>4</v>
      </c>
      <c r="Q89" s="17">
        <f t="shared" si="54"/>
        <v>0.42857142857142855</v>
      </c>
      <c r="R89" s="17">
        <f t="shared" si="55"/>
        <v>0.5714285714285714</v>
      </c>
      <c r="S89" s="33">
        <f t="shared" si="56"/>
        <v>0.75</v>
      </c>
      <c r="T89" s="12">
        <v>3</v>
      </c>
      <c r="U89" s="12">
        <v>8</v>
      </c>
      <c r="V89" s="17">
        <f t="shared" si="57"/>
        <v>0.42857142857142855</v>
      </c>
      <c r="W89" s="17">
        <f t="shared" si="58"/>
        <v>1.1428571428571428</v>
      </c>
      <c r="X89" s="33">
        <f t="shared" si="59"/>
        <v>0.375</v>
      </c>
      <c r="Y89" s="12">
        <v>1</v>
      </c>
      <c r="Z89" s="12">
        <v>1</v>
      </c>
      <c r="AA89" s="17">
        <f t="shared" si="60"/>
        <v>0.14285714285714285</v>
      </c>
      <c r="AB89" s="17">
        <f t="shared" si="61"/>
        <v>0.14285714285714285</v>
      </c>
      <c r="AC89" s="33">
        <f t="shared" si="62"/>
        <v>1</v>
      </c>
      <c r="AD89" s="12">
        <v>9</v>
      </c>
      <c r="AE89" s="17">
        <f t="shared" si="63"/>
        <v>1.2857142857142858</v>
      </c>
      <c r="AF89" s="12">
        <v>3</v>
      </c>
      <c r="AG89" s="17">
        <f t="shared" si="64"/>
        <v>0.42857142857142855</v>
      </c>
      <c r="AH89" s="12">
        <v>6</v>
      </c>
      <c r="AI89" s="17">
        <f t="shared" si="65"/>
        <v>0.8571428571428571</v>
      </c>
      <c r="AJ89" s="12">
        <v>2</v>
      </c>
      <c r="AK89" s="17">
        <f t="shared" si="66"/>
        <v>0.2857142857142857</v>
      </c>
      <c r="AL89" s="12">
        <v>2</v>
      </c>
      <c r="AM89" s="17">
        <f t="shared" si="67"/>
        <v>0.2857142857142857</v>
      </c>
      <c r="AN89" s="12">
        <v>1</v>
      </c>
      <c r="AO89" s="17">
        <f t="shared" si="68"/>
        <v>0.14285714285714285</v>
      </c>
      <c r="AP89" s="12">
        <v>1</v>
      </c>
      <c r="AQ89" s="17">
        <f t="shared" si="69"/>
        <v>0.14285714285714285</v>
      </c>
      <c r="AR89" s="12">
        <v>6</v>
      </c>
      <c r="AS89" s="17">
        <f t="shared" si="70"/>
        <v>0.8571428571428571</v>
      </c>
      <c r="AT89" s="13">
        <v>0.12610643084110545</v>
      </c>
      <c r="AU89" s="13">
        <v>9.6510023602886824E-2</v>
      </c>
      <c r="AV89" s="13">
        <v>0.11555110660733479</v>
      </c>
      <c r="AW89" s="13">
        <v>1.0555324233770652E-2</v>
      </c>
      <c r="AX89" s="13">
        <v>127.77875634301057</v>
      </c>
      <c r="AY89" s="13">
        <v>112.37602847014593</v>
      </c>
      <c r="AZ89" s="13">
        <v>1.3832999334065021</v>
      </c>
      <c r="BA89" s="13">
        <v>3.2857142857142856</v>
      </c>
      <c r="BB89" s="13">
        <v>17.602040816326532</v>
      </c>
      <c r="BC89" s="14">
        <v>0.64308681672025725</v>
      </c>
      <c r="BD89" s="14">
        <v>0.625</v>
      </c>
      <c r="BE89" s="13">
        <v>1.6079468305581361</v>
      </c>
      <c r="BF89" s="14">
        <v>0.66666666666666663</v>
      </c>
      <c r="BG89" s="14">
        <v>8.3333333333333329E-2</v>
      </c>
      <c r="BH89" s="13">
        <v>0.85395475937452558</v>
      </c>
      <c r="BI89" s="13">
        <v>1.7079095187490512</v>
      </c>
      <c r="BJ89" s="13">
        <v>1.1966812041272206</v>
      </c>
      <c r="BK89" s="13">
        <v>0.69220119981541306</v>
      </c>
      <c r="BL89" s="13">
        <v>2.1561458843439065</v>
      </c>
      <c r="BM89" s="13">
        <v>0.275148580233326</v>
      </c>
      <c r="BN89" s="13">
        <v>7.4404761904761907</v>
      </c>
      <c r="BO89" s="15" t="s">
        <v>187</v>
      </c>
      <c r="BP89" s="15">
        <v>64000</v>
      </c>
      <c r="BQ89" s="12" t="s">
        <v>273</v>
      </c>
      <c r="BR89" s="26">
        <v>38.56</v>
      </c>
      <c r="BS89" s="27">
        <v>45.56</v>
      </c>
      <c r="BT89" s="27">
        <v>7</v>
      </c>
      <c r="BU89" s="26">
        <f t="shared" si="71"/>
        <v>5.5085714285714289</v>
      </c>
      <c r="BV89" s="26">
        <f t="shared" si="72"/>
        <v>6.5085714285714289</v>
      </c>
      <c r="BW89" s="26">
        <f t="shared" si="72"/>
        <v>1</v>
      </c>
      <c r="BX89" s="31">
        <f t="shared" si="73"/>
        <v>29.519617224880381</v>
      </c>
      <c r="BY89" s="31">
        <f t="shared" si="74"/>
        <v>34.878468899521529</v>
      </c>
      <c r="BZ89" s="31">
        <f t="shared" si="75"/>
        <v>5.3588516746411488</v>
      </c>
      <c r="CA89" s="30">
        <v>1</v>
      </c>
      <c r="CB89" s="30">
        <v>6</v>
      </c>
    </row>
    <row r="90" spans="1:80" x14ac:dyDescent="0.4">
      <c r="A90" s="12" t="s">
        <v>191</v>
      </c>
      <c r="B90" s="12" t="s">
        <v>183</v>
      </c>
      <c r="C90" s="4" t="s">
        <v>118</v>
      </c>
      <c r="D90" s="5">
        <v>53</v>
      </c>
      <c r="E90" s="22">
        <v>26</v>
      </c>
      <c r="F90" s="22">
        <v>12</v>
      </c>
      <c r="G90" s="10">
        <v>83303</v>
      </c>
      <c r="H90" s="5">
        <v>457</v>
      </c>
      <c r="I90" s="17">
        <f t="shared" si="50"/>
        <v>8.6226415094339615</v>
      </c>
      <c r="J90" s="7">
        <v>179</v>
      </c>
      <c r="K90" s="7">
        <v>383</v>
      </c>
      <c r="L90" s="17">
        <f t="shared" si="51"/>
        <v>3.3773584905660377</v>
      </c>
      <c r="M90" s="17">
        <f t="shared" si="52"/>
        <v>7.2264150943396226</v>
      </c>
      <c r="N90" s="33">
        <f t="shared" si="53"/>
        <v>0.46736292428198434</v>
      </c>
      <c r="O90" s="12">
        <v>115</v>
      </c>
      <c r="P90" s="12">
        <v>218</v>
      </c>
      <c r="Q90" s="17">
        <f t="shared" si="54"/>
        <v>2.1698113207547172</v>
      </c>
      <c r="R90" s="17">
        <f t="shared" si="55"/>
        <v>4.1132075471698117</v>
      </c>
      <c r="S90" s="33">
        <f t="shared" si="56"/>
        <v>0.52752293577981646</v>
      </c>
      <c r="T90" s="12">
        <v>64</v>
      </c>
      <c r="U90" s="12">
        <v>165</v>
      </c>
      <c r="V90" s="17">
        <f t="shared" si="57"/>
        <v>1.2075471698113207</v>
      </c>
      <c r="W90" s="17">
        <f t="shared" si="58"/>
        <v>3.1132075471698113</v>
      </c>
      <c r="X90" s="33">
        <f t="shared" si="59"/>
        <v>0.38787878787878788</v>
      </c>
      <c r="Y90" s="12">
        <v>35</v>
      </c>
      <c r="Z90" s="12">
        <v>50</v>
      </c>
      <c r="AA90" s="17">
        <f t="shared" si="60"/>
        <v>0.660377358490566</v>
      </c>
      <c r="AB90" s="17">
        <f t="shared" si="61"/>
        <v>0.94339622641509435</v>
      </c>
      <c r="AC90" s="33">
        <f t="shared" si="62"/>
        <v>0.7</v>
      </c>
      <c r="AD90" s="12">
        <v>220</v>
      </c>
      <c r="AE90" s="17">
        <f t="shared" si="63"/>
        <v>4.1509433962264151</v>
      </c>
      <c r="AF90" s="12">
        <v>34</v>
      </c>
      <c r="AG90" s="17">
        <f t="shared" si="64"/>
        <v>0.64150943396226412</v>
      </c>
      <c r="AH90" s="12">
        <v>186</v>
      </c>
      <c r="AI90" s="17">
        <f t="shared" si="65"/>
        <v>3.5094339622641511</v>
      </c>
      <c r="AJ90" s="12">
        <v>199</v>
      </c>
      <c r="AK90" s="17">
        <f t="shared" si="66"/>
        <v>3.7547169811320753</v>
      </c>
      <c r="AL90" s="12">
        <v>69</v>
      </c>
      <c r="AM90" s="17">
        <f t="shared" si="67"/>
        <v>1.3018867924528301</v>
      </c>
      <c r="AN90" s="12">
        <v>24</v>
      </c>
      <c r="AO90" s="17">
        <f t="shared" si="68"/>
        <v>0.45283018867924529</v>
      </c>
      <c r="AP90" s="12">
        <v>90</v>
      </c>
      <c r="AQ90" s="17">
        <f t="shared" si="69"/>
        <v>1.6981132075471699</v>
      </c>
      <c r="AR90" s="12">
        <v>137</v>
      </c>
      <c r="AS90" s="17">
        <f t="shared" si="70"/>
        <v>2.5849056603773586</v>
      </c>
      <c r="AT90" s="13">
        <v>2.2123236231926091</v>
      </c>
      <c r="AU90" s="13">
        <v>6.3728175808515322E-2</v>
      </c>
      <c r="AV90" s="13">
        <v>1.6039338721319714</v>
      </c>
      <c r="AW90" s="13">
        <v>0.60838975106063764</v>
      </c>
      <c r="AX90" s="13">
        <v>107.89460762194159</v>
      </c>
      <c r="AY90" s="13">
        <v>110.39959083361072</v>
      </c>
      <c r="AZ90" s="13">
        <v>10.876679279611579</v>
      </c>
      <c r="BA90" s="13">
        <v>12.452830188679245</v>
      </c>
      <c r="BB90" s="13">
        <v>19.011954486533199</v>
      </c>
      <c r="BC90" s="14">
        <v>0.56419753086419755</v>
      </c>
      <c r="BD90" s="14">
        <v>0.55091383812010442</v>
      </c>
      <c r="BE90" s="13">
        <v>16.877304519217077</v>
      </c>
      <c r="BF90" s="14">
        <v>0.43080939947780678</v>
      </c>
      <c r="BG90" s="14">
        <v>0.13054830287206268</v>
      </c>
      <c r="BH90" s="13">
        <v>2.7581507410502066</v>
      </c>
      <c r="BI90" s="13">
        <v>15.088706995157011</v>
      </c>
      <c r="BJ90" s="13">
        <v>8.336506889933478</v>
      </c>
      <c r="BK90" s="13">
        <v>23.250379717256685</v>
      </c>
      <c r="BL90" s="13">
        <v>2.7999152085906176</v>
      </c>
      <c r="BM90" s="13">
        <v>1.8819322739622908</v>
      </c>
      <c r="BN90" s="13">
        <v>18.181818181818183</v>
      </c>
      <c r="BO90" s="15" t="s">
        <v>188</v>
      </c>
      <c r="BP90" s="15">
        <v>300000</v>
      </c>
      <c r="BQ90" s="12" t="s">
        <v>273</v>
      </c>
      <c r="BR90" s="26">
        <v>1102.2</v>
      </c>
      <c r="BS90" s="27">
        <v>1443.1</v>
      </c>
      <c r="BT90" s="27">
        <v>340.9</v>
      </c>
      <c r="BU90" s="26">
        <f t="shared" si="71"/>
        <v>20.796226415094338</v>
      </c>
      <c r="BV90" s="26">
        <f t="shared" si="72"/>
        <v>27.228301886792451</v>
      </c>
      <c r="BW90" s="26">
        <f t="shared" si="72"/>
        <v>6.4320754716981128</v>
      </c>
      <c r="BX90" s="31">
        <f t="shared" si="73"/>
        <v>31.754918790439717</v>
      </c>
      <c r="BY90" s="31">
        <f t="shared" si="74"/>
        <v>41.576413814628523</v>
      </c>
      <c r="BZ90" s="31">
        <f t="shared" si="75"/>
        <v>9.8214950241888044</v>
      </c>
      <c r="CA90" s="30">
        <v>16</v>
      </c>
      <c r="CB90" s="30">
        <v>37</v>
      </c>
    </row>
    <row r="91" spans="1:80" x14ac:dyDescent="0.4">
      <c r="A91" s="12" t="s">
        <v>191</v>
      </c>
      <c r="B91" s="12" t="s">
        <v>183</v>
      </c>
      <c r="C91" s="4" t="s">
        <v>161</v>
      </c>
      <c r="D91" s="5">
        <v>14</v>
      </c>
      <c r="E91" s="22">
        <v>5</v>
      </c>
      <c r="F91" s="22">
        <v>23</v>
      </c>
      <c r="G91" s="10">
        <v>4519</v>
      </c>
      <c r="H91" s="5">
        <v>14</v>
      </c>
      <c r="I91" s="17">
        <f t="shared" si="50"/>
        <v>1</v>
      </c>
      <c r="J91" s="7">
        <v>4</v>
      </c>
      <c r="K91" s="7">
        <v>24</v>
      </c>
      <c r="L91" s="17">
        <f t="shared" si="51"/>
        <v>0.2857142857142857</v>
      </c>
      <c r="M91" s="17">
        <f t="shared" si="52"/>
        <v>1.7142857142857142</v>
      </c>
      <c r="N91" s="33">
        <f t="shared" si="53"/>
        <v>0.16666666666666666</v>
      </c>
      <c r="O91" s="12">
        <v>3</v>
      </c>
      <c r="P91" s="12">
        <v>12</v>
      </c>
      <c r="Q91" s="17">
        <f t="shared" si="54"/>
        <v>0.21428571428571427</v>
      </c>
      <c r="R91" s="17">
        <f t="shared" si="55"/>
        <v>0.8571428571428571</v>
      </c>
      <c r="S91" s="33">
        <f t="shared" si="56"/>
        <v>0.25</v>
      </c>
      <c r="T91" s="12">
        <v>1</v>
      </c>
      <c r="U91" s="12">
        <v>12</v>
      </c>
      <c r="V91" s="17">
        <f t="shared" si="57"/>
        <v>7.1428571428571425E-2</v>
      </c>
      <c r="W91" s="17">
        <f t="shared" si="58"/>
        <v>0.8571428571428571</v>
      </c>
      <c r="X91" s="33">
        <f t="shared" si="59"/>
        <v>8.3333333333333329E-2</v>
      </c>
      <c r="Y91" s="12">
        <v>5</v>
      </c>
      <c r="Z91" s="12">
        <v>6</v>
      </c>
      <c r="AA91" s="17">
        <f t="shared" si="60"/>
        <v>0.35714285714285715</v>
      </c>
      <c r="AB91" s="17">
        <f t="shared" si="61"/>
        <v>0.42857142857142855</v>
      </c>
      <c r="AC91" s="33">
        <f t="shared" si="62"/>
        <v>0.83333333333333337</v>
      </c>
      <c r="AD91" s="12">
        <v>12</v>
      </c>
      <c r="AE91" s="17">
        <f t="shared" si="63"/>
        <v>0.8571428571428571</v>
      </c>
      <c r="AF91" s="12">
        <v>6</v>
      </c>
      <c r="AG91" s="17">
        <f t="shared" si="64"/>
        <v>0.42857142857142855</v>
      </c>
      <c r="AH91" s="12">
        <v>6</v>
      </c>
      <c r="AI91" s="17">
        <f t="shared" si="65"/>
        <v>0.42857142857142855</v>
      </c>
      <c r="AJ91" s="12">
        <v>8</v>
      </c>
      <c r="AK91" s="17">
        <f t="shared" si="66"/>
        <v>0.5714285714285714</v>
      </c>
      <c r="AL91" s="12">
        <v>2</v>
      </c>
      <c r="AM91" s="17">
        <f t="shared" si="67"/>
        <v>0.14285714285714285</v>
      </c>
      <c r="AN91" s="12">
        <v>3</v>
      </c>
      <c r="AO91" s="17">
        <f t="shared" si="68"/>
        <v>0.21428571428571427</v>
      </c>
      <c r="AP91" s="12">
        <v>5</v>
      </c>
      <c r="AQ91" s="17">
        <f t="shared" si="69"/>
        <v>0.35714285714285715</v>
      </c>
      <c r="AR91" s="12">
        <v>19</v>
      </c>
      <c r="AS91" s="17">
        <f t="shared" si="70"/>
        <v>1.3571428571428572</v>
      </c>
      <c r="AT91" s="13">
        <v>-0.24885510650482165</v>
      </c>
      <c r="AU91" s="13">
        <v>-0.13207701362485005</v>
      </c>
      <c r="AV91" s="13">
        <v>-0.25370450330134858</v>
      </c>
      <c r="AW91" s="13">
        <v>4.8493967965269388E-3</v>
      </c>
      <c r="AX91" s="13">
        <v>70.726187115002148</v>
      </c>
      <c r="AY91" s="13">
        <v>113.52757304655918</v>
      </c>
      <c r="AZ91" s="13">
        <v>-0.68804975532823298</v>
      </c>
      <c r="BA91" s="13">
        <v>0.9285714285714286</v>
      </c>
      <c r="BB91" s="13">
        <v>6.8996019460415745</v>
      </c>
      <c r="BC91" s="14">
        <v>0.26276276276276278</v>
      </c>
      <c r="BD91" s="14">
        <v>0.1875</v>
      </c>
      <c r="BE91" s="13">
        <v>5.2503031701609322</v>
      </c>
      <c r="BF91" s="14">
        <v>0.5</v>
      </c>
      <c r="BG91" s="14">
        <v>0.25</v>
      </c>
      <c r="BH91" s="13">
        <v>2.3688652148593654</v>
      </c>
      <c r="BI91" s="13">
        <v>2.3688652148593654</v>
      </c>
      <c r="BJ91" s="13">
        <v>2.2130575003054482</v>
      </c>
      <c r="BK91" s="13">
        <v>3.8343251987059155</v>
      </c>
      <c r="BL91" s="13">
        <v>1.4952838331053715</v>
      </c>
      <c r="BM91" s="13">
        <v>1.1448906867913007</v>
      </c>
      <c r="BN91" s="13">
        <v>15.802781289506953</v>
      </c>
      <c r="BO91" s="15" t="s">
        <v>187</v>
      </c>
      <c r="BP91" s="15"/>
      <c r="BQ91" s="12" t="s">
        <v>271</v>
      </c>
      <c r="BR91" s="26">
        <v>37.630000000000003</v>
      </c>
      <c r="BS91" s="27">
        <v>64.83</v>
      </c>
      <c r="BT91" s="27">
        <v>27.2</v>
      </c>
      <c r="BU91" s="26">
        <f t="shared" si="71"/>
        <v>2.6878571428571423</v>
      </c>
      <c r="BV91" s="26">
        <f t="shared" si="72"/>
        <v>4.6307142857142853</v>
      </c>
      <c r="BW91" s="26">
        <f t="shared" si="72"/>
        <v>1.9428571428571428</v>
      </c>
      <c r="BX91" s="31">
        <f t="shared" si="73"/>
        <v>19.984952423102456</v>
      </c>
      <c r="BY91" s="31">
        <f t="shared" si="74"/>
        <v>34.43062624474441</v>
      </c>
      <c r="BZ91" s="31">
        <f t="shared" si="75"/>
        <v>14.445673821641956</v>
      </c>
      <c r="CA91" s="30">
        <v>5</v>
      </c>
      <c r="CB91" s="30">
        <v>9</v>
      </c>
    </row>
    <row r="92" spans="1:80" x14ac:dyDescent="0.4">
      <c r="A92" s="12" t="s">
        <v>191</v>
      </c>
      <c r="B92" s="12" t="s">
        <v>183</v>
      </c>
      <c r="C92" s="4" t="s">
        <v>69</v>
      </c>
      <c r="D92" s="5">
        <v>35</v>
      </c>
      <c r="E92" s="22">
        <v>13</v>
      </c>
      <c r="F92" s="22">
        <v>50</v>
      </c>
      <c r="G92" s="10">
        <v>29062</v>
      </c>
      <c r="H92" s="5">
        <v>108</v>
      </c>
      <c r="I92" s="17">
        <f t="shared" si="50"/>
        <v>3.0857142857142859</v>
      </c>
      <c r="J92" s="7">
        <v>34</v>
      </c>
      <c r="K92" s="7">
        <v>102</v>
      </c>
      <c r="L92" s="17">
        <f t="shared" si="51"/>
        <v>0.97142857142857142</v>
      </c>
      <c r="M92" s="17">
        <f t="shared" si="52"/>
        <v>2.9142857142857141</v>
      </c>
      <c r="N92" s="33">
        <f t="shared" si="53"/>
        <v>0.33333333333333331</v>
      </c>
      <c r="O92" s="12">
        <v>13</v>
      </c>
      <c r="P92" s="12">
        <v>26</v>
      </c>
      <c r="Q92" s="17">
        <f t="shared" si="54"/>
        <v>0.37142857142857144</v>
      </c>
      <c r="R92" s="17">
        <f t="shared" si="55"/>
        <v>0.74285714285714288</v>
      </c>
      <c r="S92" s="33">
        <f t="shared" si="56"/>
        <v>0.5</v>
      </c>
      <c r="T92" s="12">
        <v>21</v>
      </c>
      <c r="U92" s="12">
        <v>76</v>
      </c>
      <c r="V92" s="17">
        <f t="shared" si="57"/>
        <v>0.6</v>
      </c>
      <c r="W92" s="17">
        <f t="shared" si="58"/>
        <v>2.1714285714285713</v>
      </c>
      <c r="X92" s="33">
        <f t="shared" si="59"/>
        <v>0.27631578947368424</v>
      </c>
      <c r="Y92" s="12">
        <v>19</v>
      </c>
      <c r="Z92" s="12">
        <v>30</v>
      </c>
      <c r="AA92" s="17">
        <f t="shared" si="60"/>
        <v>0.54285714285714282</v>
      </c>
      <c r="AB92" s="17">
        <f t="shared" si="61"/>
        <v>0.8571428571428571</v>
      </c>
      <c r="AC92" s="33">
        <f t="shared" si="62"/>
        <v>0.6333333333333333</v>
      </c>
      <c r="AD92" s="12">
        <v>30</v>
      </c>
      <c r="AE92" s="17">
        <f t="shared" si="63"/>
        <v>0.8571428571428571</v>
      </c>
      <c r="AF92" s="12">
        <v>4</v>
      </c>
      <c r="AG92" s="17">
        <f t="shared" si="64"/>
        <v>0.11428571428571428</v>
      </c>
      <c r="AH92" s="12">
        <v>26</v>
      </c>
      <c r="AI92" s="17">
        <f t="shared" si="65"/>
        <v>0.74285714285714288</v>
      </c>
      <c r="AJ92" s="12">
        <v>48</v>
      </c>
      <c r="AK92" s="17">
        <f t="shared" si="66"/>
        <v>1.3714285714285714</v>
      </c>
      <c r="AL92" s="12">
        <v>14</v>
      </c>
      <c r="AM92" s="17">
        <f t="shared" si="67"/>
        <v>0.4</v>
      </c>
      <c r="AN92" s="12">
        <v>1</v>
      </c>
      <c r="AO92" s="17">
        <f t="shared" si="68"/>
        <v>2.8571428571428571E-2</v>
      </c>
      <c r="AP92" s="12">
        <v>24</v>
      </c>
      <c r="AQ92" s="17">
        <f t="shared" si="69"/>
        <v>0.68571428571428572</v>
      </c>
      <c r="AR92" s="12">
        <v>69</v>
      </c>
      <c r="AS92" s="17">
        <f t="shared" si="70"/>
        <v>1.9714285714285715</v>
      </c>
      <c r="AT92" s="13">
        <v>-0.28232245271758943</v>
      </c>
      <c r="AU92" s="13">
        <v>-2.3324402289921328E-2</v>
      </c>
      <c r="AV92" s="13">
        <v>-0.12374919518599531</v>
      </c>
      <c r="AW92" s="13">
        <v>-0.15857325753159413</v>
      </c>
      <c r="AX92" s="13">
        <v>94.163569646882337</v>
      </c>
      <c r="AY92" s="13">
        <v>116.80680687639844</v>
      </c>
      <c r="AZ92" s="13">
        <v>1.6090366817790491</v>
      </c>
      <c r="BA92" s="13">
        <v>2.8</v>
      </c>
      <c r="BB92" s="13">
        <v>8.0963855421686741</v>
      </c>
      <c r="BC92" s="14">
        <v>0.46875</v>
      </c>
      <c r="BD92" s="14">
        <v>0.43627450980392157</v>
      </c>
      <c r="BE92" s="13">
        <v>8.9890039684213878</v>
      </c>
      <c r="BF92" s="14">
        <v>0.74509803921568629</v>
      </c>
      <c r="BG92" s="14">
        <v>0.29411764705882354</v>
      </c>
      <c r="BH92" s="13">
        <v>0.61457306377475895</v>
      </c>
      <c r="BI92" s="13">
        <v>3.9947249145359334</v>
      </c>
      <c r="BJ92" s="13">
        <v>2.1530649777068063</v>
      </c>
      <c r="BK92" s="13">
        <v>9.3673768092372747</v>
      </c>
      <c r="BL92" s="13">
        <v>1.6293189140487929</v>
      </c>
      <c r="BM92" s="13">
        <v>0.1485139324632892</v>
      </c>
      <c r="BN92" s="13">
        <v>17.241379310344829</v>
      </c>
      <c r="BO92" s="15" t="s">
        <v>187</v>
      </c>
      <c r="BP92" s="15">
        <v>90000</v>
      </c>
      <c r="BQ92" s="12" t="s">
        <v>271</v>
      </c>
      <c r="BR92" s="26">
        <v>252.79</v>
      </c>
      <c r="BS92" s="27">
        <v>360.09</v>
      </c>
      <c r="BT92" s="27">
        <v>107.3</v>
      </c>
      <c r="BU92" s="26">
        <f t="shared" si="71"/>
        <v>7.2225714285714275</v>
      </c>
      <c r="BV92" s="26">
        <f t="shared" si="72"/>
        <v>10.288285714285713</v>
      </c>
      <c r="BW92" s="26">
        <f t="shared" si="72"/>
        <v>3.0657142857142858</v>
      </c>
      <c r="BX92" s="31">
        <f t="shared" si="73"/>
        <v>20.875920445943152</v>
      </c>
      <c r="BY92" s="31">
        <f t="shared" si="74"/>
        <v>29.736976120019264</v>
      </c>
      <c r="BZ92" s="31">
        <f t="shared" si="75"/>
        <v>8.8610556740761126</v>
      </c>
      <c r="CA92" s="30">
        <v>13</v>
      </c>
      <c r="CB92" s="30">
        <v>22</v>
      </c>
    </row>
    <row r="93" spans="1:80" x14ac:dyDescent="0.4">
      <c r="A93" s="12" t="s">
        <v>191</v>
      </c>
      <c r="B93" s="12" t="s">
        <v>183</v>
      </c>
      <c r="C93" s="4" t="s">
        <v>105</v>
      </c>
      <c r="D93" s="32">
        <v>47</v>
      </c>
      <c r="E93" s="24">
        <v>14</v>
      </c>
      <c r="F93" s="24">
        <v>48</v>
      </c>
      <c r="G93" s="10">
        <v>41743</v>
      </c>
      <c r="H93" s="5">
        <v>172</v>
      </c>
      <c r="I93" s="17">
        <f t="shared" si="50"/>
        <v>3.6595744680851063</v>
      </c>
      <c r="J93" s="7">
        <v>56</v>
      </c>
      <c r="K93" s="7">
        <v>147</v>
      </c>
      <c r="L93" s="17">
        <f t="shared" si="51"/>
        <v>1.1914893617021276</v>
      </c>
      <c r="M93" s="17">
        <f t="shared" si="52"/>
        <v>3.1276595744680851</v>
      </c>
      <c r="N93" s="33">
        <f t="shared" si="53"/>
        <v>0.38095238095238093</v>
      </c>
      <c r="O93" s="12">
        <v>19</v>
      </c>
      <c r="P93" s="12">
        <v>44</v>
      </c>
      <c r="Q93" s="17">
        <f t="shared" si="54"/>
        <v>0.40425531914893614</v>
      </c>
      <c r="R93" s="17">
        <f t="shared" si="55"/>
        <v>0.93617021276595747</v>
      </c>
      <c r="S93" s="33">
        <f t="shared" si="56"/>
        <v>0.43181818181818182</v>
      </c>
      <c r="T93" s="12">
        <v>37</v>
      </c>
      <c r="U93" s="12">
        <v>103</v>
      </c>
      <c r="V93" s="17">
        <f t="shared" si="57"/>
        <v>0.78723404255319152</v>
      </c>
      <c r="W93" s="17">
        <f t="shared" si="58"/>
        <v>2.1914893617021276</v>
      </c>
      <c r="X93" s="33">
        <f t="shared" si="59"/>
        <v>0.35922330097087379</v>
      </c>
      <c r="Y93" s="12">
        <v>23</v>
      </c>
      <c r="Z93" s="12">
        <v>34</v>
      </c>
      <c r="AA93" s="17">
        <f t="shared" si="60"/>
        <v>0.48936170212765956</v>
      </c>
      <c r="AB93" s="17">
        <f t="shared" si="61"/>
        <v>0.72340425531914898</v>
      </c>
      <c r="AC93" s="33">
        <f t="shared" si="62"/>
        <v>0.67647058823529416</v>
      </c>
      <c r="AD93" s="12">
        <v>93</v>
      </c>
      <c r="AE93" s="17">
        <f t="shared" si="63"/>
        <v>1.9787234042553192</v>
      </c>
      <c r="AF93" s="12">
        <v>37</v>
      </c>
      <c r="AG93" s="17">
        <f t="shared" si="64"/>
        <v>0.78723404255319152</v>
      </c>
      <c r="AH93" s="12">
        <v>56</v>
      </c>
      <c r="AI93" s="17">
        <f t="shared" si="65"/>
        <v>1.1914893617021276</v>
      </c>
      <c r="AJ93" s="12">
        <v>48</v>
      </c>
      <c r="AK93" s="17">
        <f t="shared" si="66"/>
        <v>1.0212765957446808</v>
      </c>
      <c r="AL93" s="12">
        <v>17</v>
      </c>
      <c r="AM93" s="17">
        <f t="shared" si="67"/>
        <v>0.36170212765957449</v>
      </c>
      <c r="AN93" s="12">
        <v>3</v>
      </c>
      <c r="AO93" s="17">
        <f t="shared" si="68"/>
        <v>6.3829787234042548E-2</v>
      </c>
      <c r="AP93" s="12">
        <v>25</v>
      </c>
      <c r="AQ93" s="17">
        <f t="shared" si="69"/>
        <v>0.53191489361702127</v>
      </c>
      <c r="AR93" s="12">
        <v>88</v>
      </c>
      <c r="AS93" s="17">
        <f t="shared" si="70"/>
        <v>1.8723404255319149</v>
      </c>
      <c r="AT93" s="13">
        <v>0.47752725371986771</v>
      </c>
      <c r="AU93" s="13">
        <v>2.7459876579635865E-2</v>
      </c>
      <c r="AV93" s="13">
        <v>0.6561542011737288</v>
      </c>
      <c r="AW93" s="13">
        <v>-0.17862694745386107</v>
      </c>
      <c r="AX93" s="13">
        <v>108.88584872471341</v>
      </c>
      <c r="AY93" s="13">
        <v>116.21497769231196</v>
      </c>
      <c r="AZ93" s="13">
        <v>4.9972912876764344</v>
      </c>
      <c r="BA93" s="13">
        <v>4.3829787234042552</v>
      </c>
      <c r="BB93" s="13">
        <v>11.845888441633122</v>
      </c>
      <c r="BC93" s="14">
        <v>0.53099530748332924</v>
      </c>
      <c r="BD93" s="14">
        <v>0.50680272108843538</v>
      </c>
      <c r="BE93" s="13">
        <v>11.284599828871963</v>
      </c>
      <c r="BF93" s="14">
        <v>0.70068027210884354</v>
      </c>
      <c r="BG93" s="14">
        <v>0.23129251700680273</v>
      </c>
      <c r="BH93" s="13">
        <v>5.3134962805526031</v>
      </c>
      <c r="BI93" s="13">
        <v>8.0420484246201571</v>
      </c>
      <c r="BJ93" s="13">
        <v>6.238554265359924</v>
      </c>
      <c r="BK93" s="13">
        <v>9.0805902383654935</v>
      </c>
      <c r="BL93" s="13">
        <v>1.3770899150151232</v>
      </c>
      <c r="BM93" s="13">
        <v>0.41644109440719607</v>
      </c>
      <c r="BN93" s="13">
        <v>13.371844244758236</v>
      </c>
      <c r="BO93" s="15" t="s">
        <v>187</v>
      </c>
      <c r="BP93" s="15">
        <v>40000</v>
      </c>
      <c r="BQ93" s="12" t="s">
        <v>273</v>
      </c>
      <c r="BR93" s="26">
        <v>423.23</v>
      </c>
      <c r="BS93" s="27">
        <v>553.92999999999995</v>
      </c>
      <c r="BT93" s="27">
        <v>130.69999999999999</v>
      </c>
      <c r="BU93" s="26">
        <f t="shared" si="71"/>
        <v>9.0048936170212741</v>
      </c>
      <c r="BV93" s="26">
        <f t="shared" si="72"/>
        <v>11.785744680851062</v>
      </c>
      <c r="BW93" s="26">
        <f t="shared" si="72"/>
        <v>2.780851063829787</v>
      </c>
      <c r="BX93" s="31">
        <f t="shared" si="73"/>
        <v>24.333469084636942</v>
      </c>
      <c r="BY93" s="31">
        <f t="shared" si="74"/>
        <v>31.848022422921204</v>
      </c>
      <c r="BZ93" s="31">
        <f t="shared" si="75"/>
        <v>7.5145533382842631</v>
      </c>
      <c r="CA93" s="30">
        <v>14</v>
      </c>
      <c r="CB93" s="30">
        <v>33</v>
      </c>
    </row>
    <row r="94" spans="1:80" x14ac:dyDescent="0.4">
      <c r="A94" s="12" t="s">
        <v>191</v>
      </c>
      <c r="B94" s="12" t="s">
        <v>183</v>
      </c>
      <c r="C94" s="12" t="s">
        <v>196</v>
      </c>
      <c r="D94" s="12">
        <v>54</v>
      </c>
      <c r="E94" s="11">
        <v>23</v>
      </c>
      <c r="F94" s="11">
        <v>33</v>
      </c>
      <c r="G94" s="10">
        <v>76281</v>
      </c>
      <c r="H94" s="7">
        <v>934</v>
      </c>
      <c r="I94" s="17">
        <f t="shared" si="50"/>
        <v>17.296296296296298</v>
      </c>
      <c r="J94" s="7">
        <v>327</v>
      </c>
      <c r="K94" s="7">
        <v>626</v>
      </c>
      <c r="L94" s="17">
        <f t="shared" si="51"/>
        <v>6.0555555555555554</v>
      </c>
      <c r="M94" s="17">
        <f t="shared" si="52"/>
        <v>11.592592592592593</v>
      </c>
      <c r="N94" s="33">
        <f t="shared" si="53"/>
        <v>0.52236421725239612</v>
      </c>
      <c r="O94" s="5">
        <v>302</v>
      </c>
      <c r="P94" s="7">
        <v>559</v>
      </c>
      <c r="Q94" s="17">
        <f t="shared" si="54"/>
        <v>5.5925925925925926</v>
      </c>
      <c r="R94" s="17">
        <f t="shared" si="55"/>
        <v>10.351851851851851</v>
      </c>
      <c r="S94" s="33">
        <f t="shared" si="56"/>
        <v>0.5402504472271914</v>
      </c>
      <c r="T94" s="7">
        <v>25</v>
      </c>
      <c r="U94" s="7">
        <v>67</v>
      </c>
      <c r="V94" s="17">
        <f t="shared" si="57"/>
        <v>0.46296296296296297</v>
      </c>
      <c r="W94" s="17">
        <f t="shared" si="58"/>
        <v>1.2407407407407407</v>
      </c>
      <c r="X94" s="33">
        <f t="shared" si="59"/>
        <v>0.37313432835820898</v>
      </c>
      <c r="Y94" s="5">
        <v>255</v>
      </c>
      <c r="Z94" s="5">
        <v>333</v>
      </c>
      <c r="AA94" s="17">
        <f t="shared" si="60"/>
        <v>4.7222222222222223</v>
      </c>
      <c r="AB94" s="17">
        <f t="shared" si="61"/>
        <v>6.166666666666667</v>
      </c>
      <c r="AC94" s="33">
        <f t="shared" si="62"/>
        <v>0.76576576576576572</v>
      </c>
      <c r="AD94" s="12">
        <v>493</v>
      </c>
      <c r="AE94" s="17">
        <f t="shared" si="63"/>
        <v>9.1296296296296298</v>
      </c>
      <c r="AF94" s="12">
        <v>132</v>
      </c>
      <c r="AG94" s="17">
        <f t="shared" si="64"/>
        <v>2.4444444444444446</v>
      </c>
      <c r="AH94" s="7">
        <v>361</v>
      </c>
      <c r="AI94" s="17">
        <f t="shared" si="65"/>
        <v>6.6851851851851851</v>
      </c>
      <c r="AJ94" s="7">
        <v>139</v>
      </c>
      <c r="AK94" s="17">
        <f t="shared" si="66"/>
        <v>2.574074074074074</v>
      </c>
      <c r="AL94" s="7">
        <v>48</v>
      </c>
      <c r="AM94" s="17">
        <f t="shared" si="67"/>
        <v>0.88888888888888884</v>
      </c>
      <c r="AN94" s="7">
        <v>15</v>
      </c>
      <c r="AO94" s="17">
        <f t="shared" si="68"/>
        <v>0.27777777777777779</v>
      </c>
      <c r="AP94" s="7">
        <v>104</v>
      </c>
      <c r="AQ94" s="17">
        <f t="shared" si="69"/>
        <v>1.9259259259259258</v>
      </c>
      <c r="AR94" s="7">
        <v>112</v>
      </c>
      <c r="AS94" s="17">
        <f t="shared" si="70"/>
        <v>2.074074074074074</v>
      </c>
      <c r="AT94" s="13">
        <v>6.4783874578645566</v>
      </c>
      <c r="AU94" s="13">
        <v>0.20377093521631062</v>
      </c>
      <c r="AV94" s="13">
        <v>5.2949649178090841</v>
      </c>
      <c r="AW94" s="13">
        <v>1.1834225400554721</v>
      </c>
      <c r="AX94" s="13">
        <v>118.25277813058514</v>
      </c>
      <c r="AY94" s="13">
        <v>106.27859089355941</v>
      </c>
      <c r="AZ94" s="13">
        <v>22.875109708160867</v>
      </c>
      <c r="BA94" s="13">
        <v>21.25925925925926</v>
      </c>
      <c r="BB94" s="13">
        <v>36.109145238656915</v>
      </c>
      <c r="BC94" s="14">
        <v>0.60451509346036347</v>
      </c>
      <c r="BD94" s="14">
        <v>0.542332268370607</v>
      </c>
      <c r="BE94" s="13">
        <v>33.248349986336819</v>
      </c>
      <c r="BF94" s="14">
        <v>0.10702875399361023</v>
      </c>
      <c r="BG94" s="14">
        <v>0.53194888178913735</v>
      </c>
      <c r="BH94" s="13">
        <v>11.91306172455106</v>
      </c>
      <c r="BI94" s="13">
        <v>32.580418807294947</v>
      </c>
      <c r="BJ94" s="13">
        <v>20.783502199288701</v>
      </c>
      <c r="BK94" s="13">
        <v>23.042811554560902</v>
      </c>
      <c r="BL94" s="13">
        <v>2.126814026359201</v>
      </c>
      <c r="BM94" s="13">
        <v>1.3085622499419325</v>
      </c>
      <c r="BN94" s="13">
        <v>11.865102906950213</v>
      </c>
      <c r="BO94" s="15" t="s">
        <v>189</v>
      </c>
      <c r="BP94" s="15">
        <v>78000</v>
      </c>
      <c r="BQ94" s="12" t="s">
        <v>272</v>
      </c>
      <c r="BR94" s="26">
        <v>1570.64</v>
      </c>
      <c r="BS94" s="27">
        <v>2083.84</v>
      </c>
      <c r="BT94" s="27">
        <v>513.20000000000005</v>
      </c>
      <c r="BU94" s="26">
        <f t="shared" si="71"/>
        <v>29.085925925925928</v>
      </c>
      <c r="BV94" s="26">
        <f t="shared" si="72"/>
        <v>38.589629629629634</v>
      </c>
      <c r="BW94" s="26">
        <f t="shared" si="72"/>
        <v>9.5037037037037049</v>
      </c>
      <c r="BX94" s="31">
        <f t="shared" si="73"/>
        <v>49.416447083808549</v>
      </c>
      <c r="BY94" s="31">
        <f t="shared" si="74"/>
        <v>65.563062885908678</v>
      </c>
      <c r="BZ94" s="31">
        <f t="shared" si="75"/>
        <v>16.146615802100129</v>
      </c>
      <c r="CA94" s="30">
        <v>16</v>
      </c>
      <c r="CB94" s="30">
        <v>38</v>
      </c>
    </row>
    <row r="95" spans="1:80" x14ac:dyDescent="0.4">
      <c r="A95" s="12" t="s">
        <v>191</v>
      </c>
      <c r="B95" s="12" t="s">
        <v>183</v>
      </c>
      <c r="C95" s="4" t="s">
        <v>106</v>
      </c>
      <c r="D95" s="5">
        <v>47</v>
      </c>
      <c r="E95" s="22">
        <v>25</v>
      </c>
      <c r="F95" s="22">
        <v>21</v>
      </c>
      <c r="G95" s="10">
        <v>71494</v>
      </c>
      <c r="H95" s="5">
        <v>314</v>
      </c>
      <c r="I95" s="17">
        <f t="shared" si="50"/>
        <v>6.6808510638297873</v>
      </c>
      <c r="J95" s="7">
        <v>106</v>
      </c>
      <c r="K95" s="7">
        <v>264</v>
      </c>
      <c r="L95" s="17">
        <f t="shared" si="51"/>
        <v>2.2553191489361701</v>
      </c>
      <c r="M95" s="17">
        <f t="shared" si="52"/>
        <v>5.6170212765957448</v>
      </c>
      <c r="N95" s="33">
        <f t="shared" si="53"/>
        <v>0.40151515151515149</v>
      </c>
      <c r="O95" s="12">
        <v>29</v>
      </c>
      <c r="P95" s="12">
        <v>65</v>
      </c>
      <c r="Q95" s="17">
        <f t="shared" si="54"/>
        <v>0.61702127659574468</v>
      </c>
      <c r="R95" s="17">
        <f t="shared" si="55"/>
        <v>1.3829787234042554</v>
      </c>
      <c r="S95" s="33">
        <f t="shared" si="56"/>
        <v>0.44615384615384618</v>
      </c>
      <c r="T95" s="12">
        <v>77</v>
      </c>
      <c r="U95" s="12">
        <v>199</v>
      </c>
      <c r="V95" s="17">
        <f t="shared" si="57"/>
        <v>1.6382978723404256</v>
      </c>
      <c r="W95" s="17">
        <f t="shared" si="58"/>
        <v>4.2340425531914896</v>
      </c>
      <c r="X95" s="33">
        <f t="shared" si="59"/>
        <v>0.38693467336683418</v>
      </c>
      <c r="Y95" s="12">
        <v>25</v>
      </c>
      <c r="Z95" s="12">
        <v>33</v>
      </c>
      <c r="AA95" s="17">
        <f t="shared" si="60"/>
        <v>0.53191489361702127</v>
      </c>
      <c r="AB95" s="17">
        <f t="shared" si="61"/>
        <v>0.7021276595744681</v>
      </c>
      <c r="AC95" s="33">
        <f t="shared" si="62"/>
        <v>0.75757575757575757</v>
      </c>
      <c r="AD95" s="12">
        <v>102</v>
      </c>
      <c r="AE95" s="17">
        <f t="shared" si="63"/>
        <v>2.1702127659574466</v>
      </c>
      <c r="AF95" s="12">
        <v>25</v>
      </c>
      <c r="AG95" s="17">
        <f t="shared" si="64"/>
        <v>0.53191489361702127</v>
      </c>
      <c r="AH95" s="12">
        <v>77</v>
      </c>
      <c r="AI95" s="17">
        <f t="shared" si="65"/>
        <v>1.6382978723404256</v>
      </c>
      <c r="AJ95" s="12">
        <v>163</v>
      </c>
      <c r="AK95" s="17">
        <f t="shared" si="66"/>
        <v>3.4680851063829787</v>
      </c>
      <c r="AL95" s="12">
        <v>40</v>
      </c>
      <c r="AM95" s="17">
        <f t="shared" si="67"/>
        <v>0.85106382978723405</v>
      </c>
      <c r="AN95" s="12">
        <v>3</v>
      </c>
      <c r="AO95" s="17">
        <f t="shared" si="68"/>
        <v>6.3829787234042548E-2</v>
      </c>
      <c r="AP95" s="12">
        <v>74</v>
      </c>
      <c r="AQ95" s="17">
        <f t="shared" si="69"/>
        <v>1.574468085106383</v>
      </c>
      <c r="AR95" s="12">
        <v>115</v>
      </c>
      <c r="AS95" s="17">
        <f t="shared" si="70"/>
        <v>2.4468085106382977</v>
      </c>
      <c r="AT95" s="13">
        <v>0.74619734858142217</v>
      </c>
      <c r="AU95" s="13">
        <v>2.5051738590169025E-2</v>
      </c>
      <c r="AV95" s="13">
        <v>1.0133177431736331</v>
      </c>
      <c r="AW95" s="13">
        <v>-0.26712039459221099</v>
      </c>
      <c r="AX95" s="13">
        <v>106.47908631266843</v>
      </c>
      <c r="AY95" s="13">
        <v>115.94218859220079</v>
      </c>
      <c r="AZ95" s="13">
        <v>6.2576813735026704</v>
      </c>
      <c r="BA95" s="13">
        <v>8.1276595744680851</v>
      </c>
      <c r="BB95" s="13">
        <v>12.824709387720842</v>
      </c>
      <c r="BC95" s="14">
        <v>0.56369381013930786</v>
      </c>
      <c r="BD95" s="14">
        <v>0.54734848484848486</v>
      </c>
      <c r="BE95" s="13">
        <v>12.422384762400924</v>
      </c>
      <c r="BF95" s="14">
        <v>0.75378787878787878</v>
      </c>
      <c r="BG95" s="14">
        <v>0.125</v>
      </c>
      <c r="BH95" s="13">
        <v>2.0960537595868258</v>
      </c>
      <c r="BI95" s="13">
        <v>6.4558455795274234</v>
      </c>
      <c r="BJ95" s="13">
        <v>3.9947070132075</v>
      </c>
      <c r="BK95" s="13">
        <v>18.205679501856867</v>
      </c>
      <c r="BL95" s="13">
        <v>1.8917211502238147</v>
      </c>
      <c r="BM95" s="13">
        <v>0.2431293174448324</v>
      </c>
      <c r="BN95" s="13">
        <v>20.991716782026554</v>
      </c>
      <c r="BO95" s="15" t="s">
        <v>187</v>
      </c>
      <c r="BP95" s="15">
        <v>150000</v>
      </c>
      <c r="BQ95" s="12" t="s">
        <v>271</v>
      </c>
      <c r="BR95" s="26">
        <v>771.69</v>
      </c>
      <c r="BS95" s="27">
        <v>1034.8900000000001</v>
      </c>
      <c r="BT95" s="27">
        <v>263.2</v>
      </c>
      <c r="BU95" s="26">
        <f t="shared" si="71"/>
        <v>16.418936170212767</v>
      </c>
      <c r="BV95" s="26">
        <f t="shared" si="72"/>
        <v>22.018936170212768</v>
      </c>
      <c r="BW95" s="26">
        <f t="shared" si="72"/>
        <v>5.6</v>
      </c>
      <c r="BX95" s="31">
        <f t="shared" si="73"/>
        <v>25.905054969647807</v>
      </c>
      <c r="BY95" s="31">
        <f t="shared" si="74"/>
        <v>34.740481718745635</v>
      </c>
      <c r="BZ95" s="31">
        <f t="shared" si="75"/>
        <v>8.8354267490978255</v>
      </c>
      <c r="CA95" s="30">
        <v>14</v>
      </c>
      <c r="CB95" s="30">
        <v>33</v>
      </c>
    </row>
    <row r="96" spans="1:80" x14ac:dyDescent="0.4">
      <c r="A96" s="12" t="s">
        <v>191</v>
      </c>
      <c r="B96" s="12" t="s">
        <v>183</v>
      </c>
      <c r="C96" s="4" t="s">
        <v>164</v>
      </c>
      <c r="D96" s="22">
        <v>3</v>
      </c>
      <c r="E96" s="22">
        <v>7</v>
      </c>
      <c r="F96" s="22">
        <v>9</v>
      </c>
      <c r="G96" s="10">
        <v>1288</v>
      </c>
      <c r="H96" s="5">
        <v>4</v>
      </c>
      <c r="I96" s="17">
        <f t="shared" si="50"/>
        <v>1.3333333333333333</v>
      </c>
      <c r="J96" s="6">
        <v>2</v>
      </c>
      <c r="K96" s="6">
        <v>6</v>
      </c>
      <c r="L96" s="17">
        <f t="shared" si="51"/>
        <v>0.66666666666666663</v>
      </c>
      <c r="M96" s="17">
        <f t="shared" si="52"/>
        <v>2</v>
      </c>
      <c r="N96" s="33">
        <f t="shared" si="53"/>
        <v>0.33333333333333331</v>
      </c>
      <c r="O96" s="12">
        <v>2</v>
      </c>
      <c r="P96" s="12">
        <v>4</v>
      </c>
      <c r="Q96" s="17">
        <f t="shared" si="54"/>
        <v>0.66666666666666663</v>
      </c>
      <c r="R96" s="17">
        <f t="shared" si="55"/>
        <v>1.3333333333333333</v>
      </c>
      <c r="S96" s="33">
        <f t="shared" si="56"/>
        <v>0.5</v>
      </c>
      <c r="T96" s="12">
        <v>0</v>
      </c>
      <c r="U96" s="12">
        <v>2</v>
      </c>
      <c r="V96" s="17">
        <f t="shared" si="57"/>
        <v>0</v>
      </c>
      <c r="W96" s="17">
        <f t="shared" si="58"/>
        <v>0.66666666666666663</v>
      </c>
      <c r="X96" s="33">
        <f t="shared" si="59"/>
        <v>0</v>
      </c>
      <c r="Y96" s="12">
        <v>0</v>
      </c>
      <c r="Z96" s="12">
        <v>2</v>
      </c>
      <c r="AA96" s="17">
        <f t="shared" si="60"/>
        <v>0</v>
      </c>
      <c r="AB96" s="17">
        <f t="shared" si="61"/>
        <v>0.66666666666666663</v>
      </c>
      <c r="AC96" s="33">
        <f t="shared" si="62"/>
        <v>0</v>
      </c>
      <c r="AD96" s="12">
        <v>1</v>
      </c>
      <c r="AE96" s="17">
        <f t="shared" si="63"/>
        <v>0.33333333333333331</v>
      </c>
      <c r="AF96" s="12">
        <v>1</v>
      </c>
      <c r="AG96" s="17">
        <f t="shared" si="64"/>
        <v>0.33333333333333331</v>
      </c>
      <c r="AH96" s="12">
        <v>0</v>
      </c>
      <c r="AI96" s="17">
        <f t="shared" si="65"/>
        <v>0</v>
      </c>
      <c r="AJ96" s="12">
        <v>3</v>
      </c>
      <c r="AK96" s="17">
        <f t="shared" si="66"/>
        <v>1</v>
      </c>
      <c r="AL96" s="12">
        <v>3</v>
      </c>
      <c r="AM96" s="17">
        <f t="shared" si="67"/>
        <v>1</v>
      </c>
      <c r="AN96" s="12">
        <v>0</v>
      </c>
      <c r="AO96" s="17">
        <f t="shared" si="68"/>
        <v>0</v>
      </c>
      <c r="AP96" s="12">
        <v>2</v>
      </c>
      <c r="AQ96" s="17">
        <f t="shared" si="69"/>
        <v>0.66666666666666663</v>
      </c>
      <c r="AR96" s="12">
        <v>7</v>
      </c>
      <c r="AS96" s="17">
        <f t="shared" si="70"/>
        <v>2.3333333333333335</v>
      </c>
      <c r="AT96" s="13">
        <v>-5.9998347325317058E-2</v>
      </c>
      <c r="AU96" s="13">
        <v>-0.11188502997728124</v>
      </c>
      <c r="AV96" s="13">
        <v>-8.3222656860086328E-2</v>
      </c>
      <c r="AW96" s="13">
        <v>2.3224309534769266E-2</v>
      </c>
      <c r="AX96" s="13">
        <v>67.131764127434451</v>
      </c>
      <c r="AY96" s="13">
        <v>105.00547125027269</v>
      </c>
      <c r="AZ96" s="13">
        <v>-7.8796848321548332E-2</v>
      </c>
      <c r="BA96" s="13">
        <v>1</v>
      </c>
      <c r="BB96" s="13">
        <v>5.594405594405595</v>
      </c>
      <c r="BC96" s="14">
        <v>0.29069767441860467</v>
      </c>
      <c r="BD96" s="14">
        <v>0.33333333333333331</v>
      </c>
      <c r="BE96" s="13">
        <v>1.1094458318070122</v>
      </c>
      <c r="BF96" s="14">
        <v>0.33333333333333331</v>
      </c>
      <c r="BG96" s="14">
        <v>0.33333333333333331</v>
      </c>
      <c r="BH96" s="13">
        <v>0.29725853317776801</v>
      </c>
      <c r="BI96" s="13">
        <v>0</v>
      </c>
      <c r="BJ96" s="13">
        <v>0.13885345233074198</v>
      </c>
      <c r="BK96" s="13">
        <v>1.0698047606311847</v>
      </c>
      <c r="BL96" s="13">
        <v>7.8807383371823896</v>
      </c>
      <c r="BM96" s="13">
        <v>0</v>
      </c>
      <c r="BN96" s="13">
        <v>22.522522522522525</v>
      </c>
      <c r="BO96" s="15" t="s">
        <v>187</v>
      </c>
      <c r="BP96" s="15"/>
      <c r="BQ96" s="12" t="s">
        <v>271</v>
      </c>
      <c r="BR96" s="26">
        <v>11.47</v>
      </c>
      <c r="BS96" s="27">
        <v>19.87</v>
      </c>
      <c r="BT96" s="27">
        <v>8.4</v>
      </c>
      <c r="BU96" s="26">
        <f t="shared" si="71"/>
        <v>3.8233333333333337</v>
      </c>
      <c r="BV96" s="26">
        <f t="shared" si="72"/>
        <v>6.623333333333334</v>
      </c>
      <c r="BW96" s="26">
        <f t="shared" si="72"/>
        <v>2.8000000000000003</v>
      </c>
      <c r="BX96" s="31">
        <f t="shared" si="73"/>
        <v>21.372670807453417</v>
      </c>
      <c r="BY96" s="31">
        <f t="shared" si="74"/>
        <v>37.024844720496894</v>
      </c>
      <c r="BZ96" s="31">
        <f t="shared" si="75"/>
        <v>15.652173913043478</v>
      </c>
      <c r="CA96" s="30">
        <v>1</v>
      </c>
      <c r="CB96" s="30">
        <v>2</v>
      </c>
    </row>
    <row r="97" spans="1:80" x14ac:dyDescent="0.4">
      <c r="A97" s="12" t="s">
        <v>191</v>
      </c>
      <c r="B97" s="12" t="s">
        <v>179</v>
      </c>
      <c r="C97" s="4" t="s">
        <v>201</v>
      </c>
      <c r="D97" s="22">
        <v>38</v>
      </c>
      <c r="E97" s="22">
        <v>27</v>
      </c>
      <c r="F97" s="22">
        <v>19</v>
      </c>
      <c r="G97" s="10">
        <v>62278</v>
      </c>
      <c r="H97" s="5">
        <v>428</v>
      </c>
      <c r="I97" s="17">
        <f t="shared" si="50"/>
        <v>11.263157894736842</v>
      </c>
      <c r="J97" s="7">
        <v>169</v>
      </c>
      <c r="K97" s="7">
        <v>385</v>
      </c>
      <c r="L97" s="17">
        <f t="shared" si="51"/>
        <v>4.4473684210526319</v>
      </c>
      <c r="M97" s="17">
        <f t="shared" si="52"/>
        <v>10.131578947368421</v>
      </c>
      <c r="N97" s="33">
        <f t="shared" si="53"/>
        <v>0.43896103896103894</v>
      </c>
      <c r="O97" s="12">
        <v>134</v>
      </c>
      <c r="P97" s="12">
        <v>268</v>
      </c>
      <c r="Q97" s="17">
        <f t="shared" si="54"/>
        <v>3.5263157894736841</v>
      </c>
      <c r="R97" s="17">
        <f t="shared" si="55"/>
        <v>7.0526315789473681</v>
      </c>
      <c r="S97" s="33">
        <f t="shared" si="56"/>
        <v>0.5</v>
      </c>
      <c r="T97" s="12">
        <v>35</v>
      </c>
      <c r="U97" s="12">
        <v>117</v>
      </c>
      <c r="V97" s="17">
        <f t="shared" si="57"/>
        <v>0.92105263157894735</v>
      </c>
      <c r="W97" s="17">
        <f t="shared" si="58"/>
        <v>3.0789473684210527</v>
      </c>
      <c r="X97" s="33">
        <f t="shared" si="59"/>
        <v>0.29914529914529914</v>
      </c>
      <c r="Y97" s="12">
        <v>55</v>
      </c>
      <c r="Z97" s="12">
        <v>73</v>
      </c>
      <c r="AA97" s="17">
        <f t="shared" si="60"/>
        <v>1.4473684210526316</v>
      </c>
      <c r="AB97" s="17">
        <f t="shared" si="61"/>
        <v>1.9210526315789473</v>
      </c>
      <c r="AC97" s="33">
        <f t="shared" si="62"/>
        <v>0.75342465753424659</v>
      </c>
      <c r="AD97" s="12">
        <v>115</v>
      </c>
      <c r="AE97" s="17">
        <f t="shared" si="63"/>
        <v>3.0263157894736841</v>
      </c>
      <c r="AF97" s="12">
        <v>25</v>
      </c>
      <c r="AG97" s="17">
        <f t="shared" si="64"/>
        <v>0.65789473684210531</v>
      </c>
      <c r="AH97" s="12">
        <v>90</v>
      </c>
      <c r="AI97" s="17">
        <f t="shared" si="65"/>
        <v>2.3684210526315788</v>
      </c>
      <c r="AJ97" s="12">
        <v>153</v>
      </c>
      <c r="AK97" s="17">
        <f t="shared" si="66"/>
        <v>4.0263157894736841</v>
      </c>
      <c r="AL97" s="12">
        <v>59</v>
      </c>
      <c r="AM97" s="17">
        <f t="shared" si="67"/>
        <v>1.5526315789473684</v>
      </c>
      <c r="AN97" s="12">
        <v>5</v>
      </c>
      <c r="AO97" s="17">
        <f t="shared" si="68"/>
        <v>0.13157894736842105</v>
      </c>
      <c r="AP97" s="12">
        <v>58</v>
      </c>
      <c r="AQ97" s="17">
        <f t="shared" si="69"/>
        <v>1.5263157894736843</v>
      </c>
      <c r="AR97" s="12">
        <v>79</v>
      </c>
      <c r="AS97" s="17">
        <f t="shared" si="70"/>
        <v>2.0789473684210527</v>
      </c>
      <c r="AT97" s="13">
        <v>1.5950270722700659</v>
      </c>
      <c r="AU97" s="13">
        <v>6.146342399807582E-2</v>
      </c>
      <c r="AV97" s="13">
        <v>1.0771835170639263</v>
      </c>
      <c r="AW97" s="13">
        <v>0.51784355520613967</v>
      </c>
      <c r="AX97" s="13">
        <v>105.4848188453623</v>
      </c>
      <c r="AY97" s="13">
        <v>109.52980281308056</v>
      </c>
      <c r="AZ97" s="13">
        <v>8.198645873594641</v>
      </c>
      <c r="BA97" s="13">
        <v>12.315789473684211</v>
      </c>
      <c r="BB97" s="13">
        <v>18.034102951093413</v>
      </c>
      <c r="BC97" s="14">
        <v>0.51304181051016495</v>
      </c>
      <c r="BD97" s="14">
        <v>0.48441558441558441</v>
      </c>
      <c r="BE97" s="13">
        <v>15.537272689338655</v>
      </c>
      <c r="BF97" s="14">
        <v>0.30389610389610389</v>
      </c>
      <c r="BG97" s="14">
        <v>0.18961038961038962</v>
      </c>
      <c r="BH97" s="13">
        <v>1.9451481197874081</v>
      </c>
      <c r="BI97" s="13">
        <v>7.0025332312346702</v>
      </c>
      <c r="BJ97" s="13">
        <v>4.1795821053917974</v>
      </c>
      <c r="BK97" s="13">
        <v>16.813032847684546</v>
      </c>
      <c r="BL97" s="13">
        <v>3.2026808396073263</v>
      </c>
      <c r="BM97" s="13">
        <v>0.37604198884847478</v>
      </c>
      <c r="BN97" s="13">
        <v>12.207442330358646</v>
      </c>
      <c r="BO97" s="15" t="s">
        <v>187</v>
      </c>
      <c r="BP97" s="15"/>
      <c r="BQ97" s="12" t="s">
        <v>271</v>
      </c>
      <c r="BR97" s="26">
        <v>803.79</v>
      </c>
      <c r="BS97" s="27">
        <v>1112.99</v>
      </c>
      <c r="BT97" s="27">
        <v>309.2</v>
      </c>
      <c r="BU97" s="26">
        <f t="shared" si="71"/>
        <v>21.152368421052628</v>
      </c>
      <c r="BV97" s="26">
        <f t="shared" si="72"/>
        <v>29.289210526315788</v>
      </c>
      <c r="BW97" s="26">
        <f t="shared" si="72"/>
        <v>8.1368421052631579</v>
      </c>
      <c r="BX97" s="31">
        <f t="shared" si="73"/>
        <v>30.975561193358811</v>
      </c>
      <c r="BY97" s="31">
        <f t="shared" si="74"/>
        <v>42.891165419570314</v>
      </c>
      <c r="BZ97" s="31">
        <f t="shared" si="75"/>
        <v>11.915604226211503</v>
      </c>
      <c r="CA97" s="34">
        <v>19</v>
      </c>
      <c r="CB97" s="34">
        <v>19</v>
      </c>
    </row>
    <row r="98" spans="1:80" x14ac:dyDescent="0.4">
      <c r="A98" s="12" t="s">
        <v>191</v>
      </c>
      <c r="B98" s="12" t="s">
        <v>179</v>
      </c>
      <c r="C98" s="4" t="s">
        <v>143</v>
      </c>
      <c r="D98" s="22">
        <v>3</v>
      </c>
      <c r="E98" s="22">
        <v>0</v>
      </c>
      <c r="F98" s="22">
        <v>43</v>
      </c>
      <c r="G98" s="10">
        <v>130</v>
      </c>
      <c r="H98" s="5">
        <v>0</v>
      </c>
      <c r="I98" s="17">
        <f t="shared" ref="I98:I129" si="76">H98/$D98</f>
        <v>0</v>
      </c>
      <c r="J98" s="7">
        <v>0</v>
      </c>
      <c r="K98" s="7">
        <v>0</v>
      </c>
      <c r="L98" s="17">
        <f t="shared" ref="L98:L129" si="77">J98/$D98</f>
        <v>0</v>
      </c>
      <c r="M98" s="17">
        <f t="shared" ref="M98:M129" si="78">K98/$D98</f>
        <v>0</v>
      </c>
      <c r="N98" s="33" t="e">
        <f t="shared" ref="N98:N129" si="79">J98/K98</f>
        <v>#DIV/0!</v>
      </c>
      <c r="O98" s="12">
        <v>0</v>
      </c>
      <c r="P98" s="12">
        <v>0</v>
      </c>
      <c r="Q98" s="17">
        <f t="shared" ref="Q98:Q129" si="80">O98/$D98</f>
        <v>0</v>
      </c>
      <c r="R98" s="17">
        <f t="shared" ref="R98:R129" si="81">P98/$D98</f>
        <v>0</v>
      </c>
      <c r="S98" s="33" t="e">
        <f t="shared" ref="S98:S129" si="82">O98/P98</f>
        <v>#DIV/0!</v>
      </c>
      <c r="T98" s="12">
        <v>0</v>
      </c>
      <c r="U98" s="12">
        <v>0</v>
      </c>
      <c r="V98" s="17">
        <f t="shared" ref="V98:V129" si="83">T98/$D98</f>
        <v>0</v>
      </c>
      <c r="W98" s="17">
        <f t="shared" ref="W98:W129" si="84">U98/$D98</f>
        <v>0</v>
      </c>
      <c r="X98" s="33" t="e">
        <f t="shared" ref="X98:X129" si="85">T98/U98</f>
        <v>#DIV/0!</v>
      </c>
      <c r="Y98" s="12">
        <v>0</v>
      </c>
      <c r="Z98" s="12">
        <v>0</v>
      </c>
      <c r="AA98" s="17">
        <f t="shared" ref="AA98:AA129" si="86">Y98/$D98</f>
        <v>0</v>
      </c>
      <c r="AB98" s="17">
        <f t="shared" ref="AB98:AB129" si="87">Z98/$D98</f>
        <v>0</v>
      </c>
      <c r="AC98" s="33" t="e">
        <f t="shared" ref="AC98:AC129" si="88">Y98/Z98</f>
        <v>#DIV/0!</v>
      </c>
      <c r="AD98" s="12">
        <v>0</v>
      </c>
      <c r="AE98" s="17">
        <f t="shared" ref="AE98:AE129" si="89">AD98/$D98</f>
        <v>0</v>
      </c>
      <c r="AF98" s="12">
        <v>0</v>
      </c>
      <c r="AG98" s="17">
        <f t="shared" ref="AG98:AG129" si="90">AF98/$D98</f>
        <v>0</v>
      </c>
      <c r="AH98" s="12">
        <v>0</v>
      </c>
      <c r="AI98" s="17">
        <f t="shared" ref="AI98:AI129" si="91">AH98/$D98</f>
        <v>0</v>
      </c>
      <c r="AJ98" s="12">
        <v>0</v>
      </c>
      <c r="AK98" s="17">
        <f t="shared" ref="AK98:AK129" si="92">AJ98/$D98</f>
        <v>0</v>
      </c>
      <c r="AL98" s="12">
        <v>0</v>
      </c>
      <c r="AM98" s="17">
        <f t="shared" ref="AM98:AM129" si="93">AL98/$D98</f>
        <v>0</v>
      </c>
      <c r="AN98" s="12">
        <v>0</v>
      </c>
      <c r="AO98" s="17">
        <f t="shared" ref="AO98:AO129" si="94">AN98/$D98</f>
        <v>0</v>
      </c>
      <c r="AP98" s="12">
        <v>0</v>
      </c>
      <c r="AQ98" s="17">
        <f t="shared" ref="AQ98:AQ129" si="95">AP98/$D98</f>
        <v>0</v>
      </c>
      <c r="AR98" s="12">
        <v>1</v>
      </c>
      <c r="AS98" s="17">
        <f t="shared" ref="AS98:AS129" si="96">AR98/$D98</f>
        <v>0.33333333333333331</v>
      </c>
      <c r="AT98" s="13">
        <v>-1.3593278372554614E-3</v>
      </c>
      <c r="AU98" s="13">
        <v>-2.5289820228008582E-2</v>
      </c>
      <c r="AV98" s="13">
        <v>0</v>
      </c>
      <c r="AW98" s="13">
        <v>-1.3593278372554614E-3</v>
      </c>
      <c r="AX98" s="13">
        <v>0</v>
      </c>
      <c r="AY98" s="13">
        <v>119.81503345939002</v>
      </c>
      <c r="AZ98" s="13">
        <v>-0.60168519253195374</v>
      </c>
      <c r="BA98" s="13">
        <v>0</v>
      </c>
      <c r="BB98" s="13">
        <v>0</v>
      </c>
      <c r="BC98" s="14"/>
      <c r="BD98" s="14"/>
      <c r="BE98" s="13">
        <v>0</v>
      </c>
      <c r="BF98" s="14"/>
      <c r="BG98" s="14"/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/>
      <c r="BO98" s="15" t="s">
        <v>187</v>
      </c>
      <c r="BP98" s="15">
        <v>450000</v>
      </c>
      <c r="BQ98" s="12" t="s">
        <v>271</v>
      </c>
      <c r="BR98" s="26">
        <v>0.54</v>
      </c>
      <c r="BS98" s="27">
        <v>0.54</v>
      </c>
      <c r="BT98" s="27">
        <v>0</v>
      </c>
      <c r="BU98" s="26">
        <f t="shared" si="71"/>
        <v>0.18000000000000002</v>
      </c>
      <c r="BV98" s="26">
        <f t="shared" si="72"/>
        <v>0.18000000000000002</v>
      </c>
      <c r="BW98" s="26">
        <f t="shared" si="72"/>
        <v>0</v>
      </c>
      <c r="BX98" s="31">
        <f t="shared" si="73"/>
        <v>9.9692307692307693</v>
      </c>
      <c r="BY98" s="31">
        <f t="shared" si="74"/>
        <v>9.9692307692307693</v>
      </c>
      <c r="BZ98" s="31">
        <f t="shared" si="75"/>
        <v>0</v>
      </c>
      <c r="CA98" s="34">
        <v>3</v>
      </c>
      <c r="CB98" s="34">
        <v>0</v>
      </c>
    </row>
    <row r="99" spans="1:80" x14ac:dyDescent="0.4">
      <c r="A99" s="12" t="s">
        <v>191</v>
      </c>
      <c r="B99" s="12" t="s">
        <v>179</v>
      </c>
      <c r="C99" s="4" t="s">
        <v>57</v>
      </c>
      <c r="D99" s="5">
        <v>30</v>
      </c>
      <c r="E99" s="22">
        <v>25</v>
      </c>
      <c r="F99" s="22">
        <v>35</v>
      </c>
      <c r="G99" s="10">
        <v>46037</v>
      </c>
      <c r="H99" s="5">
        <v>293</v>
      </c>
      <c r="I99" s="17">
        <f t="shared" si="76"/>
        <v>9.7666666666666675</v>
      </c>
      <c r="J99" s="7">
        <v>112</v>
      </c>
      <c r="K99" s="7">
        <v>271</v>
      </c>
      <c r="L99" s="17">
        <f t="shared" si="77"/>
        <v>3.7333333333333334</v>
      </c>
      <c r="M99" s="17">
        <f t="shared" si="78"/>
        <v>9.0333333333333332</v>
      </c>
      <c r="N99" s="33">
        <f t="shared" si="79"/>
        <v>0.41328413284132842</v>
      </c>
      <c r="O99" s="12">
        <v>84</v>
      </c>
      <c r="P99" s="12">
        <v>163</v>
      </c>
      <c r="Q99" s="17">
        <f t="shared" si="80"/>
        <v>2.8</v>
      </c>
      <c r="R99" s="17">
        <f t="shared" si="81"/>
        <v>5.4333333333333336</v>
      </c>
      <c r="S99" s="33">
        <f t="shared" si="82"/>
        <v>0.51533742331288346</v>
      </c>
      <c r="T99" s="12">
        <v>28</v>
      </c>
      <c r="U99" s="12">
        <v>108</v>
      </c>
      <c r="V99" s="17">
        <f t="shared" si="83"/>
        <v>0.93333333333333335</v>
      </c>
      <c r="W99" s="17">
        <f t="shared" si="84"/>
        <v>3.6</v>
      </c>
      <c r="X99" s="33">
        <f t="shared" si="85"/>
        <v>0.25925925925925924</v>
      </c>
      <c r="Y99" s="12">
        <v>41</v>
      </c>
      <c r="Z99" s="12">
        <v>47</v>
      </c>
      <c r="AA99" s="17">
        <f t="shared" si="86"/>
        <v>1.3666666666666667</v>
      </c>
      <c r="AB99" s="17">
        <f t="shared" si="87"/>
        <v>1.5666666666666667</v>
      </c>
      <c r="AC99" s="33">
        <f t="shared" si="88"/>
        <v>0.87234042553191493</v>
      </c>
      <c r="AD99" s="12">
        <v>71</v>
      </c>
      <c r="AE99" s="17">
        <f t="shared" si="89"/>
        <v>2.3666666666666667</v>
      </c>
      <c r="AF99" s="12">
        <v>21</v>
      </c>
      <c r="AG99" s="17">
        <f t="shared" si="90"/>
        <v>0.7</v>
      </c>
      <c r="AH99" s="12">
        <v>50</v>
      </c>
      <c r="AI99" s="17">
        <f t="shared" si="91"/>
        <v>1.6666666666666667</v>
      </c>
      <c r="AJ99" s="12">
        <v>102</v>
      </c>
      <c r="AK99" s="17">
        <f t="shared" si="92"/>
        <v>3.4</v>
      </c>
      <c r="AL99" s="12">
        <v>28</v>
      </c>
      <c r="AM99" s="17">
        <f t="shared" si="93"/>
        <v>0.93333333333333335</v>
      </c>
      <c r="AN99" s="12">
        <v>7</v>
      </c>
      <c r="AO99" s="17">
        <f t="shared" si="94"/>
        <v>0.23333333333333334</v>
      </c>
      <c r="AP99" s="12">
        <v>49</v>
      </c>
      <c r="AQ99" s="17">
        <f t="shared" si="95"/>
        <v>1.6333333333333333</v>
      </c>
      <c r="AR99" s="12">
        <v>40</v>
      </c>
      <c r="AS99" s="17">
        <f t="shared" si="96"/>
        <v>1.3333333333333333</v>
      </c>
      <c r="AT99" s="13">
        <v>0.46816303622207056</v>
      </c>
      <c r="AU99" s="13">
        <v>2.4399376480629086E-2</v>
      </c>
      <c r="AV99" s="13">
        <v>0.37050731113809199</v>
      </c>
      <c r="AW99" s="13">
        <v>9.7655725083978601E-2</v>
      </c>
      <c r="AX99" s="13">
        <v>101.15244382877199</v>
      </c>
      <c r="AY99" s="13">
        <v>112.90904429682278</v>
      </c>
      <c r="AZ99" s="13">
        <v>5.3905790495014285</v>
      </c>
      <c r="BA99" s="13">
        <v>9.5666666666666664</v>
      </c>
      <c r="BB99" s="13">
        <v>14.957654723127035</v>
      </c>
      <c r="BC99" s="14">
        <v>0.50226275370268791</v>
      </c>
      <c r="BD99" s="14">
        <v>0.46494464944649444</v>
      </c>
      <c r="BE99" s="13">
        <v>11.895663979034655</v>
      </c>
      <c r="BF99" s="14">
        <v>0.39852398523985239</v>
      </c>
      <c r="BG99" s="14">
        <v>0.17343173431734318</v>
      </c>
      <c r="BH99" s="13">
        <v>1.7446267917905618</v>
      </c>
      <c r="BI99" s="13">
        <v>4.1538733137870514</v>
      </c>
      <c r="BJ99" s="13">
        <v>2.7552686023075377</v>
      </c>
      <c r="BK99" s="13">
        <v>11.351727335961048</v>
      </c>
      <c r="BL99" s="13">
        <v>2.0556662086044488</v>
      </c>
      <c r="BM99" s="13">
        <v>0.56212765316723801</v>
      </c>
      <c r="BN99" s="13">
        <v>14.382998708465422</v>
      </c>
      <c r="BO99" s="15" t="s">
        <v>187</v>
      </c>
      <c r="BP99" s="15">
        <v>40000</v>
      </c>
      <c r="BQ99" s="12" t="s">
        <v>271</v>
      </c>
      <c r="BR99" s="26">
        <v>528.02</v>
      </c>
      <c r="BS99" s="27">
        <v>757.32</v>
      </c>
      <c r="BT99" s="27">
        <v>229.3</v>
      </c>
      <c r="BU99" s="26">
        <f t="shared" si="71"/>
        <v>17.600666666666669</v>
      </c>
      <c r="BV99" s="26">
        <f t="shared" si="72"/>
        <v>25.244000000000003</v>
      </c>
      <c r="BW99" s="26">
        <f t="shared" si="72"/>
        <v>7.6433333333333335</v>
      </c>
      <c r="BX99" s="31">
        <f t="shared" si="73"/>
        <v>27.526728500988341</v>
      </c>
      <c r="BY99" s="31">
        <f t="shared" si="74"/>
        <v>39.480591697982064</v>
      </c>
      <c r="BZ99" s="31">
        <f t="shared" si="75"/>
        <v>11.953863196993723</v>
      </c>
      <c r="CA99" s="35">
        <v>15</v>
      </c>
      <c r="CB99" s="35">
        <v>15</v>
      </c>
    </row>
    <row r="100" spans="1:80" x14ac:dyDescent="0.4">
      <c r="A100" s="12" t="s">
        <v>191</v>
      </c>
      <c r="B100" s="12" t="s">
        <v>179</v>
      </c>
      <c r="C100" s="4" t="s">
        <v>251</v>
      </c>
      <c r="D100" s="5">
        <v>2</v>
      </c>
      <c r="E100" s="22">
        <v>2</v>
      </c>
      <c r="F100" s="22">
        <v>49</v>
      </c>
      <c r="G100" s="10">
        <v>338</v>
      </c>
      <c r="H100" s="5">
        <v>0</v>
      </c>
      <c r="I100" s="17">
        <f t="shared" si="76"/>
        <v>0</v>
      </c>
      <c r="J100" s="7">
        <v>0</v>
      </c>
      <c r="K100" s="7">
        <v>0</v>
      </c>
      <c r="L100" s="17">
        <f t="shared" si="77"/>
        <v>0</v>
      </c>
      <c r="M100" s="17">
        <f t="shared" si="78"/>
        <v>0</v>
      </c>
      <c r="N100" s="33" t="e">
        <f t="shared" si="79"/>
        <v>#DIV/0!</v>
      </c>
      <c r="O100" s="12">
        <v>0</v>
      </c>
      <c r="P100" s="12">
        <v>0</v>
      </c>
      <c r="Q100" s="17">
        <f t="shared" si="80"/>
        <v>0</v>
      </c>
      <c r="R100" s="17">
        <f t="shared" si="81"/>
        <v>0</v>
      </c>
      <c r="S100" s="33" t="e">
        <f t="shared" si="82"/>
        <v>#DIV/0!</v>
      </c>
      <c r="T100" s="12">
        <v>0</v>
      </c>
      <c r="U100" s="12">
        <v>0</v>
      </c>
      <c r="V100" s="17">
        <f t="shared" si="83"/>
        <v>0</v>
      </c>
      <c r="W100" s="17">
        <f t="shared" si="84"/>
        <v>0</v>
      </c>
      <c r="X100" s="33" t="e">
        <f t="shared" si="85"/>
        <v>#DIV/0!</v>
      </c>
      <c r="Y100" s="12">
        <v>0</v>
      </c>
      <c r="Z100" s="12">
        <v>0</v>
      </c>
      <c r="AA100" s="17">
        <f t="shared" si="86"/>
        <v>0</v>
      </c>
      <c r="AB100" s="17">
        <f t="shared" si="87"/>
        <v>0</v>
      </c>
      <c r="AC100" s="33" t="e">
        <f t="shared" si="88"/>
        <v>#DIV/0!</v>
      </c>
      <c r="AD100" s="12">
        <v>1</v>
      </c>
      <c r="AE100" s="17">
        <f t="shared" si="89"/>
        <v>0.5</v>
      </c>
      <c r="AF100" s="12">
        <v>0</v>
      </c>
      <c r="AG100" s="17">
        <f t="shared" si="90"/>
        <v>0</v>
      </c>
      <c r="AH100" s="12">
        <v>1</v>
      </c>
      <c r="AI100" s="17">
        <f t="shared" si="91"/>
        <v>0.5</v>
      </c>
      <c r="AJ100" s="12">
        <v>0</v>
      </c>
      <c r="AK100" s="17">
        <f t="shared" si="92"/>
        <v>0</v>
      </c>
      <c r="AL100" s="12">
        <v>0</v>
      </c>
      <c r="AM100" s="17">
        <f t="shared" si="93"/>
        <v>0</v>
      </c>
      <c r="AN100" s="12">
        <v>0</v>
      </c>
      <c r="AO100" s="17">
        <f t="shared" si="94"/>
        <v>0</v>
      </c>
      <c r="AP100" s="12">
        <v>0</v>
      </c>
      <c r="AQ100" s="17">
        <f t="shared" si="95"/>
        <v>0</v>
      </c>
      <c r="AR100" s="12">
        <v>0</v>
      </c>
      <c r="AS100" s="17">
        <f t="shared" si="96"/>
        <v>0</v>
      </c>
      <c r="AT100" s="13">
        <v>6.221270175339117E-4</v>
      </c>
      <c r="AU100" s="13">
        <v>4.417469946986355E-3</v>
      </c>
      <c r="AV100" s="13">
        <v>0</v>
      </c>
      <c r="AW100" s="13">
        <v>6.221270175339117E-4</v>
      </c>
      <c r="AX100" s="13">
        <v>0</v>
      </c>
      <c r="AY100" s="13">
        <v>113.06182468884066</v>
      </c>
      <c r="AZ100" s="13">
        <v>8.5290110231624083E-2</v>
      </c>
      <c r="BA100" s="13">
        <v>0.5</v>
      </c>
      <c r="BB100" s="13">
        <v>7.1005917159763312</v>
      </c>
      <c r="BC100" s="14"/>
      <c r="BD100" s="14"/>
      <c r="BE100" s="13">
        <v>0</v>
      </c>
      <c r="BF100" s="14"/>
      <c r="BG100" s="14"/>
      <c r="BH100" s="13">
        <v>0</v>
      </c>
      <c r="BI100" s="13">
        <v>0.75457935345125737</v>
      </c>
      <c r="BJ100" s="13">
        <v>0.35247414822419121</v>
      </c>
      <c r="BK100" s="13">
        <v>0</v>
      </c>
      <c r="BL100" s="13">
        <v>0</v>
      </c>
      <c r="BM100" s="13">
        <v>0</v>
      </c>
      <c r="BN100" s="13"/>
      <c r="BO100" s="15" t="s">
        <v>187</v>
      </c>
      <c r="BP100" s="15">
        <v>170000</v>
      </c>
      <c r="BQ100" s="12" t="s">
        <v>271</v>
      </c>
      <c r="BR100" s="26">
        <v>2.41</v>
      </c>
      <c r="BS100" s="27">
        <v>2.41</v>
      </c>
      <c r="BT100" s="27">
        <v>0</v>
      </c>
      <c r="BU100" s="26">
        <f t="shared" si="71"/>
        <v>1.2050000000000001</v>
      </c>
      <c r="BV100" s="26">
        <f t="shared" si="72"/>
        <v>1.2050000000000001</v>
      </c>
      <c r="BW100" s="26">
        <f t="shared" si="72"/>
        <v>0</v>
      </c>
      <c r="BX100" s="31">
        <f t="shared" si="73"/>
        <v>17.11242603550296</v>
      </c>
      <c r="BY100" s="31">
        <f t="shared" si="74"/>
        <v>17.11242603550296</v>
      </c>
      <c r="BZ100" s="31">
        <f t="shared" si="75"/>
        <v>0</v>
      </c>
      <c r="CA100" s="35">
        <v>2</v>
      </c>
      <c r="CB100" s="35">
        <v>0</v>
      </c>
    </row>
    <row r="101" spans="1:80" x14ac:dyDescent="0.4">
      <c r="A101" s="12" t="s">
        <v>191</v>
      </c>
      <c r="B101" s="12" t="s">
        <v>179</v>
      </c>
      <c r="C101" s="12" t="s">
        <v>195</v>
      </c>
      <c r="D101" s="12">
        <v>54</v>
      </c>
      <c r="E101" s="11">
        <v>23</v>
      </c>
      <c r="F101" s="11">
        <v>22</v>
      </c>
      <c r="G101" s="10">
        <v>75693</v>
      </c>
      <c r="H101" s="7">
        <v>961</v>
      </c>
      <c r="I101" s="17">
        <f t="shared" si="76"/>
        <v>17.796296296296298</v>
      </c>
      <c r="J101" s="7">
        <v>335</v>
      </c>
      <c r="K101" s="7">
        <v>771</v>
      </c>
      <c r="L101" s="17">
        <f t="shared" si="77"/>
        <v>6.2037037037037033</v>
      </c>
      <c r="M101" s="17">
        <f t="shared" si="78"/>
        <v>14.277777777777779</v>
      </c>
      <c r="N101" s="33">
        <f t="shared" si="79"/>
        <v>0.43450064850843062</v>
      </c>
      <c r="O101" s="5">
        <v>220</v>
      </c>
      <c r="P101" s="7">
        <v>432</v>
      </c>
      <c r="Q101" s="17">
        <f t="shared" si="80"/>
        <v>4.0740740740740744</v>
      </c>
      <c r="R101" s="17">
        <f t="shared" si="81"/>
        <v>8</v>
      </c>
      <c r="S101" s="33">
        <f t="shared" si="82"/>
        <v>0.5092592592592593</v>
      </c>
      <c r="T101" s="6">
        <v>115</v>
      </c>
      <c r="U101" s="7">
        <v>339</v>
      </c>
      <c r="V101" s="17">
        <f t="shared" si="83"/>
        <v>2.1296296296296298</v>
      </c>
      <c r="W101" s="17">
        <f t="shared" si="84"/>
        <v>6.2777777777777777</v>
      </c>
      <c r="X101" s="33">
        <f t="shared" si="85"/>
        <v>0.33923303834808261</v>
      </c>
      <c r="Y101" s="5">
        <v>176</v>
      </c>
      <c r="Z101" s="5">
        <v>241</v>
      </c>
      <c r="AA101" s="17">
        <f t="shared" si="86"/>
        <v>3.2592592592592591</v>
      </c>
      <c r="AB101" s="17">
        <f t="shared" si="87"/>
        <v>4.4629629629629628</v>
      </c>
      <c r="AC101" s="33">
        <f t="shared" si="88"/>
        <v>0.73029045643153523</v>
      </c>
      <c r="AD101" s="12">
        <v>281</v>
      </c>
      <c r="AE101" s="17">
        <f t="shared" si="89"/>
        <v>5.2037037037037033</v>
      </c>
      <c r="AF101" s="12">
        <v>39</v>
      </c>
      <c r="AG101" s="17">
        <f t="shared" si="90"/>
        <v>0.72222222222222221</v>
      </c>
      <c r="AH101" s="7">
        <v>242</v>
      </c>
      <c r="AI101" s="17">
        <f t="shared" si="91"/>
        <v>4.4814814814814818</v>
      </c>
      <c r="AJ101" s="7">
        <v>92</v>
      </c>
      <c r="AK101" s="17">
        <f t="shared" si="92"/>
        <v>1.7037037037037037</v>
      </c>
      <c r="AL101" s="7">
        <v>65</v>
      </c>
      <c r="AM101" s="17">
        <f t="shared" si="93"/>
        <v>1.2037037037037037</v>
      </c>
      <c r="AN101" s="7">
        <v>27</v>
      </c>
      <c r="AO101" s="17">
        <f t="shared" si="94"/>
        <v>0.5</v>
      </c>
      <c r="AP101" s="7">
        <v>99</v>
      </c>
      <c r="AQ101" s="17">
        <f t="shared" si="95"/>
        <v>1.8333333333333333</v>
      </c>
      <c r="AR101" s="7">
        <v>76</v>
      </c>
      <c r="AS101" s="17">
        <f t="shared" si="96"/>
        <v>1.4074074074074074</v>
      </c>
      <c r="AT101" s="13">
        <v>3.107157024214517</v>
      </c>
      <c r="AU101" s="13">
        <v>9.8499192398621566E-2</v>
      </c>
      <c r="AV101" s="13">
        <v>1.7945981403208724</v>
      </c>
      <c r="AW101" s="13">
        <v>1.3125588838936446</v>
      </c>
      <c r="AX101" s="13">
        <v>104.49889398531207</v>
      </c>
      <c r="AY101" s="13">
        <v>104.60723986500064</v>
      </c>
      <c r="AZ101" s="13">
        <v>17.958294934495044</v>
      </c>
      <c r="BA101" s="13">
        <v>15.296296296296296</v>
      </c>
      <c r="BB101" s="13">
        <v>26.184815343160565</v>
      </c>
      <c r="BC101" s="14">
        <v>0.54786554775152785</v>
      </c>
      <c r="BD101" s="14">
        <v>0.50907911802853434</v>
      </c>
      <c r="BE101" s="13">
        <v>37.313847467854565</v>
      </c>
      <c r="BF101" s="14">
        <v>0.43968871595330739</v>
      </c>
      <c r="BG101" s="14">
        <v>0.3125810635538262</v>
      </c>
      <c r="BH101" s="13">
        <v>3.5473841074160037</v>
      </c>
      <c r="BI101" s="13">
        <v>22.011973179350587</v>
      </c>
      <c r="BJ101" s="13">
        <v>11.939118990740809</v>
      </c>
      <c r="BK101" s="13">
        <v>15.646702004025061</v>
      </c>
      <c r="BL101" s="13">
        <v>2.9026574276474215</v>
      </c>
      <c r="BM101" s="13">
        <v>2.373892458275543</v>
      </c>
      <c r="BN101" s="13">
        <v>10.143026925126019</v>
      </c>
      <c r="BO101" s="15" t="s">
        <v>189</v>
      </c>
      <c r="BP101" s="15">
        <v>60000</v>
      </c>
      <c r="BQ101" s="12" t="s">
        <v>273</v>
      </c>
      <c r="BR101" s="26">
        <v>1203.29</v>
      </c>
      <c r="BS101" s="27">
        <v>1817.39</v>
      </c>
      <c r="BT101" s="27">
        <v>614.1</v>
      </c>
      <c r="BU101" s="26">
        <f t="shared" si="71"/>
        <v>22.28314814814815</v>
      </c>
      <c r="BV101" s="26">
        <f t="shared" si="72"/>
        <v>33.65537037037037</v>
      </c>
      <c r="BW101" s="26">
        <f t="shared" si="72"/>
        <v>11.372222222222222</v>
      </c>
      <c r="BX101" s="31">
        <f t="shared" si="73"/>
        <v>38.152748602909114</v>
      </c>
      <c r="BY101" s="31">
        <f t="shared" si="74"/>
        <v>57.624033926518962</v>
      </c>
      <c r="BZ101" s="31">
        <f t="shared" si="75"/>
        <v>19.471285323609845</v>
      </c>
      <c r="CA101" s="35">
        <v>27</v>
      </c>
      <c r="CB101" s="35">
        <v>27</v>
      </c>
    </row>
    <row r="102" spans="1:80" x14ac:dyDescent="0.4">
      <c r="A102" s="12" t="s">
        <v>191</v>
      </c>
      <c r="B102" s="12" t="s">
        <v>179</v>
      </c>
      <c r="C102" s="4" t="s">
        <v>62</v>
      </c>
      <c r="D102" s="5">
        <v>44</v>
      </c>
      <c r="E102" s="22">
        <v>10</v>
      </c>
      <c r="F102" s="22">
        <v>28</v>
      </c>
      <c r="G102" s="10">
        <v>27645</v>
      </c>
      <c r="H102" s="5">
        <v>66</v>
      </c>
      <c r="I102" s="17">
        <f t="shared" si="76"/>
        <v>1.5</v>
      </c>
      <c r="J102" s="7">
        <v>19</v>
      </c>
      <c r="K102" s="7">
        <v>81</v>
      </c>
      <c r="L102" s="17">
        <f t="shared" si="77"/>
        <v>0.43181818181818182</v>
      </c>
      <c r="M102" s="17">
        <f t="shared" si="78"/>
        <v>1.8409090909090908</v>
      </c>
      <c r="N102" s="33">
        <f t="shared" si="79"/>
        <v>0.23456790123456789</v>
      </c>
      <c r="O102" s="12">
        <v>5</v>
      </c>
      <c r="P102" s="12">
        <v>17</v>
      </c>
      <c r="Q102" s="17">
        <f t="shared" si="80"/>
        <v>0.11363636363636363</v>
      </c>
      <c r="R102" s="17">
        <f t="shared" si="81"/>
        <v>0.38636363636363635</v>
      </c>
      <c r="S102" s="33">
        <f t="shared" si="82"/>
        <v>0.29411764705882354</v>
      </c>
      <c r="T102" s="12">
        <v>14</v>
      </c>
      <c r="U102" s="12">
        <v>64</v>
      </c>
      <c r="V102" s="17">
        <f t="shared" si="83"/>
        <v>0.31818181818181818</v>
      </c>
      <c r="W102" s="17">
        <f t="shared" si="84"/>
        <v>1.4545454545454546</v>
      </c>
      <c r="X102" s="33">
        <f t="shared" si="85"/>
        <v>0.21875</v>
      </c>
      <c r="Y102" s="12">
        <v>14</v>
      </c>
      <c r="Z102" s="12">
        <v>26</v>
      </c>
      <c r="AA102" s="17">
        <f t="shared" si="86"/>
        <v>0.31818181818181818</v>
      </c>
      <c r="AB102" s="17">
        <f t="shared" si="87"/>
        <v>0.59090909090909094</v>
      </c>
      <c r="AC102" s="33">
        <f t="shared" si="88"/>
        <v>0.53846153846153844</v>
      </c>
      <c r="AD102" s="12">
        <v>81</v>
      </c>
      <c r="AE102" s="17">
        <f t="shared" si="89"/>
        <v>1.8409090909090908</v>
      </c>
      <c r="AF102" s="12">
        <v>29</v>
      </c>
      <c r="AG102" s="17">
        <f t="shared" si="90"/>
        <v>0.65909090909090906</v>
      </c>
      <c r="AH102" s="12">
        <v>52</v>
      </c>
      <c r="AI102" s="17">
        <f t="shared" si="91"/>
        <v>1.1818181818181819</v>
      </c>
      <c r="AJ102" s="12">
        <v>19</v>
      </c>
      <c r="AK102" s="17">
        <f t="shared" si="92"/>
        <v>0.43181818181818182</v>
      </c>
      <c r="AL102" s="12">
        <v>18</v>
      </c>
      <c r="AM102" s="17">
        <f t="shared" si="93"/>
        <v>0.40909090909090912</v>
      </c>
      <c r="AN102" s="12">
        <v>3</v>
      </c>
      <c r="AO102" s="17">
        <f t="shared" si="94"/>
        <v>6.8181818181818177E-2</v>
      </c>
      <c r="AP102" s="12">
        <v>14</v>
      </c>
      <c r="AQ102" s="17">
        <f t="shared" si="95"/>
        <v>0.31818181818181818</v>
      </c>
      <c r="AR102" s="12">
        <v>63</v>
      </c>
      <c r="AS102" s="17">
        <f t="shared" si="96"/>
        <v>1.4318181818181819</v>
      </c>
      <c r="AT102" s="13">
        <v>-0.17431500077213927</v>
      </c>
      <c r="AU102" s="13">
        <v>-1.514027221529872E-2</v>
      </c>
      <c r="AV102" s="13">
        <v>-0.36363345191116997</v>
      </c>
      <c r="AW102" s="13">
        <v>0.1893184511390307</v>
      </c>
      <c r="AX102" s="13">
        <v>85.061933331622967</v>
      </c>
      <c r="AY102" s="13">
        <v>110.32802844251404</v>
      </c>
      <c r="AZ102" s="13">
        <v>1.835632195275694</v>
      </c>
      <c r="BA102" s="13">
        <v>2.25</v>
      </c>
      <c r="BB102" s="13">
        <v>8.598726114649681</v>
      </c>
      <c r="BC102" s="14">
        <v>0.3569883167459974</v>
      </c>
      <c r="BD102" s="14">
        <v>0.32098765432098764</v>
      </c>
      <c r="BE102" s="13">
        <v>9.0843875076755847</v>
      </c>
      <c r="BF102" s="14">
        <v>0.79012345679012341</v>
      </c>
      <c r="BG102" s="14">
        <v>0.32098765432098764</v>
      </c>
      <c r="BH102" s="13">
        <v>5.8888430115678538</v>
      </c>
      <c r="BI102" s="13">
        <v>10.55930471039753</v>
      </c>
      <c r="BJ102" s="13">
        <v>7.6831506608932374</v>
      </c>
      <c r="BK102" s="13">
        <v>4.8170370996366092</v>
      </c>
      <c r="BL102" s="13">
        <v>2.2023400926361618</v>
      </c>
      <c r="BM102" s="13">
        <v>0.58885301247386967</v>
      </c>
      <c r="BN102" s="13">
        <v>13.152950018789928</v>
      </c>
      <c r="BO102" s="15" t="s">
        <v>187</v>
      </c>
      <c r="BP102" s="15">
        <v>350000</v>
      </c>
      <c r="BQ102" s="12" t="s">
        <v>273</v>
      </c>
      <c r="BR102" s="26">
        <v>255.09</v>
      </c>
      <c r="BS102" s="27">
        <v>342.69</v>
      </c>
      <c r="BT102" s="27">
        <v>87.6</v>
      </c>
      <c r="BU102" s="26">
        <f t="shared" si="71"/>
        <v>5.7974999999999994</v>
      </c>
      <c r="BV102" s="26">
        <f t="shared" si="72"/>
        <v>7.7884090909090906</v>
      </c>
      <c r="BW102" s="26">
        <f t="shared" si="72"/>
        <v>1.9909090909090907</v>
      </c>
      <c r="BX102" s="31">
        <f t="shared" si="73"/>
        <v>22.145632121540967</v>
      </c>
      <c r="BY102" s="31">
        <f t="shared" si="74"/>
        <v>29.750623982637006</v>
      </c>
      <c r="BZ102" s="31">
        <f t="shared" si="75"/>
        <v>7.604991861096039</v>
      </c>
      <c r="CA102" s="35">
        <v>20</v>
      </c>
      <c r="CB102" s="35">
        <v>24</v>
      </c>
    </row>
    <row r="103" spans="1:80" x14ac:dyDescent="0.4">
      <c r="A103" s="12" t="s">
        <v>191</v>
      </c>
      <c r="B103" s="12" t="s">
        <v>179</v>
      </c>
      <c r="C103" s="8" t="s">
        <v>61</v>
      </c>
      <c r="D103" s="5">
        <v>46</v>
      </c>
      <c r="E103" s="22">
        <v>27</v>
      </c>
      <c r="F103" s="22">
        <v>54</v>
      </c>
      <c r="G103" s="10">
        <v>77020</v>
      </c>
      <c r="H103" s="5">
        <v>363</v>
      </c>
      <c r="I103" s="17">
        <f t="shared" si="76"/>
        <v>7.8913043478260869</v>
      </c>
      <c r="J103" s="7">
        <v>124</v>
      </c>
      <c r="K103" s="7">
        <v>334</v>
      </c>
      <c r="L103" s="17">
        <f t="shared" si="77"/>
        <v>2.6956521739130435</v>
      </c>
      <c r="M103" s="17">
        <f t="shared" si="78"/>
        <v>7.2608695652173916</v>
      </c>
      <c r="N103" s="33">
        <f t="shared" si="79"/>
        <v>0.3712574850299401</v>
      </c>
      <c r="O103" s="12">
        <v>91</v>
      </c>
      <c r="P103" s="12">
        <v>200</v>
      </c>
      <c r="Q103" s="17">
        <f t="shared" si="80"/>
        <v>1.9782608695652173</v>
      </c>
      <c r="R103" s="17">
        <f t="shared" si="81"/>
        <v>4.3478260869565215</v>
      </c>
      <c r="S103" s="33">
        <f t="shared" si="82"/>
        <v>0.45500000000000002</v>
      </c>
      <c r="T103" s="12">
        <v>33</v>
      </c>
      <c r="U103" s="12">
        <v>134</v>
      </c>
      <c r="V103" s="17">
        <f t="shared" si="83"/>
        <v>0.71739130434782605</v>
      </c>
      <c r="W103" s="17">
        <f t="shared" si="84"/>
        <v>2.9130434782608696</v>
      </c>
      <c r="X103" s="33">
        <f t="shared" si="85"/>
        <v>0.2462686567164179</v>
      </c>
      <c r="Y103" s="12">
        <v>82</v>
      </c>
      <c r="Z103" s="12">
        <v>98</v>
      </c>
      <c r="AA103" s="17">
        <f t="shared" si="86"/>
        <v>1.7826086956521738</v>
      </c>
      <c r="AB103" s="17">
        <f t="shared" si="87"/>
        <v>2.1304347826086958</v>
      </c>
      <c r="AC103" s="33">
        <f t="shared" si="88"/>
        <v>0.83673469387755106</v>
      </c>
      <c r="AD103" s="12">
        <v>252</v>
      </c>
      <c r="AE103" s="17">
        <f t="shared" si="89"/>
        <v>5.4782608695652177</v>
      </c>
      <c r="AF103" s="12">
        <v>86</v>
      </c>
      <c r="AG103" s="17">
        <f t="shared" si="90"/>
        <v>1.8695652173913044</v>
      </c>
      <c r="AH103" s="12">
        <v>166</v>
      </c>
      <c r="AI103" s="17">
        <f t="shared" si="91"/>
        <v>3.6086956521739131</v>
      </c>
      <c r="AJ103" s="12">
        <v>74</v>
      </c>
      <c r="AK103" s="17">
        <f t="shared" si="92"/>
        <v>1.6086956521739131</v>
      </c>
      <c r="AL103" s="12">
        <v>34</v>
      </c>
      <c r="AM103" s="17">
        <f t="shared" si="93"/>
        <v>0.73913043478260865</v>
      </c>
      <c r="AN103" s="12">
        <v>5</v>
      </c>
      <c r="AO103" s="17">
        <f t="shared" si="94"/>
        <v>0.10869565217391304</v>
      </c>
      <c r="AP103" s="12">
        <v>39</v>
      </c>
      <c r="AQ103" s="17">
        <f t="shared" si="95"/>
        <v>0.84782608695652173</v>
      </c>
      <c r="AR103" s="12">
        <v>119</v>
      </c>
      <c r="AS103" s="17">
        <f t="shared" si="96"/>
        <v>2.5869565217391304</v>
      </c>
      <c r="AT103" s="13">
        <v>1.3063707689546817</v>
      </c>
      <c r="AU103" s="13">
        <v>4.0715934827947067E-2</v>
      </c>
      <c r="AV103" s="13">
        <v>0.93499491615793817</v>
      </c>
      <c r="AW103" s="13">
        <v>0.37137585279674362</v>
      </c>
      <c r="AX103" s="13">
        <v>105.37264934016861</v>
      </c>
      <c r="AY103" s="13">
        <v>111.43479624087627</v>
      </c>
      <c r="AZ103" s="13">
        <v>6.2565375325376431</v>
      </c>
      <c r="BA103" s="13">
        <v>10.065217391304348</v>
      </c>
      <c r="BB103" s="13">
        <v>14.43041919900265</v>
      </c>
      <c r="BC103" s="14">
        <v>0.48127916843445057</v>
      </c>
      <c r="BD103" s="14">
        <v>0.42065868263473055</v>
      </c>
      <c r="BE103" s="13">
        <v>13.323353945277811</v>
      </c>
      <c r="BF103" s="14">
        <v>0.40119760479041916</v>
      </c>
      <c r="BG103" s="14">
        <v>0.29341317365269459</v>
      </c>
      <c r="BH103" s="13">
        <v>6.551407600394608</v>
      </c>
      <c r="BI103" s="13">
        <v>12.645740251924476</v>
      </c>
      <c r="BJ103" s="13">
        <v>8.9672455343917878</v>
      </c>
      <c r="BK103" s="13">
        <v>7.5660753540207564</v>
      </c>
      <c r="BL103" s="13">
        <v>1.4927594590689099</v>
      </c>
      <c r="BM103" s="13">
        <v>0.3681797011485366</v>
      </c>
      <c r="BN103" s="13">
        <v>9.3722964529462658</v>
      </c>
      <c r="BO103" s="15" t="s">
        <v>187</v>
      </c>
      <c r="BP103" s="15"/>
      <c r="BQ103" s="12" t="s">
        <v>273</v>
      </c>
      <c r="BR103" s="26">
        <v>877.22</v>
      </c>
      <c r="BS103" s="27">
        <v>1148.42</v>
      </c>
      <c r="BT103" s="27">
        <v>271.2</v>
      </c>
      <c r="BU103" s="26">
        <f t="shared" si="71"/>
        <v>19.070000000000004</v>
      </c>
      <c r="BV103" s="26">
        <f t="shared" si="72"/>
        <v>24.965652173913046</v>
      </c>
      <c r="BW103" s="26">
        <f t="shared" si="72"/>
        <v>5.8956521739130432</v>
      </c>
      <c r="BX103" s="31">
        <f t="shared" si="73"/>
        <v>27.334822124123608</v>
      </c>
      <c r="BY103" s="31">
        <f t="shared" si="74"/>
        <v>35.78561412620099</v>
      </c>
      <c r="BZ103" s="31">
        <f t="shared" si="75"/>
        <v>8.4507920020773817</v>
      </c>
      <c r="CA103" s="34">
        <v>24</v>
      </c>
      <c r="CB103" s="34">
        <v>22</v>
      </c>
    </row>
    <row r="104" spans="1:80" x14ac:dyDescent="0.4">
      <c r="A104" s="12" t="s">
        <v>191</v>
      </c>
      <c r="B104" s="12" t="s">
        <v>179</v>
      </c>
      <c r="C104" s="4" t="s">
        <v>235</v>
      </c>
      <c r="D104" s="5">
        <v>17</v>
      </c>
      <c r="E104" s="22">
        <v>7</v>
      </c>
      <c r="F104" s="22">
        <v>4</v>
      </c>
      <c r="G104" s="10">
        <v>7214</v>
      </c>
      <c r="H104" s="5">
        <v>18</v>
      </c>
      <c r="I104" s="17">
        <f t="shared" si="76"/>
        <v>1.0588235294117647</v>
      </c>
      <c r="J104" s="7">
        <v>8</v>
      </c>
      <c r="K104" s="7">
        <v>27</v>
      </c>
      <c r="L104" s="17">
        <f t="shared" si="77"/>
        <v>0.47058823529411764</v>
      </c>
      <c r="M104" s="17">
        <f t="shared" si="78"/>
        <v>1.588235294117647</v>
      </c>
      <c r="N104" s="33">
        <f t="shared" si="79"/>
        <v>0.29629629629629628</v>
      </c>
      <c r="O104" s="12">
        <v>6</v>
      </c>
      <c r="P104" s="12">
        <v>7</v>
      </c>
      <c r="Q104" s="17">
        <f t="shared" si="80"/>
        <v>0.35294117647058826</v>
      </c>
      <c r="R104" s="17">
        <f t="shared" si="81"/>
        <v>0.41176470588235292</v>
      </c>
      <c r="S104" s="33">
        <f t="shared" si="82"/>
        <v>0.8571428571428571</v>
      </c>
      <c r="T104" s="12">
        <v>2</v>
      </c>
      <c r="U104" s="12">
        <v>20</v>
      </c>
      <c r="V104" s="17">
        <f t="shared" si="83"/>
        <v>0.11764705882352941</v>
      </c>
      <c r="W104" s="17">
        <f t="shared" si="84"/>
        <v>1.1764705882352942</v>
      </c>
      <c r="X104" s="33">
        <f t="shared" si="85"/>
        <v>0.1</v>
      </c>
      <c r="Y104" s="12">
        <v>0</v>
      </c>
      <c r="Z104" s="12">
        <v>0</v>
      </c>
      <c r="AA104" s="17">
        <f t="shared" si="86"/>
        <v>0</v>
      </c>
      <c r="AB104" s="17">
        <f t="shared" si="87"/>
        <v>0</v>
      </c>
      <c r="AC104" s="33" t="e">
        <f t="shared" si="88"/>
        <v>#DIV/0!</v>
      </c>
      <c r="AD104" s="12">
        <v>11</v>
      </c>
      <c r="AE104" s="17">
        <f t="shared" si="89"/>
        <v>0.6470588235294118</v>
      </c>
      <c r="AF104" s="12">
        <v>3</v>
      </c>
      <c r="AG104" s="17">
        <f t="shared" si="90"/>
        <v>0.17647058823529413</v>
      </c>
      <c r="AH104" s="12">
        <v>8</v>
      </c>
      <c r="AI104" s="17">
        <f t="shared" si="91"/>
        <v>0.47058823529411764</v>
      </c>
      <c r="AJ104" s="12">
        <v>2</v>
      </c>
      <c r="AK104" s="17">
        <f t="shared" si="92"/>
        <v>0.11764705882352941</v>
      </c>
      <c r="AL104" s="12">
        <v>3</v>
      </c>
      <c r="AM104" s="17">
        <f t="shared" si="93"/>
        <v>0.17647058823529413</v>
      </c>
      <c r="AN104" s="12">
        <v>2</v>
      </c>
      <c r="AO104" s="17">
        <f t="shared" si="94"/>
        <v>0.11764705882352941</v>
      </c>
      <c r="AP104" s="12">
        <v>3</v>
      </c>
      <c r="AQ104" s="17">
        <f t="shared" si="95"/>
        <v>0.17647058823529413</v>
      </c>
      <c r="AR104" s="12">
        <v>7</v>
      </c>
      <c r="AS104" s="17">
        <f t="shared" si="96"/>
        <v>0.41176470588235292</v>
      </c>
      <c r="AT104" s="13">
        <v>-0.19771935511430846</v>
      </c>
      <c r="AU104" s="13">
        <v>-6.583330358966985E-2</v>
      </c>
      <c r="AV104" s="13">
        <v>-0.20021663195863143</v>
      </c>
      <c r="AW104" s="13">
        <v>2.4972768443229641E-3</v>
      </c>
      <c r="AX104" s="13">
        <v>70.970810971244234</v>
      </c>
      <c r="AY104" s="13">
        <v>113.87700479823243</v>
      </c>
      <c r="AZ104" s="13">
        <v>0.4918299916085182</v>
      </c>
      <c r="BA104" s="13">
        <v>0.82352941176470584</v>
      </c>
      <c r="BB104" s="13">
        <v>4.6614872364039952</v>
      </c>
      <c r="BC104" s="14">
        <v>0.33333333333333331</v>
      </c>
      <c r="BD104" s="14">
        <v>0.33333333333333331</v>
      </c>
      <c r="BE104" s="13">
        <v>3.7923274305616421</v>
      </c>
      <c r="BF104" s="14">
        <v>0.7407407407407407</v>
      </c>
      <c r="BG104" s="14">
        <v>0</v>
      </c>
      <c r="BH104" s="13">
        <v>0.90229182122591389</v>
      </c>
      <c r="BI104" s="13">
        <v>2.4061115232691033</v>
      </c>
      <c r="BJ104" s="13">
        <v>1.5453996262942722</v>
      </c>
      <c r="BK104" s="13">
        <v>0.73764445537251044</v>
      </c>
      <c r="BL104" s="13">
        <v>1.4071185127571777</v>
      </c>
      <c r="BM104" s="13">
        <v>0.58144605634212287</v>
      </c>
      <c r="BN104" s="13">
        <v>10</v>
      </c>
      <c r="BO104" s="15" t="s">
        <v>187</v>
      </c>
      <c r="BP104" s="15">
        <v>110000</v>
      </c>
      <c r="BQ104" s="12" t="s">
        <v>273</v>
      </c>
      <c r="BR104" s="26">
        <v>46.86</v>
      </c>
      <c r="BS104" s="27">
        <v>68.56</v>
      </c>
      <c r="BT104" s="27">
        <v>21.7</v>
      </c>
      <c r="BU104" s="26">
        <f t="shared" si="71"/>
        <v>2.7564705882352944</v>
      </c>
      <c r="BV104" s="26">
        <f t="shared" si="72"/>
        <v>4.0329411764705885</v>
      </c>
      <c r="BW104" s="26">
        <f t="shared" si="72"/>
        <v>1.276470588235294</v>
      </c>
      <c r="BX104" s="31">
        <f t="shared" si="73"/>
        <v>15.589686720266151</v>
      </c>
      <c r="BY104" s="31">
        <f t="shared" si="74"/>
        <v>22.808982533961743</v>
      </c>
      <c r="BZ104" s="31">
        <f t="shared" si="75"/>
        <v>7.2192958136955916</v>
      </c>
      <c r="CA104" s="34">
        <v>7</v>
      </c>
      <c r="CB104" s="34">
        <v>10</v>
      </c>
    </row>
    <row r="105" spans="1:80" x14ac:dyDescent="0.4">
      <c r="A105" s="12" t="s">
        <v>191</v>
      </c>
      <c r="B105" s="12" t="s">
        <v>179</v>
      </c>
      <c r="C105" s="4" t="s">
        <v>149</v>
      </c>
      <c r="D105" s="5">
        <v>6</v>
      </c>
      <c r="E105" s="22">
        <v>2</v>
      </c>
      <c r="F105" s="22">
        <v>17</v>
      </c>
      <c r="G105" s="10">
        <v>821</v>
      </c>
      <c r="H105" s="5">
        <v>5</v>
      </c>
      <c r="I105" s="17">
        <f t="shared" si="76"/>
        <v>0.83333333333333337</v>
      </c>
      <c r="J105" s="7">
        <v>2</v>
      </c>
      <c r="K105" s="7">
        <v>3</v>
      </c>
      <c r="L105" s="17">
        <f t="shared" si="77"/>
        <v>0.33333333333333331</v>
      </c>
      <c r="M105" s="17">
        <f t="shared" si="78"/>
        <v>0.5</v>
      </c>
      <c r="N105" s="33">
        <f t="shared" si="79"/>
        <v>0.66666666666666663</v>
      </c>
      <c r="O105" s="12">
        <v>1</v>
      </c>
      <c r="P105" s="12">
        <v>2</v>
      </c>
      <c r="Q105" s="17">
        <f t="shared" si="80"/>
        <v>0.16666666666666666</v>
      </c>
      <c r="R105" s="17">
        <f t="shared" si="81"/>
        <v>0.33333333333333331</v>
      </c>
      <c r="S105" s="33">
        <f t="shared" si="82"/>
        <v>0.5</v>
      </c>
      <c r="T105" s="12">
        <v>1</v>
      </c>
      <c r="U105" s="12">
        <v>1</v>
      </c>
      <c r="V105" s="17">
        <f t="shared" si="83"/>
        <v>0.16666666666666666</v>
      </c>
      <c r="W105" s="17">
        <f t="shared" si="84"/>
        <v>0.16666666666666666</v>
      </c>
      <c r="X105" s="33">
        <f t="shared" si="85"/>
        <v>1</v>
      </c>
      <c r="Y105" s="12">
        <v>0</v>
      </c>
      <c r="Z105" s="12">
        <v>0</v>
      </c>
      <c r="AA105" s="17">
        <f t="shared" si="86"/>
        <v>0</v>
      </c>
      <c r="AB105" s="17">
        <f t="shared" si="87"/>
        <v>0</v>
      </c>
      <c r="AC105" s="33" t="e">
        <f t="shared" si="88"/>
        <v>#DIV/0!</v>
      </c>
      <c r="AD105" s="12">
        <v>0</v>
      </c>
      <c r="AE105" s="17">
        <f t="shared" si="89"/>
        <v>0</v>
      </c>
      <c r="AF105" s="12">
        <v>0</v>
      </c>
      <c r="AG105" s="17">
        <f t="shared" si="90"/>
        <v>0</v>
      </c>
      <c r="AH105" s="12">
        <v>0</v>
      </c>
      <c r="AI105" s="17">
        <f t="shared" si="91"/>
        <v>0</v>
      </c>
      <c r="AJ105" s="12">
        <v>0</v>
      </c>
      <c r="AK105" s="17">
        <f t="shared" si="92"/>
        <v>0</v>
      </c>
      <c r="AL105" s="12">
        <v>0</v>
      </c>
      <c r="AM105" s="17">
        <f t="shared" si="93"/>
        <v>0</v>
      </c>
      <c r="AN105" s="12">
        <v>0</v>
      </c>
      <c r="AO105" s="17">
        <f t="shared" si="94"/>
        <v>0</v>
      </c>
      <c r="AP105" s="12">
        <v>2</v>
      </c>
      <c r="AQ105" s="17">
        <f t="shared" si="95"/>
        <v>0.33333333333333331</v>
      </c>
      <c r="AR105" s="12">
        <v>3</v>
      </c>
      <c r="AS105" s="17">
        <f t="shared" si="96"/>
        <v>0.5</v>
      </c>
      <c r="AT105" s="13">
        <v>-3.0349233959607064E-2</v>
      </c>
      <c r="AU105" s="13">
        <v>-8.8610902071845438E-2</v>
      </c>
      <c r="AV105" s="13">
        <v>-2.067189170201721E-2</v>
      </c>
      <c r="AW105" s="13">
        <v>-9.6773422575898559E-3</v>
      </c>
      <c r="AX105" s="13">
        <v>80.408596548459244</v>
      </c>
      <c r="AY105" s="13">
        <v>120.48909601211034</v>
      </c>
      <c r="AZ105" s="13">
        <v>-8.6788515383652717E-2</v>
      </c>
      <c r="BA105" s="13">
        <v>0.33333333333333331</v>
      </c>
      <c r="BB105" s="13">
        <v>5.8394160583941614</v>
      </c>
      <c r="BC105" s="14">
        <v>0.83333333333333337</v>
      </c>
      <c r="BD105" s="14">
        <v>0.83333333333333337</v>
      </c>
      <c r="BE105" s="13">
        <v>1.9561396965427449</v>
      </c>
      <c r="BF105" s="14">
        <v>0.33333333333333331</v>
      </c>
      <c r="BG105" s="14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40</v>
      </c>
      <c r="BO105" s="15" t="s">
        <v>187</v>
      </c>
      <c r="BP105" s="15">
        <v>45000</v>
      </c>
      <c r="BQ105" s="12" t="s">
        <v>271</v>
      </c>
      <c r="BR105" s="26">
        <v>4.42</v>
      </c>
      <c r="BS105" s="27">
        <v>8.42</v>
      </c>
      <c r="BT105" s="27">
        <v>4</v>
      </c>
      <c r="BU105" s="26">
        <f t="shared" si="71"/>
        <v>0.73666666666666669</v>
      </c>
      <c r="BV105" s="26">
        <f t="shared" si="72"/>
        <v>1.4033333333333333</v>
      </c>
      <c r="BW105" s="26">
        <f t="shared" si="72"/>
        <v>0.66666666666666663</v>
      </c>
      <c r="BX105" s="31">
        <f t="shared" si="73"/>
        <v>12.920828258221682</v>
      </c>
      <c r="BY105" s="31">
        <f t="shared" si="74"/>
        <v>24.613885505481122</v>
      </c>
      <c r="BZ105" s="31">
        <f t="shared" si="75"/>
        <v>11.693057247259439</v>
      </c>
      <c r="CA105" s="35">
        <v>3</v>
      </c>
      <c r="CB105" s="35">
        <v>3</v>
      </c>
    </row>
    <row r="106" spans="1:80" x14ac:dyDescent="0.4">
      <c r="A106" s="12" t="s">
        <v>191</v>
      </c>
      <c r="B106" s="12" t="s">
        <v>179</v>
      </c>
      <c r="C106" s="4" t="s">
        <v>72</v>
      </c>
      <c r="D106" s="5">
        <v>51</v>
      </c>
      <c r="E106" s="22">
        <v>22</v>
      </c>
      <c r="F106" s="22">
        <v>24</v>
      </c>
      <c r="G106" s="10">
        <v>68565</v>
      </c>
      <c r="H106" s="5">
        <v>372</v>
      </c>
      <c r="I106" s="17">
        <f t="shared" si="76"/>
        <v>7.2941176470588234</v>
      </c>
      <c r="J106" s="7">
        <v>140</v>
      </c>
      <c r="K106" s="7">
        <v>313</v>
      </c>
      <c r="L106" s="17">
        <f t="shared" si="77"/>
        <v>2.7450980392156863</v>
      </c>
      <c r="M106" s="17">
        <f t="shared" si="78"/>
        <v>6.1372549019607847</v>
      </c>
      <c r="N106" s="33">
        <f t="shared" si="79"/>
        <v>0.4472843450479233</v>
      </c>
      <c r="O106" s="12">
        <v>85</v>
      </c>
      <c r="P106" s="12">
        <v>150</v>
      </c>
      <c r="Q106" s="17">
        <f t="shared" si="80"/>
        <v>1.6666666666666667</v>
      </c>
      <c r="R106" s="17">
        <f t="shared" si="81"/>
        <v>2.9411764705882355</v>
      </c>
      <c r="S106" s="33">
        <f t="shared" si="82"/>
        <v>0.56666666666666665</v>
      </c>
      <c r="T106" s="12">
        <v>55</v>
      </c>
      <c r="U106" s="12">
        <v>163</v>
      </c>
      <c r="V106" s="17">
        <f t="shared" si="83"/>
        <v>1.0784313725490196</v>
      </c>
      <c r="W106" s="17">
        <f t="shared" si="84"/>
        <v>3.1960784313725492</v>
      </c>
      <c r="X106" s="33">
        <f t="shared" si="85"/>
        <v>0.33742331288343558</v>
      </c>
      <c r="Y106" s="12">
        <v>37</v>
      </c>
      <c r="Z106" s="12">
        <v>57</v>
      </c>
      <c r="AA106" s="17">
        <f t="shared" si="86"/>
        <v>0.72549019607843135</v>
      </c>
      <c r="AB106" s="17">
        <f t="shared" si="87"/>
        <v>1.1176470588235294</v>
      </c>
      <c r="AC106" s="33">
        <f t="shared" si="88"/>
        <v>0.64912280701754388</v>
      </c>
      <c r="AD106" s="12">
        <v>185</v>
      </c>
      <c r="AE106" s="17">
        <f t="shared" si="89"/>
        <v>3.6274509803921569</v>
      </c>
      <c r="AF106" s="12">
        <v>63</v>
      </c>
      <c r="AG106" s="17">
        <f t="shared" si="90"/>
        <v>1.2352941176470589</v>
      </c>
      <c r="AH106" s="12">
        <v>122</v>
      </c>
      <c r="AI106" s="17">
        <f t="shared" si="91"/>
        <v>2.392156862745098</v>
      </c>
      <c r="AJ106" s="12">
        <v>94</v>
      </c>
      <c r="AK106" s="17">
        <f t="shared" si="92"/>
        <v>1.8431372549019607</v>
      </c>
      <c r="AL106" s="12">
        <v>27</v>
      </c>
      <c r="AM106" s="17">
        <f t="shared" si="93"/>
        <v>0.52941176470588236</v>
      </c>
      <c r="AN106" s="12">
        <v>5</v>
      </c>
      <c r="AO106" s="17">
        <f t="shared" si="94"/>
        <v>9.8039215686274508E-2</v>
      </c>
      <c r="AP106" s="12">
        <v>50</v>
      </c>
      <c r="AQ106" s="17">
        <f t="shared" si="95"/>
        <v>0.98039215686274506</v>
      </c>
      <c r="AR106" s="12">
        <v>97</v>
      </c>
      <c r="AS106" s="17">
        <f t="shared" si="96"/>
        <v>1.9019607843137254</v>
      </c>
      <c r="AT106" s="13">
        <v>1.4826679160623577</v>
      </c>
      <c r="AU106" s="13">
        <v>5.1914142719270223E-2</v>
      </c>
      <c r="AV106" s="13">
        <v>1.3249736976932831</v>
      </c>
      <c r="AW106" s="13">
        <v>0.15769421836907466</v>
      </c>
      <c r="AX106" s="13">
        <v>109.61696902573006</v>
      </c>
      <c r="AY106" s="13">
        <v>112.81084967329265</v>
      </c>
      <c r="AZ106" s="13">
        <v>8.4240072103872716</v>
      </c>
      <c r="BA106" s="13">
        <v>8.6274509803921564</v>
      </c>
      <c r="BB106" s="13">
        <v>15.406162464985993</v>
      </c>
      <c r="BC106" s="14">
        <v>0.55016564126833889</v>
      </c>
      <c r="BD106" s="14">
        <v>0.53514376996805113</v>
      </c>
      <c r="BE106" s="13">
        <v>15.476488244122061</v>
      </c>
      <c r="BF106" s="14">
        <v>0.52076677316293929</v>
      </c>
      <c r="BG106" s="14">
        <v>0.18210862619808307</v>
      </c>
      <c r="BH106" s="13">
        <v>5.9776833156216789</v>
      </c>
      <c r="BI106" s="13">
        <v>11.575831182632458</v>
      </c>
      <c r="BJ106" s="13">
        <v>8.1994823245753992</v>
      </c>
      <c r="BK106" s="13">
        <v>12.620837808807732</v>
      </c>
      <c r="BL106" s="13">
        <v>1.3317371638594717</v>
      </c>
      <c r="BM106" s="13">
        <v>0.45858096705554341</v>
      </c>
      <c r="BN106" s="13">
        <v>12.883941455370028</v>
      </c>
      <c r="BO106" s="15" t="s">
        <v>187</v>
      </c>
      <c r="BP106" s="15">
        <v>50000</v>
      </c>
      <c r="BQ106" s="12" t="s">
        <v>273</v>
      </c>
      <c r="BR106" s="26">
        <v>805.99</v>
      </c>
      <c r="BS106" s="27">
        <v>1059.19</v>
      </c>
      <c r="BT106" s="27">
        <v>253.2</v>
      </c>
      <c r="BU106" s="26">
        <f t="shared" si="71"/>
        <v>15.803725490196079</v>
      </c>
      <c r="BV106" s="26">
        <f t="shared" si="72"/>
        <v>20.768431372549021</v>
      </c>
      <c r="BW106" s="26">
        <f t="shared" si="72"/>
        <v>4.9647058823529413</v>
      </c>
      <c r="BX106" s="31">
        <f t="shared" si="73"/>
        <v>28.212294902647123</v>
      </c>
      <c r="BY106" s="31">
        <f t="shared" si="74"/>
        <v>37.0751257930431</v>
      </c>
      <c r="BZ106" s="31">
        <f t="shared" si="75"/>
        <v>8.8628308903959745</v>
      </c>
      <c r="CA106" s="34">
        <v>26</v>
      </c>
      <c r="CB106" s="34">
        <v>25</v>
      </c>
    </row>
    <row r="107" spans="1:80" x14ac:dyDescent="0.4">
      <c r="A107" s="12" t="s">
        <v>191</v>
      </c>
      <c r="B107" s="12" t="s">
        <v>179</v>
      </c>
      <c r="C107" s="4" t="s">
        <v>150</v>
      </c>
      <c r="D107" s="5">
        <v>25</v>
      </c>
      <c r="E107" s="22">
        <v>7</v>
      </c>
      <c r="F107" s="22">
        <v>14</v>
      </c>
      <c r="G107" s="10">
        <v>10843</v>
      </c>
      <c r="H107" s="5">
        <v>41</v>
      </c>
      <c r="I107" s="17">
        <f t="shared" si="76"/>
        <v>1.64</v>
      </c>
      <c r="J107" s="7">
        <v>15</v>
      </c>
      <c r="K107" s="7">
        <v>41</v>
      </c>
      <c r="L107" s="17">
        <f t="shared" si="77"/>
        <v>0.6</v>
      </c>
      <c r="M107" s="17">
        <f t="shared" si="78"/>
        <v>1.64</v>
      </c>
      <c r="N107" s="33">
        <f t="shared" si="79"/>
        <v>0.36585365853658536</v>
      </c>
      <c r="O107" s="12">
        <v>13</v>
      </c>
      <c r="P107" s="12">
        <v>22</v>
      </c>
      <c r="Q107" s="17">
        <f t="shared" si="80"/>
        <v>0.52</v>
      </c>
      <c r="R107" s="17">
        <f t="shared" si="81"/>
        <v>0.88</v>
      </c>
      <c r="S107" s="33">
        <f t="shared" si="82"/>
        <v>0.59090909090909094</v>
      </c>
      <c r="T107" s="12">
        <v>2</v>
      </c>
      <c r="U107" s="12">
        <v>19</v>
      </c>
      <c r="V107" s="17">
        <f t="shared" si="83"/>
        <v>0.08</v>
      </c>
      <c r="W107" s="17">
        <f t="shared" si="84"/>
        <v>0.76</v>
      </c>
      <c r="X107" s="33">
        <f t="shared" si="85"/>
        <v>0.10526315789473684</v>
      </c>
      <c r="Y107" s="12">
        <v>9</v>
      </c>
      <c r="Z107" s="12">
        <v>19</v>
      </c>
      <c r="AA107" s="17">
        <f t="shared" si="86"/>
        <v>0.36</v>
      </c>
      <c r="AB107" s="17">
        <f t="shared" si="87"/>
        <v>0.76</v>
      </c>
      <c r="AC107" s="33">
        <f t="shared" si="88"/>
        <v>0.47368421052631576</v>
      </c>
      <c r="AD107" s="12">
        <v>41</v>
      </c>
      <c r="AE107" s="17">
        <f t="shared" si="89"/>
        <v>1.64</v>
      </c>
      <c r="AF107" s="12">
        <v>19</v>
      </c>
      <c r="AG107" s="17">
        <f t="shared" si="90"/>
        <v>0.76</v>
      </c>
      <c r="AH107" s="12">
        <v>22</v>
      </c>
      <c r="AI107" s="17">
        <f t="shared" si="91"/>
        <v>0.88</v>
      </c>
      <c r="AJ107" s="12">
        <v>25</v>
      </c>
      <c r="AK107" s="17">
        <f t="shared" si="92"/>
        <v>1</v>
      </c>
      <c r="AL107" s="12">
        <v>10</v>
      </c>
      <c r="AM107" s="17">
        <f t="shared" si="93"/>
        <v>0.4</v>
      </c>
      <c r="AN107" s="12">
        <v>3</v>
      </c>
      <c r="AO107" s="17">
        <f t="shared" si="94"/>
        <v>0.12</v>
      </c>
      <c r="AP107" s="12">
        <v>7</v>
      </c>
      <c r="AQ107" s="17">
        <f t="shared" si="95"/>
        <v>0.28000000000000003</v>
      </c>
      <c r="AR107" s="12">
        <v>27</v>
      </c>
      <c r="AS107" s="17">
        <f t="shared" si="96"/>
        <v>1.08</v>
      </c>
      <c r="AT107" s="13">
        <v>0.25179286687617131</v>
      </c>
      <c r="AU107" s="13">
        <v>5.5696118018692266E-2</v>
      </c>
      <c r="AV107" s="13">
        <v>0.11750848635307923</v>
      </c>
      <c r="AW107" s="13">
        <v>0.13428438052309205</v>
      </c>
      <c r="AX107" s="13">
        <v>103.88637183283747</v>
      </c>
      <c r="AY107" s="13">
        <v>107.31368840567636</v>
      </c>
      <c r="AZ107" s="13">
        <v>3.9614914733485889</v>
      </c>
      <c r="BA107" s="13">
        <v>3.08</v>
      </c>
      <c r="BB107" s="13">
        <v>17.032258064516128</v>
      </c>
      <c r="BC107" s="14">
        <v>0.41531604538087519</v>
      </c>
      <c r="BD107" s="14">
        <v>0.3902439024390244</v>
      </c>
      <c r="BE107" s="13">
        <v>6.9603597058568774</v>
      </c>
      <c r="BF107" s="14">
        <v>0.46341463414634149</v>
      </c>
      <c r="BG107" s="14">
        <v>0.46341463414634149</v>
      </c>
      <c r="BH107" s="13">
        <v>5.5828440182764689</v>
      </c>
      <c r="BI107" s="13">
        <v>6.464345705372752</v>
      </c>
      <c r="BJ107" s="13">
        <v>5.627404085358112</v>
      </c>
      <c r="BK107" s="13">
        <v>9.2347472757495535</v>
      </c>
      <c r="BL107" s="13">
        <v>3.1159785683421615</v>
      </c>
      <c r="BM107" s="13">
        <v>0.85207302265804186</v>
      </c>
      <c r="BN107" s="13">
        <v>12.42015613910575</v>
      </c>
      <c r="BO107" s="15" t="s">
        <v>187</v>
      </c>
      <c r="BP107" s="15">
        <v>280000</v>
      </c>
      <c r="BQ107" s="12" t="s">
        <v>271</v>
      </c>
      <c r="BR107" s="26">
        <v>150.38</v>
      </c>
      <c r="BS107" s="27">
        <v>193.18</v>
      </c>
      <c r="BT107" s="27">
        <v>42.8</v>
      </c>
      <c r="BU107" s="26">
        <f t="shared" si="71"/>
        <v>6.0152000000000001</v>
      </c>
      <c r="BV107" s="26">
        <f t="shared" si="72"/>
        <v>7.7271999999999998</v>
      </c>
      <c r="BW107" s="26">
        <f t="shared" si="72"/>
        <v>1.712</v>
      </c>
      <c r="BX107" s="31">
        <f t="shared" si="73"/>
        <v>33.285253158719911</v>
      </c>
      <c r="BY107" s="31">
        <f t="shared" si="74"/>
        <v>42.758646131144516</v>
      </c>
      <c r="BZ107" s="31">
        <f t="shared" si="75"/>
        <v>9.4733929724246053</v>
      </c>
      <c r="CA107" s="34">
        <v>12</v>
      </c>
      <c r="CB107" s="34">
        <v>13</v>
      </c>
    </row>
    <row r="108" spans="1:80" x14ac:dyDescent="0.4">
      <c r="A108" s="12" t="s">
        <v>191</v>
      </c>
      <c r="B108" s="12" t="s">
        <v>179</v>
      </c>
      <c r="C108" s="4" t="s">
        <v>145</v>
      </c>
      <c r="D108" s="5">
        <v>45</v>
      </c>
      <c r="E108" s="22">
        <v>17</v>
      </c>
      <c r="F108" s="22">
        <v>14</v>
      </c>
      <c r="G108" s="10">
        <v>46522</v>
      </c>
      <c r="H108" s="5">
        <v>475</v>
      </c>
      <c r="I108" s="17">
        <f t="shared" si="76"/>
        <v>10.555555555555555</v>
      </c>
      <c r="J108" s="7">
        <v>177</v>
      </c>
      <c r="K108" s="7">
        <v>357</v>
      </c>
      <c r="L108" s="17">
        <f t="shared" si="77"/>
        <v>3.9333333333333331</v>
      </c>
      <c r="M108" s="17">
        <f t="shared" si="78"/>
        <v>7.9333333333333336</v>
      </c>
      <c r="N108" s="33">
        <f t="shared" si="79"/>
        <v>0.49579831932773111</v>
      </c>
      <c r="O108" s="12">
        <v>152</v>
      </c>
      <c r="P108" s="12">
        <v>270</v>
      </c>
      <c r="Q108" s="17">
        <f t="shared" si="80"/>
        <v>3.3777777777777778</v>
      </c>
      <c r="R108" s="17">
        <f t="shared" si="81"/>
        <v>6</v>
      </c>
      <c r="S108" s="33">
        <f t="shared" si="82"/>
        <v>0.562962962962963</v>
      </c>
      <c r="T108" s="12">
        <v>25</v>
      </c>
      <c r="U108" s="12">
        <v>87</v>
      </c>
      <c r="V108" s="17">
        <f t="shared" si="83"/>
        <v>0.55555555555555558</v>
      </c>
      <c r="W108" s="17">
        <f t="shared" si="84"/>
        <v>1.9333333333333333</v>
      </c>
      <c r="X108" s="33">
        <f t="shared" si="85"/>
        <v>0.28735632183908044</v>
      </c>
      <c r="Y108" s="12">
        <v>96</v>
      </c>
      <c r="Z108" s="12">
        <v>124</v>
      </c>
      <c r="AA108" s="17">
        <f t="shared" si="86"/>
        <v>2.1333333333333333</v>
      </c>
      <c r="AB108" s="17">
        <f t="shared" si="87"/>
        <v>2.7555555555555555</v>
      </c>
      <c r="AC108" s="33">
        <f t="shared" si="88"/>
        <v>0.77419354838709675</v>
      </c>
      <c r="AD108" s="12">
        <v>194</v>
      </c>
      <c r="AE108" s="17">
        <f t="shared" si="89"/>
        <v>4.3111111111111109</v>
      </c>
      <c r="AF108" s="12">
        <v>45</v>
      </c>
      <c r="AG108" s="17">
        <f t="shared" si="90"/>
        <v>1</v>
      </c>
      <c r="AH108" s="12">
        <v>149</v>
      </c>
      <c r="AI108" s="17">
        <f t="shared" si="91"/>
        <v>3.3111111111111109</v>
      </c>
      <c r="AJ108" s="12">
        <v>56</v>
      </c>
      <c r="AK108" s="17">
        <f t="shared" si="92"/>
        <v>1.2444444444444445</v>
      </c>
      <c r="AL108" s="12">
        <v>24</v>
      </c>
      <c r="AM108" s="17">
        <f t="shared" si="93"/>
        <v>0.53333333333333333</v>
      </c>
      <c r="AN108" s="12">
        <v>18</v>
      </c>
      <c r="AO108" s="17">
        <f t="shared" si="94"/>
        <v>0.4</v>
      </c>
      <c r="AP108" s="12">
        <v>81</v>
      </c>
      <c r="AQ108" s="17">
        <f t="shared" si="95"/>
        <v>1.8</v>
      </c>
      <c r="AR108" s="12">
        <v>88</v>
      </c>
      <c r="AS108" s="17">
        <f t="shared" si="96"/>
        <v>1.9555555555555555</v>
      </c>
      <c r="AT108" s="13">
        <v>1.3470284526208958</v>
      </c>
      <c r="AU108" s="13">
        <v>6.9479223861812794E-2</v>
      </c>
      <c r="AV108" s="13">
        <v>0.7396452275269032</v>
      </c>
      <c r="AW108" s="13">
        <v>0.60738322509399245</v>
      </c>
      <c r="AX108" s="13">
        <v>102.92358020967329</v>
      </c>
      <c r="AY108" s="13">
        <v>106.94425301370156</v>
      </c>
      <c r="AZ108" s="13">
        <v>11.55669671063761</v>
      </c>
      <c r="BA108" s="13">
        <v>10.622222222222222</v>
      </c>
      <c r="BB108" s="13">
        <v>24.655061250805929</v>
      </c>
      <c r="BC108" s="14">
        <v>0.57707260180775588</v>
      </c>
      <c r="BD108" s="14">
        <v>0.53081232492997199</v>
      </c>
      <c r="BE108" s="13">
        <v>25.532246642801919</v>
      </c>
      <c r="BF108" s="14">
        <v>0.24369747899159663</v>
      </c>
      <c r="BG108" s="14">
        <v>0.34733893557422968</v>
      </c>
      <c r="BH108" s="13">
        <v>5.54988006092535</v>
      </c>
      <c r="BI108" s="13">
        <v>18.376269535063937</v>
      </c>
      <c r="BJ108" s="13">
        <v>11.176225748238233</v>
      </c>
      <c r="BK108" s="13">
        <v>11.117360950269662</v>
      </c>
      <c r="BL108" s="13">
        <v>1.7438229512063161</v>
      </c>
      <c r="BM108" s="13">
        <v>2.1458396044502326</v>
      </c>
      <c r="BN108" s="13">
        <v>16.444697092739972</v>
      </c>
      <c r="BO108" s="15" t="s">
        <v>189</v>
      </c>
      <c r="BP108" s="15">
        <v>430000</v>
      </c>
      <c r="BQ108" s="12" t="s">
        <v>272</v>
      </c>
      <c r="BR108" s="26">
        <v>696.64</v>
      </c>
      <c r="BS108" s="27">
        <v>1014.34</v>
      </c>
      <c r="BT108" s="27">
        <v>317.7</v>
      </c>
      <c r="BU108" s="26">
        <f t="shared" si="71"/>
        <v>15.480888888888892</v>
      </c>
      <c r="BV108" s="26">
        <f t="shared" si="72"/>
        <v>22.54088888888889</v>
      </c>
      <c r="BW108" s="26">
        <f t="shared" si="72"/>
        <v>7.06</v>
      </c>
      <c r="BX108" s="31">
        <f t="shared" si="73"/>
        <v>35.938609690039122</v>
      </c>
      <c r="BY108" s="31">
        <f t="shared" si="74"/>
        <v>52.328274794720777</v>
      </c>
      <c r="BZ108" s="31">
        <f t="shared" si="75"/>
        <v>16.389665104681654</v>
      </c>
      <c r="CA108" s="35">
        <v>22</v>
      </c>
      <c r="CB108" s="35">
        <v>23</v>
      </c>
    </row>
    <row r="109" spans="1:80" x14ac:dyDescent="0.4">
      <c r="A109" s="12" t="s">
        <v>191</v>
      </c>
      <c r="B109" s="12" t="s">
        <v>179</v>
      </c>
      <c r="C109" s="4" t="s">
        <v>63</v>
      </c>
      <c r="D109" s="5">
        <v>44</v>
      </c>
      <c r="E109" s="22">
        <v>15</v>
      </c>
      <c r="F109" s="22">
        <v>56</v>
      </c>
      <c r="G109" s="10">
        <v>42042</v>
      </c>
      <c r="H109" s="5">
        <v>253</v>
      </c>
      <c r="I109" s="17">
        <f t="shared" si="76"/>
        <v>5.75</v>
      </c>
      <c r="J109" s="7">
        <v>94</v>
      </c>
      <c r="K109" s="7">
        <v>182</v>
      </c>
      <c r="L109" s="17">
        <f t="shared" si="77"/>
        <v>2.1363636363636362</v>
      </c>
      <c r="M109" s="17">
        <f t="shared" si="78"/>
        <v>4.1363636363636367</v>
      </c>
      <c r="N109" s="33">
        <f t="shared" si="79"/>
        <v>0.51648351648351654</v>
      </c>
      <c r="O109" s="12">
        <v>86</v>
      </c>
      <c r="P109" s="12">
        <v>150</v>
      </c>
      <c r="Q109" s="17">
        <f t="shared" si="80"/>
        <v>1.9545454545454546</v>
      </c>
      <c r="R109" s="17">
        <f t="shared" si="81"/>
        <v>3.4090909090909092</v>
      </c>
      <c r="S109" s="33">
        <f t="shared" si="82"/>
        <v>0.57333333333333336</v>
      </c>
      <c r="T109" s="12">
        <v>8</v>
      </c>
      <c r="U109" s="12">
        <v>32</v>
      </c>
      <c r="V109" s="17">
        <f t="shared" si="83"/>
        <v>0.18181818181818182</v>
      </c>
      <c r="W109" s="17">
        <f t="shared" si="84"/>
        <v>0.72727272727272729</v>
      </c>
      <c r="X109" s="33">
        <f t="shared" si="85"/>
        <v>0.25</v>
      </c>
      <c r="Y109" s="12">
        <v>57</v>
      </c>
      <c r="Z109" s="12">
        <v>77</v>
      </c>
      <c r="AA109" s="17">
        <f t="shared" si="86"/>
        <v>1.2954545454545454</v>
      </c>
      <c r="AB109" s="17">
        <f t="shared" si="87"/>
        <v>1.75</v>
      </c>
      <c r="AC109" s="33">
        <f t="shared" si="88"/>
        <v>0.74025974025974028</v>
      </c>
      <c r="AD109" s="12">
        <v>160</v>
      </c>
      <c r="AE109" s="17">
        <f t="shared" si="89"/>
        <v>3.6363636363636362</v>
      </c>
      <c r="AF109" s="12">
        <v>73</v>
      </c>
      <c r="AG109" s="17">
        <f t="shared" si="90"/>
        <v>1.6590909090909092</v>
      </c>
      <c r="AH109" s="12">
        <v>87</v>
      </c>
      <c r="AI109" s="17">
        <f t="shared" si="91"/>
        <v>1.9772727272727273</v>
      </c>
      <c r="AJ109" s="12">
        <v>41</v>
      </c>
      <c r="AK109" s="17">
        <f t="shared" si="92"/>
        <v>0.93181818181818177</v>
      </c>
      <c r="AL109" s="12">
        <v>13</v>
      </c>
      <c r="AM109" s="17">
        <f t="shared" si="93"/>
        <v>0.29545454545454547</v>
      </c>
      <c r="AN109" s="12">
        <v>14</v>
      </c>
      <c r="AO109" s="17">
        <f t="shared" si="94"/>
        <v>0.31818181818181818</v>
      </c>
      <c r="AP109" s="12">
        <v>35</v>
      </c>
      <c r="AQ109" s="17">
        <f t="shared" si="95"/>
        <v>0.79545454545454541</v>
      </c>
      <c r="AR109" s="12">
        <v>64</v>
      </c>
      <c r="AS109" s="17">
        <f t="shared" si="96"/>
        <v>1.4545454545454546</v>
      </c>
      <c r="AT109" s="13">
        <v>1.4988985072297367</v>
      </c>
      <c r="AU109" s="13">
        <v>8.5521025517101751E-2</v>
      </c>
      <c r="AV109" s="13">
        <v>1.3257422324102377</v>
      </c>
      <c r="AW109" s="13">
        <v>0.17315627481949894</v>
      </c>
      <c r="AX109" s="13">
        <v>115.89362335044765</v>
      </c>
      <c r="AY109" s="13">
        <v>111.8201485025626</v>
      </c>
      <c r="AZ109" s="13">
        <v>9.1093623397328347</v>
      </c>
      <c r="BA109" s="13">
        <v>7.6818181818181817</v>
      </c>
      <c r="BB109" s="13">
        <v>19.284899201217193</v>
      </c>
      <c r="BC109" s="14">
        <v>0.58597368908652958</v>
      </c>
      <c r="BD109" s="14">
        <v>0.53846153846153844</v>
      </c>
      <c r="BE109" s="13">
        <v>14.06561021096322</v>
      </c>
      <c r="BF109" s="14">
        <v>0.17582417582417584</v>
      </c>
      <c r="BG109" s="14">
        <v>0.42307692307692307</v>
      </c>
      <c r="BH109" s="13">
        <v>9.7377044806779924</v>
      </c>
      <c r="BI109" s="13">
        <v>11.605209449575142</v>
      </c>
      <c r="BJ109" s="13">
        <v>9.969561681989676</v>
      </c>
      <c r="BK109" s="13">
        <v>7.6583027208766579</v>
      </c>
      <c r="BL109" s="13">
        <v>1.0448573056881465</v>
      </c>
      <c r="BM109" s="13">
        <v>1.8051588862169672</v>
      </c>
      <c r="BN109" s="13">
        <v>13.950892857142858</v>
      </c>
      <c r="BO109" s="15" t="s">
        <v>187</v>
      </c>
      <c r="BP109" s="15">
        <v>250000</v>
      </c>
      <c r="BQ109" s="12" t="s">
        <v>272</v>
      </c>
      <c r="BR109" s="26">
        <v>562.07000000000005</v>
      </c>
      <c r="BS109" s="27">
        <v>716.18</v>
      </c>
      <c r="BT109" s="27">
        <v>154.1</v>
      </c>
      <c r="BU109" s="26">
        <f t="shared" si="71"/>
        <v>12.774545454545455</v>
      </c>
      <c r="BV109" s="26">
        <f t="shared" si="72"/>
        <v>16.276818181818182</v>
      </c>
      <c r="BW109" s="26">
        <f t="shared" si="72"/>
        <v>3.502272727272727</v>
      </c>
      <c r="BX109" s="31">
        <f t="shared" si="73"/>
        <v>32.086770372484658</v>
      </c>
      <c r="BY109" s="31">
        <f t="shared" si="74"/>
        <v>40.883687740830595</v>
      </c>
      <c r="BZ109" s="31">
        <f t="shared" si="75"/>
        <v>8.7969173683459392</v>
      </c>
      <c r="CA109" s="34">
        <v>23</v>
      </c>
      <c r="CB109" s="34">
        <v>21</v>
      </c>
    </row>
    <row r="110" spans="1:80" x14ac:dyDescent="0.4">
      <c r="A110" s="12" t="s">
        <v>191</v>
      </c>
      <c r="B110" s="12" t="s">
        <v>179</v>
      </c>
      <c r="C110" s="4" t="s">
        <v>70</v>
      </c>
      <c r="D110" s="32">
        <v>20</v>
      </c>
      <c r="E110" s="24">
        <v>9</v>
      </c>
      <c r="F110" s="24">
        <v>53</v>
      </c>
      <c r="G110" s="10">
        <v>11866</v>
      </c>
      <c r="H110" s="5">
        <v>37</v>
      </c>
      <c r="I110" s="17">
        <f t="shared" si="76"/>
        <v>1.85</v>
      </c>
      <c r="J110" s="7">
        <v>12</v>
      </c>
      <c r="K110" s="7">
        <v>44</v>
      </c>
      <c r="L110" s="17">
        <f t="shared" si="77"/>
        <v>0.6</v>
      </c>
      <c r="M110" s="17">
        <f t="shared" si="78"/>
        <v>2.2000000000000002</v>
      </c>
      <c r="N110" s="33">
        <f t="shared" si="79"/>
        <v>0.27272727272727271</v>
      </c>
      <c r="O110" s="12">
        <v>2</v>
      </c>
      <c r="P110" s="12">
        <v>11</v>
      </c>
      <c r="Q110" s="17">
        <f t="shared" si="80"/>
        <v>0.1</v>
      </c>
      <c r="R110" s="17">
        <f t="shared" si="81"/>
        <v>0.55000000000000004</v>
      </c>
      <c r="S110" s="33">
        <f t="shared" si="82"/>
        <v>0.18181818181818182</v>
      </c>
      <c r="T110" s="12">
        <v>10</v>
      </c>
      <c r="U110" s="12">
        <v>33</v>
      </c>
      <c r="V110" s="17">
        <f t="shared" si="83"/>
        <v>0.5</v>
      </c>
      <c r="W110" s="17">
        <f t="shared" si="84"/>
        <v>1.65</v>
      </c>
      <c r="X110" s="33">
        <f t="shared" si="85"/>
        <v>0.30303030303030304</v>
      </c>
      <c r="Y110" s="12">
        <v>3</v>
      </c>
      <c r="Z110" s="12">
        <v>5</v>
      </c>
      <c r="AA110" s="17">
        <f t="shared" si="86"/>
        <v>0.15</v>
      </c>
      <c r="AB110" s="17">
        <f t="shared" si="87"/>
        <v>0.25</v>
      </c>
      <c r="AC110" s="33">
        <f t="shared" si="88"/>
        <v>0.6</v>
      </c>
      <c r="AD110" s="12">
        <v>13</v>
      </c>
      <c r="AE110" s="17">
        <f t="shared" si="89"/>
        <v>0.65</v>
      </c>
      <c r="AF110" s="12">
        <v>4</v>
      </c>
      <c r="AG110" s="17">
        <f t="shared" si="90"/>
        <v>0.2</v>
      </c>
      <c r="AH110" s="12">
        <v>9</v>
      </c>
      <c r="AI110" s="17">
        <f t="shared" si="91"/>
        <v>0.45</v>
      </c>
      <c r="AJ110" s="12">
        <v>4</v>
      </c>
      <c r="AK110" s="17">
        <f t="shared" si="92"/>
        <v>0.2</v>
      </c>
      <c r="AL110" s="12">
        <v>4</v>
      </c>
      <c r="AM110" s="17">
        <f t="shared" si="93"/>
        <v>0.2</v>
      </c>
      <c r="AN110" s="12">
        <v>4</v>
      </c>
      <c r="AO110" s="17">
        <f t="shared" si="94"/>
        <v>0.2</v>
      </c>
      <c r="AP110" s="12">
        <v>6</v>
      </c>
      <c r="AQ110" s="17">
        <f t="shared" si="95"/>
        <v>0.3</v>
      </c>
      <c r="AR110" s="12">
        <v>22</v>
      </c>
      <c r="AS110" s="17">
        <f t="shared" si="96"/>
        <v>1.1000000000000001</v>
      </c>
      <c r="AT110" s="13">
        <v>-0.2423167673134298</v>
      </c>
      <c r="AU110" s="13">
        <v>-4.9035433520424249E-2</v>
      </c>
      <c r="AV110" s="13">
        <v>-0.2200553779772105</v>
      </c>
      <c r="AW110" s="13">
        <v>-2.2261389336219291E-2</v>
      </c>
      <c r="AX110" s="13">
        <v>80.573377267786256</v>
      </c>
      <c r="AY110" s="13">
        <v>115.09008720341673</v>
      </c>
      <c r="AZ110" s="13">
        <v>0.30911368414179174</v>
      </c>
      <c r="BA110" s="13">
        <v>1.1000000000000001</v>
      </c>
      <c r="BB110" s="13">
        <v>4.4519392917369309</v>
      </c>
      <c r="BC110" s="14">
        <v>0.40043290043290042</v>
      </c>
      <c r="BD110" s="14">
        <v>0.38636363636363635</v>
      </c>
      <c r="BE110" s="13">
        <v>4.7180901942178028</v>
      </c>
      <c r="BF110" s="14">
        <v>0.75</v>
      </c>
      <c r="BG110" s="14">
        <v>0.11363636363636363</v>
      </c>
      <c r="BH110" s="13">
        <v>0.86019501337782456</v>
      </c>
      <c r="BI110" s="13">
        <v>1.9354387801001052</v>
      </c>
      <c r="BJ110" s="13">
        <v>1.3058780837243642</v>
      </c>
      <c r="BK110" s="13">
        <v>1.0571057325962958</v>
      </c>
      <c r="BL110" s="13">
        <v>1.140248481163995</v>
      </c>
      <c r="BM110" s="13">
        <v>0.83147766573038828</v>
      </c>
      <c r="BN110" s="13">
        <v>11.494252873563218</v>
      </c>
      <c r="BO110" s="15" t="s">
        <v>187</v>
      </c>
      <c r="BP110" s="15"/>
      <c r="BQ110" s="12" t="s">
        <v>273</v>
      </c>
      <c r="BR110" s="26">
        <v>81.14</v>
      </c>
      <c r="BS110" s="27">
        <v>121.44</v>
      </c>
      <c r="BT110" s="27">
        <v>40.299999999999997</v>
      </c>
      <c r="BU110" s="26">
        <f t="shared" si="71"/>
        <v>4.0570000000000004</v>
      </c>
      <c r="BV110" s="26">
        <f t="shared" si="72"/>
        <v>6.0720000000000001</v>
      </c>
      <c r="BW110" s="26">
        <f t="shared" si="72"/>
        <v>2.0149999999999997</v>
      </c>
      <c r="BX110" s="31">
        <f t="shared" si="73"/>
        <v>16.411259059497727</v>
      </c>
      <c r="BY110" s="31">
        <f t="shared" si="74"/>
        <v>24.562278779706727</v>
      </c>
      <c r="BZ110" s="31">
        <f t="shared" si="75"/>
        <v>8.1510197202089998</v>
      </c>
      <c r="CA110" s="34">
        <v>9</v>
      </c>
      <c r="CB110" s="34">
        <v>11</v>
      </c>
    </row>
    <row r="111" spans="1:80" x14ac:dyDescent="0.4">
      <c r="A111" s="12" t="s">
        <v>191</v>
      </c>
      <c r="B111" s="12" t="s">
        <v>179</v>
      </c>
      <c r="C111" s="4" t="s">
        <v>68</v>
      </c>
      <c r="D111" s="5">
        <v>8</v>
      </c>
      <c r="E111" s="22">
        <v>1</v>
      </c>
      <c r="F111" s="22">
        <v>48</v>
      </c>
      <c r="G111" s="10">
        <v>865</v>
      </c>
      <c r="H111" s="5">
        <v>0</v>
      </c>
      <c r="I111" s="17">
        <f t="shared" si="76"/>
        <v>0</v>
      </c>
      <c r="J111" s="7">
        <v>0</v>
      </c>
      <c r="K111" s="7">
        <v>2</v>
      </c>
      <c r="L111" s="17">
        <f t="shared" si="77"/>
        <v>0</v>
      </c>
      <c r="M111" s="17">
        <f t="shared" si="78"/>
        <v>0.25</v>
      </c>
      <c r="N111" s="33">
        <f t="shared" si="79"/>
        <v>0</v>
      </c>
      <c r="O111" s="12">
        <v>0</v>
      </c>
      <c r="P111" s="12">
        <v>1</v>
      </c>
      <c r="Q111" s="17">
        <f t="shared" si="80"/>
        <v>0</v>
      </c>
      <c r="R111" s="17">
        <f t="shared" si="81"/>
        <v>0.125</v>
      </c>
      <c r="S111" s="33">
        <f t="shared" si="82"/>
        <v>0</v>
      </c>
      <c r="T111" s="12">
        <v>0</v>
      </c>
      <c r="U111" s="12">
        <v>1</v>
      </c>
      <c r="V111" s="17">
        <f t="shared" si="83"/>
        <v>0</v>
      </c>
      <c r="W111" s="17">
        <f t="shared" si="84"/>
        <v>0.125</v>
      </c>
      <c r="X111" s="33">
        <f t="shared" si="85"/>
        <v>0</v>
      </c>
      <c r="Y111" s="12">
        <v>0</v>
      </c>
      <c r="Z111" s="12">
        <v>0</v>
      </c>
      <c r="AA111" s="17">
        <f t="shared" si="86"/>
        <v>0</v>
      </c>
      <c r="AB111" s="17">
        <f t="shared" si="87"/>
        <v>0</v>
      </c>
      <c r="AC111" s="33" t="e">
        <f t="shared" si="88"/>
        <v>#DIV/0!</v>
      </c>
      <c r="AD111" s="12">
        <v>3</v>
      </c>
      <c r="AE111" s="17">
        <f t="shared" si="89"/>
        <v>0.375</v>
      </c>
      <c r="AF111" s="12">
        <v>0</v>
      </c>
      <c r="AG111" s="17">
        <f t="shared" si="90"/>
        <v>0</v>
      </c>
      <c r="AH111" s="12">
        <v>3</v>
      </c>
      <c r="AI111" s="17">
        <f t="shared" si="91"/>
        <v>0.375</v>
      </c>
      <c r="AJ111" s="12">
        <v>0</v>
      </c>
      <c r="AK111" s="17">
        <f t="shared" si="92"/>
        <v>0</v>
      </c>
      <c r="AL111" s="12">
        <v>0</v>
      </c>
      <c r="AM111" s="17">
        <f t="shared" si="93"/>
        <v>0</v>
      </c>
      <c r="AN111" s="12">
        <v>0</v>
      </c>
      <c r="AO111" s="17">
        <f t="shared" si="94"/>
        <v>0</v>
      </c>
      <c r="AP111" s="12">
        <v>0</v>
      </c>
      <c r="AQ111" s="17">
        <f t="shared" si="95"/>
        <v>0</v>
      </c>
      <c r="AR111" s="12">
        <v>0</v>
      </c>
      <c r="AS111" s="17">
        <f t="shared" si="96"/>
        <v>0</v>
      </c>
      <c r="AT111" s="13">
        <v>-4.0114878349807342E-2</v>
      </c>
      <c r="AU111" s="13">
        <v>-0.11143021763835373</v>
      </c>
      <c r="AV111" s="13">
        <v>-4.3912072763037831E-2</v>
      </c>
      <c r="AW111" s="13">
        <v>3.7971944132304892E-3</v>
      </c>
      <c r="AX111" s="13">
        <v>0</v>
      </c>
      <c r="AY111" s="13">
        <v>111.66825618887057</v>
      </c>
      <c r="AZ111" s="13">
        <v>-0.24081878729094824</v>
      </c>
      <c r="BA111" s="13">
        <v>0.125</v>
      </c>
      <c r="BB111" s="13">
        <v>2.7777777777777777</v>
      </c>
      <c r="BC111" s="14">
        <v>0</v>
      </c>
      <c r="BD111" s="14">
        <v>0</v>
      </c>
      <c r="BE111" s="13">
        <v>0.99255977194946687</v>
      </c>
      <c r="BF111" s="14">
        <v>0.5</v>
      </c>
      <c r="BG111" s="14">
        <v>0</v>
      </c>
      <c r="BH111" s="13">
        <v>0</v>
      </c>
      <c r="BI111" s="13">
        <v>3.5423308537017353</v>
      </c>
      <c r="BJ111" s="13">
        <v>1.654670306941342</v>
      </c>
      <c r="BK111" s="13">
        <v>0</v>
      </c>
      <c r="BL111" s="13">
        <v>0</v>
      </c>
      <c r="BM111" s="13">
        <v>0</v>
      </c>
      <c r="BN111" s="13">
        <v>0</v>
      </c>
      <c r="BO111" s="15" t="s">
        <v>187</v>
      </c>
      <c r="BP111" s="15">
        <v>48931</v>
      </c>
      <c r="BQ111" s="12" t="s">
        <v>271</v>
      </c>
      <c r="BR111" s="26">
        <v>4.7</v>
      </c>
      <c r="BS111" s="27">
        <v>6.6</v>
      </c>
      <c r="BT111" s="27">
        <v>1.9</v>
      </c>
      <c r="BU111" s="26">
        <f t="shared" si="71"/>
        <v>0.58749999999999991</v>
      </c>
      <c r="BV111" s="26">
        <f t="shared" si="72"/>
        <v>0.82499999999999996</v>
      </c>
      <c r="BW111" s="26">
        <f t="shared" si="72"/>
        <v>0.23749999999999999</v>
      </c>
      <c r="BX111" s="31">
        <f t="shared" si="73"/>
        <v>13.040462427745664</v>
      </c>
      <c r="BY111" s="31">
        <f t="shared" si="74"/>
        <v>18.312138728323699</v>
      </c>
      <c r="BZ111" s="31">
        <f t="shared" si="75"/>
        <v>5.2716763005780347</v>
      </c>
      <c r="CA111" s="34">
        <v>4</v>
      </c>
      <c r="CB111" s="34">
        <v>4</v>
      </c>
    </row>
    <row r="112" spans="1:80" x14ac:dyDescent="0.4">
      <c r="A112" s="12" t="s">
        <v>191</v>
      </c>
      <c r="B112" s="12" t="s">
        <v>179</v>
      </c>
      <c r="C112" s="8" t="s">
        <v>76</v>
      </c>
      <c r="D112" s="32">
        <v>45</v>
      </c>
      <c r="E112" s="24">
        <v>16</v>
      </c>
      <c r="F112" s="24">
        <v>3</v>
      </c>
      <c r="G112" s="10">
        <v>43352</v>
      </c>
      <c r="H112" s="5">
        <v>150</v>
      </c>
      <c r="I112" s="17">
        <f t="shared" si="76"/>
        <v>3.3333333333333335</v>
      </c>
      <c r="J112" s="7">
        <v>53</v>
      </c>
      <c r="K112" s="7">
        <v>121</v>
      </c>
      <c r="L112" s="17">
        <f t="shared" si="77"/>
        <v>1.1777777777777778</v>
      </c>
      <c r="M112" s="17">
        <f t="shared" si="78"/>
        <v>2.6888888888888891</v>
      </c>
      <c r="N112" s="33">
        <f t="shared" si="79"/>
        <v>0.43801652892561982</v>
      </c>
      <c r="O112" s="12">
        <v>34</v>
      </c>
      <c r="P112" s="12">
        <v>67</v>
      </c>
      <c r="Q112" s="17">
        <f t="shared" si="80"/>
        <v>0.75555555555555554</v>
      </c>
      <c r="R112" s="17">
        <f t="shared" si="81"/>
        <v>1.4888888888888889</v>
      </c>
      <c r="S112" s="33">
        <f t="shared" si="82"/>
        <v>0.5074626865671642</v>
      </c>
      <c r="T112" s="12">
        <v>19</v>
      </c>
      <c r="U112" s="12">
        <v>54</v>
      </c>
      <c r="V112" s="17">
        <f t="shared" si="83"/>
        <v>0.42222222222222222</v>
      </c>
      <c r="W112" s="17">
        <f t="shared" si="84"/>
        <v>1.2</v>
      </c>
      <c r="X112" s="33">
        <f t="shared" si="85"/>
        <v>0.35185185185185186</v>
      </c>
      <c r="Y112" s="12">
        <v>25</v>
      </c>
      <c r="Z112" s="12">
        <v>34</v>
      </c>
      <c r="AA112" s="17">
        <f t="shared" si="86"/>
        <v>0.55555555555555558</v>
      </c>
      <c r="AB112" s="17">
        <f t="shared" si="87"/>
        <v>0.75555555555555554</v>
      </c>
      <c r="AC112" s="33">
        <f t="shared" si="88"/>
        <v>0.73529411764705888</v>
      </c>
      <c r="AD112" s="12">
        <v>56</v>
      </c>
      <c r="AE112" s="17">
        <f t="shared" si="89"/>
        <v>1.2444444444444445</v>
      </c>
      <c r="AF112" s="12">
        <v>12</v>
      </c>
      <c r="AG112" s="17">
        <f t="shared" si="90"/>
        <v>0.26666666666666666</v>
      </c>
      <c r="AH112" s="12">
        <v>44</v>
      </c>
      <c r="AI112" s="17">
        <f t="shared" si="91"/>
        <v>0.97777777777777775</v>
      </c>
      <c r="AJ112" s="12">
        <v>41</v>
      </c>
      <c r="AK112" s="17">
        <f t="shared" si="92"/>
        <v>0.91111111111111109</v>
      </c>
      <c r="AL112" s="12">
        <v>30</v>
      </c>
      <c r="AM112" s="17">
        <f t="shared" si="93"/>
        <v>0.66666666666666663</v>
      </c>
      <c r="AN112" s="12">
        <v>3</v>
      </c>
      <c r="AO112" s="17">
        <f t="shared" si="94"/>
        <v>6.6666666666666666E-2</v>
      </c>
      <c r="AP112" s="12">
        <v>30</v>
      </c>
      <c r="AQ112" s="17">
        <f t="shared" si="95"/>
        <v>0.66666666666666663</v>
      </c>
      <c r="AR112" s="12">
        <v>72</v>
      </c>
      <c r="AS112" s="17">
        <f t="shared" si="96"/>
        <v>1.6</v>
      </c>
      <c r="AT112" s="13">
        <v>0.31207155633761158</v>
      </c>
      <c r="AU112" s="13">
        <v>1.728329837799164E-2</v>
      </c>
      <c r="AV112" s="13">
        <v>0.19541937569813747</v>
      </c>
      <c r="AW112" s="13">
        <v>0.11665218063947412</v>
      </c>
      <c r="AX112" s="13">
        <v>101.5070242009769</v>
      </c>
      <c r="AY112" s="13">
        <v>112.59739574969683</v>
      </c>
      <c r="AZ112" s="13">
        <v>3.8577656085721288</v>
      </c>
      <c r="BA112" s="13">
        <v>3.8444444444444446</v>
      </c>
      <c r="BB112" s="13">
        <v>9.5811699550017302</v>
      </c>
      <c r="BC112" s="14">
        <v>0.55163283318623124</v>
      </c>
      <c r="BD112" s="14">
        <v>0.51652892561983466</v>
      </c>
      <c r="BE112" s="13">
        <v>9.2369282104336552</v>
      </c>
      <c r="BF112" s="14">
        <v>0.4462809917355372</v>
      </c>
      <c r="BG112" s="14">
        <v>0.28099173553719009</v>
      </c>
      <c r="BH112" s="13">
        <v>1.5890829997914331</v>
      </c>
      <c r="BI112" s="13">
        <v>5.8266376659019201</v>
      </c>
      <c r="BJ112" s="13">
        <v>3.4639826986435569</v>
      </c>
      <c r="BK112" s="13">
        <v>7.0571022849520197</v>
      </c>
      <c r="BL112" s="13">
        <v>2.340489267325196</v>
      </c>
      <c r="BM112" s="13">
        <v>0.38400798736613717</v>
      </c>
      <c r="BN112" s="13">
        <v>18.076644974692694</v>
      </c>
      <c r="BO112" s="15" t="s">
        <v>187</v>
      </c>
      <c r="BP112" s="15">
        <v>70000</v>
      </c>
      <c r="BQ112" s="12" t="s">
        <v>271</v>
      </c>
      <c r="BR112" s="26">
        <v>382.43</v>
      </c>
      <c r="BS112" s="27">
        <v>499.13</v>
      </c>
      <c r="BT112" s="27">
        <v>116.7</v>
      </c>
      <c r="BU112" s="26">
        <f t="shared" si="71"/>
        <v>8.4984444444444431</v>
      </c>
      <c r="BV112" s="26">
        <f t="shared" si="72"/>
        <v>11.091777777777777</v>
      </c>
      <c r="BW112" s="26">
        <f t="shared" si="72"/>
        <v>2.5933333333333333</v>
      </c>
      <c r="BX112" s="31">
        <f t="shared" si="73"/>
        <v>21.171618379774863</v>
      </c>
      <c r="BY112" s="31">
        <f t="shared" si="74"/>
        <v>27.632219966783538</v>
      </c>
      <c r="BZ112" s="31">
        <f t="shared" si="75"/>
        <v>6.4606015870086733</v>
      </c>
      <c r="CA112" s="35">
        <v>21</v>
      </c>
      <c r="CB112" s="35">
        <v>24</v>
      </c>
    </row>
    <row r="113" spans="1:80" x14ac:dyDescent="0.4">
      <c r="A113" s="12" t="s">
        <v>191</v>
      </c>
      <c r="B113" s="12" t="s">
        <v>179</v>
      </c>
      <c r="C113" s="4" t="s">
        <v>229</v>
      </c>
      <c r="D113" s="5">
        <v>7</v>
      </c>
      <c r="E113" s="22">
        <v>18</v>
      </c>
      <c r="F113" s="22">
        <v>7</v>
      </c>
      <c r="G113" s="10">
        <v>7608</v>
      </c>
      <c r="H113" s="5">
        <v>53</v>
      </c>
      <c r="I113" s="17">
        <f t="shared" si="76"/>
        <v>7.5714285714285712</v>
      </c>
      <c r="J113" s="7">
        <v>22</v>
      </c>
      <c r="K113" s="7">
        <v>51</v>
      </c>
      <c r="L113" s="17">
        <f t="shared" si="77"/>
        <v>3.1428571428571428</v>
      </c>
      <c r="M113" s="17">
        <f t="shared" si="78"/>
        <v>7.2857142857142856</v>
      </c>
      <c r="N113" s="33">
        <f t="shared" si="79"/>
        <v>0.43137254901960786</v>
      </c>
      <c r="O113" s="12">
        <v>20</v>
      </c>
      <c r="P113" s="12">
        <v>42</v>
      </c>
      <c r="Q113" s="17">
        <f t="shared" si="80"/>
        <v>2.8571428571428572</v>
      </c>
      <c r="R113" s="17">
        <f t="shared" si="81"/>
        <v>6</v>
      </c>
      <c r="S113" s="33">
        <f t="shared" si="82"/>
        <v>0.47619047619047616</v>
      </c>
      <c r="T113" s="12">
        <v>2</v>
      </c>
      <c r="U113" s="12">
        <v>9</v>
      </c>
      <c r="V113" s="17">
        <f t="shared" si="83"/>
        <v>0.2857142857142857</v>
      </c>
      <c r="W113" s="17">
        <f t="shared" si="84"/>
        <v>1.2857142857142858</v>
      </c>
      <c r="X113" s="33">
        <f t="shared" si="85"/>
        <v>0.22222222222222221</v>
      </c>
      <c r="Y113" s="12">
        <v>7</v>
      </c>
      <c r="Z113" s="12">
        <v>14</v>
      </c>
      <c r="AA113" s="17">
        <f t="shared" si="86"/>
        <v>1</v>
      </c>
      <c r="AB113" s="17">
        <f t="shared" si="87"/>
        <v>2</v>
      </c>
      <c r="AC113" s="33">
        <f t="shared" si="88"/>
        <v>0.5</v>
      </c>
      <c r="AD113" s="12">
        <v>45</v>
      </c>
      <c r="AE113" s="17">
        <f t="shared" si="89"/>
        <v>6.4285714285714288</v>
      </c>
      <c r="AF113" s="12">
        <v>10</v>
      </c>
      <c r="AG113" s="17">
        <f t="shared" si="90"/>
        <v>1.4285714285714286</v>
      </c>
      <c r="AH113" s="12">
        <v>35</v>
      </c>
      <c r="AI113" s="17">
        <f t="shared" si="91"/>
        <v>5</v>
      </c>
      <c r="AJ113" s="12">
        <v>7</v>
      </c>
      <c r="AK113" s="17">
        <f t="shared" si="92"/>
        <v>1</v>
      </c>
      <c r="AL113" s="12">
        <v>4</v>
      </c>
      <c r="AM113" s="17">
        <f t="shared" si="93"/>
        <v>0.5714285714285714</v>
      </c>
      <c r="AN113" s="12">
        <v>1</v>
      </c>
      <c r="AO113" s="17">
        <f t="shared" si="94"/>
        <v>0.14285714285714285</v>
      </c>
      <c r="AP113" s="12">
        <v>13</v>
      </c>
      <c r="AQ113" s="17">
        <f t="shared" si="95"/>
        <v>1.8571428571428572</v>
      </c>
      <c r="AR113" s="12">
        <v>8</v>
      </c>
      <c r="AS113" s="17">
        <f t="shared" si="96"/>
        <v>1.1428571428571428</v>
      </c>
      <c r="AT113" s="13">
        <v>-9.0378608256800691E-2</v>
      </c>
      <c r="AU113" s="13">
        <v>-2.8506855015944493E-2</v>
      </c>
      <c r="AV113" s="13">
        <v>-0.23028464427700612</v>
      </c>
      <c r="AW113" s="13">
        <v>0.13990603602020543</v>
      </c>
      <c r="AX113" s="13">
        <v>84.920759196210298</v>
      </c>
      <c r="AY113" s="13">
        <v>104.03449426885489</v>
      </c>
      <c r="AZ113" s="13">
        <v>1.2043689003698732</v>
      </c>
      <c r="BA113" s="13">
        <v>8.7142857142857135</v>
      </c>
      <c r="BB113" s="13">
        <v>19.24037324221317</v>
      </c>
      <c r="BC113" s="14">
        <v>0.46361091672498256</v>
      </c>
      <c r="BD113" s="14">
        <v>0.45098039215686275</v>
      </c>
      <c r="BE113" s="13">
        <v>3.4594771429610192</v>
      </c>
      <c r="BF113" s="14">
        <v>0.17647058823529413</v>
      </c>
      <c r="BG113" s="14">
        <v>0.27450980392156865</v>
      </c>
      <c r="BH113" s="13">
        <v>1.1731730518239418</v>
      </c>
      <c r="BI113" s="13">
        <v>4.1061056813837968</v>
      </c>
      <c r="BJ113" s="13">
        <v>2.4660219845859928</v>
      </c>
      <c r="BK113" s="13">
        <v>1.009215094974349</v>
      </c>
      <c r="BL113" s="13">
        <v>1.7772830840590066</v>
      </c>
      <c r="BM113" s="13">
        <v>0.1134007028008556</v>
      </c>
      <c r="BN113" s="13">
        <v>18.529076396807298</v>
      </c>
      <c r="BO113" s="15" t="s">
        <v>190</v>
      </c>
      <c r="BP113" s="15"/>
      <c r="BQ113" s="12" t="s">
        <v>272</v>
      </c>
      <c r="BR113" s="26">
        <v>96.8</v>
      </c>
      <c r="BS113" s="27">
        <v>150.19999999999999</v>
      </c>
      <c r="BT113" s="27">
        <v>53.4</v>
      </c>
      <c r="BU113" s="26">
        <f t="shared" si="71"/>
        <v>13.828571428571427</v>
      </c>
      <c r="BV113" s="26">
        <f t="shared" si="72"/>
        <v>21.457142857142856</v>
      </c>
      <c r="BW113" s="26">
        <f t="shared" si="72"/>
        <v>7.6285714285714281</v>
      </c>
      <c r="BX113" s="31">
        <f t="shared" si="73"/>
        <v>30.536277602523661</v>
      </c>
      <c r="BY113" s="31">
        <f t="shared" si="74"/>
        <v>47.381703470031546</v>
      </c>
      <c r="BZ113" s="31">
        <f t="shared" si="75"/>
        <v>16.845425867507885</v>
      </c>
      <c r="CA113" s="35">
        <v>5</v>
      </c>
      <c r="CB113" s="35">
        <v>2</v>
      </c>
    </row>
    <row r="114" spans="1:80" x14ac:dyDescent="0.4">
      <c r="A114" s="12" t="s">
        <v>191</v>
      </c>
      <c r="B114" s="12" t="s">
        <v>179</v>
      </c>
      <c r="C114" s="4" t="s">
        <v>148</v>
      </c>
      <c r="D114" s="5">
        <v>30</v>
      </c>
      <c r="E114" s="22">
        <v>22</v>
      </c>
      <c r="F114" s="22">
        <v>9</v>
      </c>
      <c r="G114" s="10">
        <v>39884</v>
      </c>
      <c r="H114" s="5">
        <v>232</v>
      </c>
      <c r="I114" s="17">
        <f t="shared" si="76"/>
        <v>7.7333333333333334</v>
      </c>
      <c r="J114" s="7">
        <v>89</v>
      </c>
      <c r="K114" s="7">
        <v>236</v>
      </c>
      <c r="L114" s="17">
        <f t="shared" si="77"/>
        <v>2.9666666666666668</v>
      </c>
      <c r="M114" s="17">
        <f t="shared" si="78"/>
        <v>7.8666666666666663</v>
      </c>
      <c r="N114" s="33">
        <f t="shared" si="79"/>
        <v>0.3771186440677966</v>
      </c>
      <c r="O114" s="12">
        <v>66</v>
      </c>
      <c r="P114" s="12">
        <v>146</v>
      </c>
      <c r="Q114" s="17">
        <f t="shared" si="80"/>
        <v>2.2000000000000002</v>
      </c>
      <c r="R114" s="17">
        <f t="shared" si="81"/>
        <v>4.8666666666666663</v>
      </c>
      <c r="S114" s="33">
        <f t="shared" si="82"/>
        <v>0.45205479452054792</v>
      </c>
      <c r="T114" s="12">
        <v>23</v>
      </c>
      <c r="U114" s="12">
        <v>90</v>
      </c>
      <c r="V114" s="17">
        <f t="shared" si="83"/>
        <v>0.76666666666666672</v>
      </c>
      <c r="W114" s="17">
        <f t="shared" si="84"/>
        <v>3</v>
      </c>
      <c r="X114" s="33">
        <f t="shared" si="85"/>
        <v>0.25555555555555554</v>
      </c>
      <c r="Y114" s="12">
        <v>31</v>
      </c>
      <c r="Z114" s="12">
        <v>39</v>
      </c>
      <c r="AA114" s="17">
        <f t="shared" si="86"/>
        <v>1.0333333333333334</v>
      </c>
      <c r="AB114" s="17">
        <f t="shared" si="87"/>
        <v>1.3</v>
      </c>
      <c r="AC114" s="33">
        <f t="shared" si="88"/>
        <v>0.79487179487179482</v>
      </c>
      <c r="AD114" s="12">
        <v>63</v>
      </c>
      <c r="AE114" s="17">
        <f t="shared" si="89"/>
        <v>2.1</v>
      </c>
      <c r="AF114" s="12">
        <v>11</v>
      </c>
      <c r="AG114" s="17">
        <f t="shared" si="90"/>
        <v>0.36666666666666664</v>
      </c>
      <c r="AH114" s="12">
        <v>52</v>
      </c>
      <c r="AI114" s="17">
        <f t="shared" si="91"/>
        <v>1.7333333333333334</v>
      </c>
      <c r="AJ114" s="12">
        <v>92</v>
      </c>
      <c r="AK114" s="17">
        <f t="shared" si="92"/>
        <v>3.0666666666666669</v>
      </c>
      <c r="AL114" s="12">
        <v>36</v>
      </c>
      <c r="AM114" s="17">
        <f t="shared" si="93"/>
        <v>1.2</v>
      </c>
      <c r="AN114" s="12">
        <v>1</v>
      </c>
      <c r="AO114" s="17">
        <f t="shared" si="94"/>
        <v>3.3333333333333333E-2</v>
      </c>
      <c r="AP114" s="12">
        <v>43</v>
      </c>
      <c r="AQ114" s="17">
        <f t="shared" si="95"/>
        <v>1.4333333333333333</v>
      </c>
      <c r="AR114" s="12">
        <v>55</v>
      </c>
      <c r="AS114" s="17">
        <f t="shared" si="96"/>
        <v>1.8333333333333333</v>
      </c>
      <c r="AT114" s="13">
        <v>3.3558052361285479E-2</v>
      </c>
      <c r="AU114" s="13">
        <v>2.0200482986477337E-3</v>
      </c>
      <c r="AV114" s="13">
        <v>-0.23387375370756461</v>
      </c>
      <c r="AW114" s="13">
        <v>0.26743180606885009</v>
      </c>
      <c r="AX114" s="13">
        <v>94.265893254515504</v>
      </c>
      <c r="AY114" s="13">
        <v>110.40649683529762</v>
      </c>
      <c r="AZ114" s="13">
        <v>4.3697635380228332</v>
      </c>
      <c r="BA114" s="13">
        <v>7.5333333333333332</v>
      </c>
      <c r="BB114" s="13">
        <v>13.604213694507148</v>
      </c>
      <c r="BC114" s="14">
        <v>0.45820824774845947</v>
      </c>
      <c r="BD114" s="14">
        <v>0.42584745762711862</v>
      </c>
      <c r="BE114" s="13">
        <v>11.944056517133122</v>
      </c>
      <c r="BF114" s="14">
        <v>0.38135593220338981</v>
      </c>
      <c r="BG114" s="14">
        <v>0.1652542372881356</v>
      </c>
      <c r="BH114" s="13">
        <v>1.0555026471526616</v>
      </c>
      <c r="BI114" s="13">
        <v>4.9896488774489463</v>
      </c>
      <c r="BJ114" s="13">
        <v>2.8237714493175043</v>
      </c>
      <c r="BK114" s="13">
        <v>11.705951585711105</v>
      </c>
      <c r="BL114" s="13">
        <v>3.0526742633419821</v>
      </c>
      <c r="BM114" s="13">
        <v>9.2751364894304023E-2</v>
      </c>
      <c r="BN114" s="13">
        <v>14.51917882225824</v>
      </c>
      <c r="BO114" s="15" t="s">
        <v>188</v>
      </c>
      <c r="BP114" s="15"/>
      <c r="BQ114" s="12" t="s">
        <v>271</v>
      </c>
      <c r="BR114" s="26">
        <v>442.48</v>
      </c>
      <c r="BS114" s="27">
        <v>653.67999999999995</v>
      </c>
      <c r="BT114" s="27">
        <v>211.2</v>
      </c>
      <c r="BU114" s="26">
        <f t="shared" si="71"/>
        <v>14.749333333333333</v>
      </c>
      <c r="BV114" s="26">
        <f t="shared" si="72"/>
        <v>21.789333333333332</v>
      </c>
      <c r="BW114" s="26">
        <f t="shared" si="72"/>
        <v>7.04</v>
      </c>
      <c r="BX114" s="31">
        <f t="shared" si="73"/>
        <v>26.626015444789886</v>
      </c>
      <c r="BY114" s="31">
        <f t="shared" si="74"/>
        <v>39.334871126266165</v>
      </c>
      <c r="BZ114" s="31">
        <f t="shared" si="75"/>
        <v>12.708855681476281</v>
      </c>
      <c r="CA114" s="34">
        <v>15</v>
      </c>
      <c r="CB114" s="34">
        <v>15</v>
      </c>
    </row>
    <row r="115" spans="1:80" x14ac:dyDescent="0.4">
      <c r="A115" s="12" t="s">
        <v>191</v>
      </c>
      <c r="B115" s="12" t="s">
        <v>179</v>
      </c>
      <c r="C115" s="4" t="s">
        <v>60</v>
      </c>
      <c r="D115" s="5">
        <v>27</v>
      </c>
      <c r="E115" s="22">
        <v>29</v>
      </c>
      <c r="F115" s="22">
        <v>41</v>
      </c>
      <c r="G115" s="10">
        <v>48083</v>
      </c>
      <c r="H115" s="5">
        <v>239</v>
      </c>
      <c r="I115" s="17">
        <f t="shared" si="76"/>
        <v>8.8518518518518512</v>
      </c>
      <c r="J115" s="7">
        <v>97</v>
      </c>
      <c r="K115" s="7">
        <v>183</v>
      </c>
      <c r="L115" s="17">
        <f t="shared" si="77"/>
        <v>3.5925925925925926</v>
      </c>
      <c r="M115" s="17">
        <f t="shared" si="78"/>
        <v>6.7777777777777777</v>
      </c>
      <c r="N115" s="33">
        <f t="shared" si="79"/>
        <v>0.5300546448087432</v>
      </c>
      <c r="O115" s="12">
        <v>97</v>
      </c>
      <c r="P115" s="12">
        <v>182</v>
      </c>
      <c r="Q115" s="17">
        <f t="shared" si="80"/>
        <v>3.5925925925925926</v>
      </c>
      <c r="R115" s="17">
        <f t="shared" si="81"/>
        <v>6.7407407407407405</v>
      </c>
      <c r="S115" s="33">
        <f t="shared" si="82"/>
        <v>0.53296703296703296</v>
      </c>
      <c r="T115" s="12">
        <v>0</v>
      </c>
      <c r="U115" s="12">
        <v>1</v>
      </c>
      <c r="V115" s="17">
        <f t="shared" si="83"/>
        <v>0</v>
      </c>
      <c r="W115" s="17">
        <f t="shared" si="84"/>
        <v>3.7037037037037035E-2</v>
      </c>
      <c r="X115" s="33">
        <f t="shared" si="85"/>
        <v>0</v>
      </c>
      <c r="Y115" s="12">
        <v>45</v>
      </c>
      <c r="Z115" s="12">
        <v>56</v>
      </c>
      <c r="AA115" s="17">
        <f t="shared" si="86"/>
        <v>1.6666666666666667</v>
      </c>
      <c r="AB115" s="17">
        <f t="shared" si="87"/>
        <v>2.074074074074074</v>
      </c>
      <c r="AC115" s="33">
        <f t="shared" si="88"/>
        <v>0.8035714285714286</v>
      </c>
      <c r="AD115" s="12">
        <v>127</v>
      </c>
      <c r="AE115" s="17">
        <f t="shared" si="89"/>
        <v>4.7037037037037033</v>
      </c>
      <c r="AF115" s="12">
        <v>52</v>
      </c>
      <c r="AG115" s="17">
        <f t="shared" si="90"/>
        <v>1.9259259259259258</v>
      </c>
      <c r="AH115" s="12">
        <v>75</v>
      </c>
      <c r="AI115" s="17">
        <f t="shared" si="91"/>
        <v>2.7777777777777777</v>
      </c>
      <c r="AJ115" s="12">
        <v>42</v>
      </c>
      <c r="AK115" s="17">
        <f t="shared" si="92"/>
        <v>1.5555555555555556</v>
      </c>
      <c r="AL115" s="12">
        <v>10</v>
      </c>
      <c r="AM115" s="17">
        <f t="shared" si="93"/>
        <v>0.37037037037037035</v>
      </c>
      <c r="AN115" s="12">
        <v>19</v>
      </c>
      <c r="AO115" s="17">
        <f t="shared" si="94"/>
        <v>0.70370370370370372</v>
      </c>
      <c r="AP115" s="12">
        <v>27</v>
      </c>
      <c r="AQ115" s="17">
        <f t="shared" si="95"/>
        <v>1</v>
      </c>
      <c r="AR115" s="12">
        <v>63</v>
      </c>
      <c r="AS115" s="17">
        <f t="shared" si="96"/>
        <v>2.3333333333333335</v>
      </c>
      <c r="AT115" s="13">
        <v>1.2272611266608415</v>
      </c>
      <c r="AU115" s="13">
        <v>6.125203701595066E-2</v>
      </c>
      <c r="AV115" s="13">
        <v>1.2038591139328501</v>
      </c>
      <c r="AW115" s="13">
        <v>2.34020127279914E-2</v>
      </c>
      <c r="AX115" s="13">
        <v>115.83155976590982</v>
      </c>
      <c r="AY115" s="13">
        <v>113.8005140517289</v>
      </c>
      <c r="AZ115" s="13">
        <v>4.4837366359618898</v>
      </c>
      <c r="BA115" s="13">
        <v>11.592592592592593</v>
      </c>
      <c r="BB115" s="13">
        <v>15.621685694678396</v>
      </c>
      <c r="BC115" s="14">
        <v>0.57551531496821429</v>
      </c>
      <c r="BD115" s="14">
        <v>0.5300546448087432</v>
      </c>
      <c r="BE115" s="13">
        <v>7.0613633599506089</v>
      </c>
      <c r="BF115" s="14">
        <v>5.4644808743169399E-3</v>
      </c>
      <c r="BG115" s="14">
        <v>0.30601092896174864</v>
      </c>
      <c r="BH115" s="13">
        <v>3.7233258608251822</v>
      </c>
      <c r="BI115" s="13">
        <v>5.3701815300363203</v>
      </c>
      <c r="BJ115" s="13">
        <v>4.2476994067017495</v>
      </c>
      <c r="BK115" s="13">
        <v>3.9051906492379458</v>
      </c>
      <c r="BL115" s="13">
        <v>0.70306668052722054</v>
      </c>
      <c r="BM115" s="13">
        <v>1.315027914062926</v>
      </c>
      <c r="BN115" s="13">
        <v>11.506989430617116</v>
      </c>
      <c r="BO115" s="15" t="s">
        <v>187</v>
      </c>
      <c r="BP115" s="15"/>
      <c r="BQ115" s="12" t="s">
        <v>272</v>
      </c>
      <c r="BR115" s="26">
        <v>550.65</v>
      </c>
      <c r="BS115" s="27">
        <v>685.85</v>
      </c>
      <c r="BT115" s="27">
        <v>135.19999999999999</v>
      </c>
      <c r="BU115" s="26">
        <f t="shared" si="71"/>
        <v>20.394444444444446</v>
      </c>
      <c r="BV115" s="26">
        <f t="shared" si="72"/>
        <v>25.401851851851852</v>
      </c>
      <c r="BW115" s="26">
        <f t="shared" si="72"/>
        <v>5.0074074074074071</v>
      </c>
      <c r="BX115" s="31">
        <f t="shared" si="73"/>
        <v>27.484973899299128</v>
      </c>
      <c r="BY115" s="31">
        <f t="shared" si="74"/>
        <v>34.233304910259342</v>
      </c>
      <c r="BZ115" s="31">
        <f t="shared" si="75"/>
        <v>6.7483310109602144</v>
      </c>
      <c r="CA115" s="35">
        <v>15</v>
      </c>
      <c r="CB115" s="35">
        <v>12</v>
      </c>
    </row>
    <row r="116" spans="1:80" x14ac:dyDescent="0.4">
      <c r="A116" s="12" t="s">
        <v>191</v>
      </c>
      <c r="B116" s="12" t="s">
        <v>179</v>
      </c>
      <c r="C116" s="8" t="s">
        <v>64</v>
      </c>
      <c r="D116" s="32">
        <v>45</v>
      </c>
      <c r="E116" s="24">
        <v>14</v>
      </c>
      <c r="F116" s="24">
        <v>20</v>
      </c>
      <c r="G116" s="10">
        <v>38694</v>
      </c>
      <c r="H116" s="5">
        <v>184</v>
      </c>
      <c r="I116" s="17">
        <f t="shared" si="76"/>
        <v>4.0888888888888886</v>
      </c>
      <c r="J116" s="7">
        <v>70</v>
      </c>
      <c r="K116" s="7">
        <v>144</v>
      </c>
      <c r="L116" s="17">
        <f t="shared" si="77"/>
        <v>1.5555555555555556</v>
      </c>
      <c r="M116" s="17">
        <f t="shared" si="78"/>
        <v>3.2</v>
      </c>
      <c r="N116" s="33">
        <f t="shared" si="79"/>
        <v>0.4861111111111111</v>
      </c>
      <c r="O116" s="12">
        <v>34</v>
      </c>
      <c r="P116" s="12">
        <v>63</v>
      </c>
      <c r="Q116" s="17">
        <f t="shared" si="80"/>
        <v>0.75555555555555554</v>
      </c>
      <c r="R116" s="17">
        <f t="shared" si="81"/>
        <v>1.4</v>
      </c>
      <c r="S116" s="33">
        <f t="shared" si="82"/>
        <v>0.53968253968253965</v>
      </c>
      <c r="T116" s="12">
        <v>36</v>
      </c>
      <c r="U116" s="12">
        <v>81</v>
      </c>
      <c r="V116" s="17">
        <f t="shared" si="83"/>
        <v>0.8</v>
      </c>
      <c r="W116" s="17">
        <f t="shared" si="84"/>
        <v>1.8</v>
      </c>
      <c r="X116" s="33">
        <f t="shared" si="85"/>
        <v>0.44444444444444442</v>
      </c>
      <c r="Y116" s="12">
        <v>8</v>
      </c>
      <c r="Z116" s="12">
        <v>12</v>
      </c>
      <c r="AA116" s="17">
        <f t="shared" si="86"/>
        <v>0.17777777777777778</v>
      </c>
      <c r="AB116" s="17">
        <f t="shared" si="87"/>
        <v>0.26666666666666666</v>
      </c>
      <c r="AC116" s="33">
        <f t="shared" si="88"/>
        <v>0.66666666666666663</v>
      </c>
      <c r="AD116" s="12">
        <v>63</v>
      </c>
      <c r="AE116" s="17">
        <f t="shared" si="89"/>
        <v>1.4</v>
      </c>
      <c r="AF116" s="12">
        <v>10</v>
      </c>
      <c r="AG116" s="17">
        <f t="shared" si="90"/>
        <v>0.22222222222222221</v>
      </c>
      <c r="AH116" s="12">
        <v>53</v>
      </c>
      <c r="AI116" s="17">
        <f t="shared" si="91"/>
        <v>1.1777777777777778</v>
      </c>
      <c r="AJ116" s="12">
        <v>25</v>
      </c>
      <c r="AK116" s="17">
        <f t="shared" si="92"/>
        <v>0.55555555555555558</v>
      </c>
      <c r="AL116" s="12">
        <v>22</v>
      </c>
      <c r="AM116" s="17">
        <f t="shared" si="93"/>
        <v>0.48888888888888887</v>
      </c>
      <c r="AN116" s="12">
        <v>11</v>
      </c>
      <c r="AO116" s="17">
        <f t="shared" si="94"/>
        <v>0.24444444444444444</v>
      </c>
      <c r="AP116" s="12">
        <v>18</v>
      </c>
      <c r="AQ116" s="17">
        <f t="shared" si="95"/>
        <v>0.4</v>
      </c>
      <c r="AR116" s="12">
        <v>84</v>
      </c>
      <c r="AS116" s="17">
        <f t="shared" si="96"/>
        <v>1.8666666666666667</v>
      </c>
      <c r="AT116" s="13">
        <v>0.88571429316571726</v>
      </c>
      <c r="AU116" s="13">
        <v>5.4928018180819681E-2</v>
      </c>
      <c r="AV116" s="13">
        <v>0.72503932898756029</v>
      </c>
      <c r="AW116" s="13">
        <v>0.16067496417815699</v>
      </c>
      <c r="AX116" s="13">
        <v>114.33481779633432</v>
      </c>
      <c r="AY116" s="13">
        <v>111.80088289316706</v>
      </c>
      <c r="AZ116" s="13">
        <v>5.6160887184410502</v>
      </c>
      <c r="BA116" s="13">
        <v>4.6444444444444448</v>
      </c>
      <c r="BB116" s="13">
        <v>12.961240310077519</v>
      </c>
      <c r="BC116" s="14">
        <v>0.6162915326902465</v>
      </c>
      <c r="BD116" s="14">
        <v>0.61111111111111116</v>
      </c>
      <c r="BE116" s="13">
        <v>10.425478519990893</v>
      </c>
      <c r="BF116" s="14">
        <v>0.5625</v>
      </c>
      <c r="BG116" s="14">
        <v>8.3333333333333329E-2</v>
      </c>
      <c r="BH116" s="13">
        <v>1.4828361713170055</v>
      </c>
      <c r="BI116" s="13">
        <v>7.8590317079801295</v>
      </c>
      <c r="BJ116" s="13">
        <v>4.3637119257476318</v>
      </c>
      <c r="BK116" s="13">
        <v>5.0386294927779645</v>
      </c>
      <c r="BL116" s="13">
        <v>1.9219226983547131</v>
      </c>
      <c r="BM116" s="13">
        <v>1.5766653527788728</v>
      </c>
      <c r="BN116" s="13">
        <v>10.760401721664275</v>
      </c>
      <c r="BO116" s="15" t="s">
        <v>187</v>
      </c>
      <c r="BP116" s="15">
        <v>600000</v>
      </c>
      <c r="BQ116" s="12" t="s">
        <v>273</v>
      </c>
      <c r="BR116" s="26">
        <v>390.03</v>
      </c>
      <c r="BS116" s="27">
        <v>489.73</v>
      </c>
      <c r="BT116" s="27">
        <v>99.7</v>
      </c>
      <c r="BU116" s="26">
        <f t="shared" si="71"/>
        <v>8.6673333333333336</v>
      </c>
      <c r="BV116" s="26">
        <f t="shared" si="72"/>
        <v>10.882888888888889</v>
      </c>
      <c r="BW116" s="26">
        <f t="shared" si="72"/>
        <v>2.2155555555555555</v>
      </c>
      <c r="BX116" s="31">
        <f t="shared" si="73"/>
        <v>24.191657621336642</v>
      </c>
      <c r="BY116" s="31">
        <f t="shared" si="74"/>
        <v>30.375562102651575</v>
      </c>
      <c r="BZ116" s="31">
        <f t="shared" si="75"/>
        <v>6.1839044813149329</v>
      </c>
      <c r="CA116" s="35">
        <v>23</v>
      </c>
      <c r="CB116" s="35">
        <v>22</v>
      </c>
    </row>
    <row r="117" spans="1:80" x14ac:dyDescent="0.4">
      <c r="A117" s="12" t="s">
        <v>191</v>
      </c>
      <c r="B117" s="12" t="s">
        <v>197</v>
      </c>
      <c r="C117" s="4" t="s">
        <v>138</v>
      </c>
      <c r="D117" s="32">
        <v>45</v>
      </c>
      <c r="E117" s="24">
        <v>11</v>
      </c>
      <c r="F117" s="24">
        <v>55</v>
      </c>
      <c r="G117" s="10">
        <v>32184</v>
      </c>
      <c r="H117" s="5">
        <v>165</v>
      </c>
      <c r="I117" s="17">
        <f t="shared" si="76"/>
        <v>3.6666666666666665</v>
      </c>
      <c r="J117" s="7">
        <v>68</v>
      </c>
      <c r="K117" s="7">
        <v>132</v>
      </c>
      <c r="L117" s="17">
        <f t="shared" si="77"/>
        <v>1.5111111111111111</v>
      </c>
      <c r="M117" s="17">
        <f t="shared" si="78"/>
        <v>2.9333333333333331</v>
      </c>
      <c r="N117" s="33">
        <f t="shared" si="79"/>
        <v>0.51515151515151514</v>
      </c>
      <c r="O117" s="12">
        <v>56</v>
      </c>
      <c r="P117" s="12">
        <v>96</v>
      </c>
      <c r="Q117" s="17">
        <f t="shared" si="80"/>
        <v>1.2444444444444445</v>
      </c>
      <c r="R117" s="17">
        <f t="shared" si="81"/>
        <v>2.1333333333333333</v>
      </c>
      <c r="S117" s="33">
        <f t="shared" si="82"/>
        <v>0.58333333333333337</v>
      </c>
      <c r="T117" s="12">
        <v>12</v>
      </c>
      <c r="U117" s="12">
        <v>36</v>
      </c>
      <c r="V117" s="17">
        <f t="shared" si="83"/>
        <v>0.26666666666666666</v>
      </c>
      <c r="W117" s="17">
        <f t="shared" si="84"/>
        <v>0.8</v>
      </c>
      <c r="X117" s="33">
        <f t="shared" si="85"/>
        <v>0.33333333333333331</v>
      </c>
      <c r="Y117" s="12">
        <v>17</v>
      </c>
      <c r="Z117" s="12">
        <v>28</v>
      </c>
      <c r="AA117" s="17">
        <f t="shared" si="86"/>
        <v>0.37777777777777777</v>
      </c>
      <c r="AB117" s="17">
        <f t="shared" si="87"/>
        <v>0.62222222222222223</v>
      </c>
      <c r="AC117" s="33">
        <f t="shared" si="88"/>
        <v>0.6071428571428571</v>
      </c>
      <c r="AD117" s="12">
        <v>117</v>
      </c>
      <c r="AE117" s="17">
        <f t="shared" si="89"/>
        <v>2.6</v>
      </c>
      <c r="AF117" s="12">
        <v>38</v>
      </c>
      <c r="AG117" s="17">
        <f t="shared" si="90"/>
        <v>0.84444444444444444</v>
      </c>
      <c r="AH117" s="12">
        <v>79</v>
      </c>
      <c r="AI117" s="17">
        <f t="shared" si="91"/>
        <v>1.7555555555555555</v>
      </c>
      <c r="AJ117" s="12">
        <v>24</v>
      </c>
      <c r="AK117" s="17">
        <f t="shared" si="92"/>
        <v>0.53333333333333333</v>
      </c>
      <c r="AL117" s="12">
        <v>16</v>
      </c>
      <c r="AM117" s="17">
        <f t="shared" si="93"/>
        <v>0.35555555555555557</v>
      </c>
      <c r="AN117" s="12">
        <v>17</v>
      </c>
      <c r="AO117" s="17">
        <f t="shared" si="94"/>
        <v>0.37777777777777777</v>
      </c>
      <c r="AP117" s="12">
        <v>13</v>
      </c>
      <c r="AQ117" s="17">
        <f t="shared" si="95"/>
        <v>0.28888888888888886</v>
      </c>
      <c r="AR117" s="12">
        <v>64</v>
      </c>
      <c r="AS117" s="17">
        <f t="shared" si="96"/>
        <v>1.4222222222222223</v>
      </c>
      <c r="AT117" s="13">
        <v>1.6724150782297715</v>
      </c>
      <c r="AU117" s="13">
        <v>0.12474891026422538</v>
      </c>
      <c r="AV117" s="13">
        <v>0.8606950548137251</v>
      </c>
      <c r="AW117" s="13">
        <v>0.81172002341604654</v>
      </c>
      <c r="AX117" s="13">
        <v>116.92752552246721</v>
      </c>
      <c r="AY117" s="13">
        <v>100.53512581927092</v>
      </c>
      <c r="AZ117" s="13">
        <v>8.5837494421741507</v>
      </c>
      <c r="BA117" s="13">
        <v>5.5777777777777775</v>
      </c>
      <c r="BB117" s="13">
        <v>18.722610722610721</v>
      </c>
      <c r="BC117" s="14">
        <v>0.57164634146341464</v>
      </c>
      <c r="BD117" s="14">
        <v>0.56060606060606055</v>
      </c>
      <c r="BE117" s="13">
        <v>11.793109341883728</v>
      </c>
      <c r="BF117" s="14">
        <v>0.27272727272727271</v>
      </c>
      <c r="BG117" s="14">
        <v>0.21212121212121213</v>
      </c>
      <c r="BH117" s="13">
        <v>6.7774945564531102</v>
      </c>
      <c r="BI117" s="13">
        <v>14.090054472626203</v>
      </c>
      <c r="BJ117" s="13">
        <v>9.7475123536180863</v>
      </c>
      <c r="BK117" s="13">
        <v>5.9596482152095192</v>
      </c>
      <c r="BL117" s="13">
        <v>1.6812241785989099</v>
      </c>
      <c r="BM117" s="13">
        <v>2.9308134084713435</v>
      </c>
      <c r="BN117" s="13">
        <v>8.2634121535723377</v>
      </c>
      <c r="BO117" s="15" t="s">
        <v>187</v>
      </c>
      <c r="BP117" s="15">
        <v>15629</v>
      </c>
      <c r="BQ117" s="12" t="s">
        <v>272</v>
      </c>
      <c r="BR117" s="26">
        <v>414.2</v>
      </c>
      <c r="BS117" s="27">
        <v>504.1</v>
      </c>
      <c r="BT117" s="27">
        <v>89.9</v>
      </c>
      <c r="BU117" s="26">
        <f t="shared" si="71"/>
        <v>9.2044444444444444</v>
      </c>
      <c r="BV117" s="26">
        <f t="shared" si="72"/>
        <v>11.202222222222222</v>
      </c>
      <c r="BW117" s="26">
        <f t="shared" si="72"/>
        <v>1.9977777777777779</v>
      </c>
      <c r="BX117" s="31">
        <f t="shared" si="73"/>
        <v>30.887397464578676</v>
      </c>
      <c r="BY117" s="31">
        <f t="shared" si="74"/>
        <v>37.591349739000748</v>
      </c>
      <c r="BZ117" s="31">
        <f t="shared" si="75"/>
        <v>6.7039522744220728</v>
      </c>
      <c r="CA117" s="34">
        <v>29</v>
      </c>
      <c r="CB117" s="34">
        <v>16</v>
      </c>
    </row>
    <row r="118" spans="1:80" x14ac:dyDescent="0.4">
      <c r="A118" s="12" t="s">
        <v>191</v>
      </c>
      <c r="B118" s="12" t="s">
        <v>197</v>
      </c>
      <c r="C118" s="4" t="s">
        <v>239</v>
      </c>
      <c r="D118" s="5">
        <v>2</v>
      </c>
      <c r="E118" s="22">
        <v>20</v>
      </c>
      <c r="F118" s="22">
        <v>37</v>
      </c>
      <c r="G118" s="10">
        <v>2473</v>
      </c>
      <c r="H118" s="5">
        <v>9</v>
      </c>
      <c r="I118" s="17">
        <f t="shared" si="76"/>
        <v>4.5</v>
      </c>
      <c r="J118" s="7">
        <v>2</v>
      </c>
      <c r="K118" s="7">
        <v>13</v>
      </c>
      <c r="L118" s="17">
        <f t="shared" si="77"/>
        <v>1</v>
      </c>
      <c r="M118" s="17">
        <f t="shared" si="78"/>
        <v>6.5</v>
      </c>
      <c r="N118" s="33">
        <f t="shared" si="79"/>
        <v>0.15384615384615385</v>
      </c>
      <c r="O118" s="12">
        <v>1</v>
      </c>
      <c r="P118" s="12">
        <v>4</v>
      </c>
      <c r="Q118" s="17">
        <f t="shared" si="80"/>
        <v>0.5</v>
      </c>
      <c r="R118" s="17">
        <f t="shared" si="81"/>
        <v>2</v>
      </c>
      <c r="S118" s="33">
        <f t="shared" si="82"/>
        <v>0.25</v>
      </c>
      <c r="T118" s="12">
        <v>1</v>
      </c>
      <c r="U118" s="12">
        <v>9</v>
      </c>
      <c r="V118" s="17">
        <f t="shared" si="83"/>
        <v>0.5</v>
      </c>
      <c r="W118" s="17">
        <f t="shared" si="84"/>
        <v>4.5</v>
      </c>
      <c r="X118" s="33">
        <f t="shared" si="85"/>
        <v>0.1111111111111111</v>
      </c>
      <c r="Y118" s="12">
        <v>4</v>
      </c>
      <c r="Z118" s="12">
        <v>6</v>
      </c>
      <c r="AA118" s="17">
        <f t="shared" si="86"/>
        <v>2</v>
      </c>
      <c r="AB118" s="17">
        <f t="shared" si="87"/>
        <v>3</v>
      </c>
      <c r="AC118" s="33">
        <f t="shared" si="88"/>
        <v>0.66666666666666663</v>
      </c>
      <c r="AD118" s="12">
        <v>4</v>
      </c>
      <c r="AE118" s="17">
        <f t="shared" si="89"/>
        <v>2</v>
      </c>
      <c r="AF118" s="12">
        <v>2</v>
      </c>
      <c r="AG118" s="17">
        <f t="shared" si="90"/>
        <v>1</v>
      </c>
      <c r="AH118" s="12">
        <v>2</v>
      </c>
      <c r="AI118" s="17">
        <f t="shared" si="91"/>
        <v>1</v>
      </c>
      <c r="AJ118" s="12">
        <v>5</v>
      </c>
      <c r="AK118" s="17">
        <f t="shared" si="92"/>
        <v>2.5</v>
      </c>
      <c r="AL118" s="12">
        <v>3</v>
      </c>
      <c r="AM118" s="17">
        <f t="shared" si="93"/>
        <v>1.5</v>
      </c>
      <c r="AN118" s="12">
        <v>0</v>
      </c>
      <c r="AO118" s="17">
        <f t="shared" si="94"/>
        <v>0</v>
      </c>
      <c r="AP118" s="12">
        <v>7</v>
      </c>
      <c r="AQ118" s="17">
        <f t="shared" si="95"/>
        <v>3.5</v>
      </c>
      <c r="AR118" s="12">
        <v>7</v>
      </c>
      <c r="AS118" s="17">
        <f t="shared" si="96"/>
        <v>3.5</v>
      </c>
      <c r="AT118" s="13">
        <v>-0.2032355337705718</v>
      </c>
      <c r="AU118" s="13">
        <v>-0.19715654044032832</v>
      </c>
      <c r="AV118" s="13">
        <v>-0.26446245900746218</v>
      </c>
      <c r="AW118" s="13">
        <v>6.122692523689037E-2</v>
      </c>
      <c r="AX118" s="13">
        <v>57.016541756268836</v>
      </c>
      <c r="AY118" s="13">
        <v>100.79263947338167</v>
      </c>
      <c r="AZ118" s="13">
        <v>-0.18100966901546456</v>
      </c>
      <c r="BA118" s="13">
        <v>0.5</v>
      </c>
      <c r="BB118" s="13">
        <v>0.97008892481810827</v>
      </c>
      <c r="BC118" s="14">
        <v>0.28772378516624042</v>
      </c>
      <c r="BD118" s="14">
        <v>0.19230769230769232</v>
      </c>
      <c r="BE118" s="13">
        <v>0.9809732213375425</v>
      </c>
      <c r="BF118" s="14">
        <v>0.69230769230769229</v>
      </c>
      <c r="BG118" s="14">
        <v>0.46153846153846156</v>
      </c>
      <c r="BH118" s="13">
        <v>0.20618255575305172</v>
      </c>
      <c r="BI118" s="13">
        <v>0.20618255575305172</v>
      </c>
      <c r="BJ118" s="13">
        <v>0.19262128067870107</v>
      </c>
      <c r="BK118" s="13">
        <v>0.61549193192659235</v>
      </c>
      <c r="BL118" s="13">
        <v>4.0996403556805721</v>
      </c>
      <c r="BM118" s="13">
        <v>0</v>
      </c>
      <c r="BN118" s="13">
        <v>30.918727915194346</v>
      </c>
      <c r="BO118" s="15" t="s">
        <v>187</v>
      </c>
      <c r="BP118" s="15">
        <v>50000</v>
      </c>
      <c r="BQ118" s="12" t="s">
        <v>271</v>
      </c>
      <c r="BR118" s="26">
        <v>12.5</v>
      </c>
      <c r="BS118" s="27">
        <v>34.799999999999997</v>
      </c>
      <c r="BT118" s="27">
        <v>22.3</v>
      </c>
      <c r="BU118" s="26">
        <f t="shared" si="71"/>
        <v>6.2499999999999982</v>
      </c>
      <c r="BV118" s="26">
        <f t="shared" si="72"/>
        <v>17.399999999999999</v>
      </c>
      <c r="BW118" s="26">
        <f t="shared" si="72"/>
        <v>11.15</v>
      </c>
      <c r="BX118" s="31">
        <f t="shared" si="73"/>
        <v>12.131014961585119</v>
      </c>
      <c r="BY118" s="31">
        <f t="shared" si="74"/>
        <v>33.772745653052972</v>
      </c>
      <c r="BZ118" s="31">
        <f t="shared" si="75"/>
        <v>21.641730691467853</v>
      </c>
      <c r="CA118" s="34">
        <v>1</v>
      </c>
      <c r="CB118" s="34">
        <v>1</v>
      </c>
    </row>
    <row r="119" spans="1:80" x14ac:dyDescent="0.4">
      <c r="A119" s="12" t="s">
        <v>191</v>
      </c>
      <c r="B119" s="12" t="s">
        <v>197</v>
      </c>
      <c r="C119" s="4" t="s">
        <v>98</v>
      </c>
      <c r="D119" s="32">
        <v>53</v>
      </c>
      <c r="E119" s="24">
        <v>15</v>
      </c>
      <c r="F119" s="24">
        <v>32</v>
      </c>
      <c r="G119" s="10">
        <v>49416</v>
      </c>
      <c r="H119" s="5">
        <v>171</v>
      </c>
      <c r="I119" s="17">
        <f t="shared" si="76"/>
        <v>3.2264150943396226</v>
      </c>
      <c r="J119" s="7">
        <v>58</v>
      </c>
      <c r="K119" s="7">
        <v>161</v>
      </c>
      <c r="L119" s="17">
        <f t="shared" si="77"/>
        <v>1.0943396226415094</v>
      </c>
      <c r="M119" s="17">
        <f t="shared" si="78"/>
        <v>3.0377358490566038</v>
      </c>
      <c r="N119" s="33">
        <f t="shared" si="79"/>
        <v>0.36024844720496896</v>
      </c>
      <c r="O119" s="12">
        <v>8</v>
      </c>
      <c r="P119" s="12">
        <v>26</v>
      </c>
      <c r="Q119" s="17">
        <f t="shared" si="80"/>
        <v>0.15094339622641509</v>
      </c>
      <c r="R119" s="17">
        <f t="shared" si="81"/>
        <v>0.49056603773584906</v>
      </c>
      <c r="S119" s="33">
        <f t="shared" si="82"/>
        <v>0.30769230769230771</v>
      </c>
      <c r="T119" s="12">
        <v>50</v>
      </c>
      <c r="U119" s="12">
        <v>135</v>
      </c>
      <c r="V119" s="17">
        <f t="shared" si="83"/>
        <v>0.94339622641509435</v>
      </c>
      <c r="W119" s="17">
        <f t="shared" si="84"/>
        <v>2.5471698113207548</v>
      </c>
      <c r="X119" s="33">
        <f t="shared" si="85"/>
        <v>0.37037037037037035</v>
      </c>
      <c r="Y119" s="12">
        <v>5</v>
      </c>
      <c r="Z119" s="12">
        <v>8</v>
      </c>
      <c r="AA119" s="17">
        <f t="shared" si="86"/>
        <v>9.4339622641509441E-2</v>
      </c>
      <c r="AB119" s="17">
        <f t="shared" si="87"/>
        <v>0.15094339622641509</v>
      </c>
      <c r="AC119" s="33">
        <f t="shared" si="88"/>
        <v>0.625</v>
      </c>
      <c r="AD119" s="12">
        <v>90</v>
      </c>
      <c r="AE119" s="17">
        <f t="shared" si="89"/>
        <v>1.6981132075471699</v>
      </c>
      <c r="AF119" s="12">
        <v>37</v>
      </c>
      <c r="AG119" s="17">
        <f t="shared" si="90"/>
        <v>0.69811320754716977</v>
      </c>
      <c r="AH119" s="12">
        <v>53</v>
      </c>
      <c r="AI119" s="17">
        <f t="shared" si="91"/>
        <v>1</v>
      </c>
      <c r="AJ119" s="12">
        <v>35</v>
      </c>
      <c r="AK119" s="17">
        <f t="shared" si="92"/>
        <v>0.660377358490566</v>
      </c>
      <c r="AL119" s="12">
        <v>32</v>
      </c>
      <c r="AM119" s="17">
        <f t="shared" si="93"/>
        <v>0.60377358490566035</v>
      </c>
      <c r="AN119" s="12">
        <v>3</v>
      </c>
      <c r="AO119" s="17">
        <f t="shared" si="94"/>
        <v>5.6603773584905662E-2</v>
      </c>
      <c r="AP119" s="12">
        <v>17</v>
      </c>
      <c r="AQ119" s="17">
        <f t="shared" si="95"/>
        <v>0.32075471698113206</v>
      </c>
      <c r="AR119" s="12">
        <v>112</v>
      </c>
      <c r="AS119" s="17">
        <f t="shared" si="96"/>
        <v>2.1132075471698113</v>
      </c>
      <c r="AT119" s="13">
        <v>1.4444332323361768</v>
      </c>
      <c r="AU119" s="13">
        <v>7.0180576516455262E-2</v>
      </c>
      <c r="AV119" s="13">
        <v>0.54769983637534092</v>
      </c>
      <c r="AW119" s="13">
        <v>0.8967333959608359</v>
      </c>
      <c r="AX119" s="13">
        <v>108.03689764067276</v>
      </c>
      <c r="AY119" s="13">
        <v>104.32935378319972</v>
      </c>
      <c r="AZ119" s="13">
        <v>4.5931727646396849</v>
      </c>
      <c r="BA119" s="13">
        <v>3.9245283018867925</v>
      </c>
      <c r="BB119" s="13">
        <v>10.106081464086161</v>
      </c>
      <c r="BC119" s="14">
        <v>0.51969365426695835</v>
      </c>
      <c r="BD119" s="14">
        <v>0.51552795031055898</v>
      </c>
      <c r="BE119" s="13">
        <v>10.439002456470417</v>
      </c>
      <c r="BF119" s="14">
        <v>0.83850931677018636</v>
      </c>
      <c r="BG119" s="14">
        <v>4.9689440993788817E-2</v>
      </c>
      <c r="BH119" s="13">
        <v>5.06264452481836</v>
      </c>
      <c r="BI119" s="13">
        <v>7.2518962112262999</v>
      </c>
      <c r="BJ119" s="13">
        <v>5.7522873331437205</v>
      </c>
      <c r="BK119" s="13">
        <v>6.2998740025199504</v>
      </c>
      <c r="BL119" s="13">
        <v>2.1901930498995839</v>
      </c>
      <c r="BM119" s="13">
        <v>0.39678078522917393</v>
      </c>
      <c r="BN119" s="13">
        <v>9.3653591890700749</v>
      </c>
      <c r="BO119" s="15" t="s">
        <v>187</v>
      </c>
      <c r="BP119" s="15">
        <v>45000</v>
      </c>
      <c r="BQ119" s="12" t="s">
        <v>271</v>
      </c>
      <c r="BR119" s="26">
        <v>467</v>
      </c>
      <c r="BS119" s="27">
        <v>589.4</v>
      </c>
      <c r="BT119" s="27">
        <v>122.4</v>
      </c>
      <c r="BU119" s="26">
        <f t="shared" si="71"/>
        <v>8.8113207547169807</v>
      </c>
      <c r="BV119" s="26">
        <f t="shared" si="72"/>
        <v>11.120754716981132</v>
      </c>
      <c r="BW119" s="26">
        <f t="shared" si="72"/>
        <v>2.3094339622641509</v>
      </c>
      <c r="BX119" s="31">
        <f t="shared" si="73"/>
        <v>22.680913064594463</v>
      </c>
      <c r="BY119" s="31">
        <f t="shared" si="74"/>
        <v>28.625546381738708</v>
      </c>
      <c r="BZ119" s="31">
        <f t="shared" si="75"/>
        <v>5.9446333171442447</v>
      </c>
      <c r="CA119" s="34">
        <v>34</v>
      </c>
      <c r="CB119" s="34">
        <v>19</v>
      </c>
    </row>
    <row r="120" spans="1:80" x14ac:dyDescent="0.4">
      <c r="A120" s="12" t="s">
        <v>191</v>
      </c>
      <c r="B120" s="12" t="s">
        <v>197</v>
      </c>
      <c r="C120" s="4" t="s">
        <v>92</v>
      </c>
      <c r="D120" s="32">
        <v>44</v>
      </c>
      <c r="E120" s="24">
        <v>11</v>
      </c>
      <c r="F120" s="24">
        <v>11</v>
      </c>
      <c r="G120" s="10">
        <v>29528</v>
      </c>
      <c r="H120" s="5">
        <v>149</v>
      </c>
      <c r="I120" s="17">
        <f t="shared" si="76"/>
        <v>3.3863636363636362</v>
      </c>
      <c r="J120" s="7">
        <v>63</v>
      </c>
      <c r="K120" s="7">
        <v>138</v>
      </c>
      <c r="L120" s="17">
        <f t="shared" si="77"/>
        <v>1.4318181818181819</v>
      </c>
      <c r="M120" s="17">
        <f t="shared" si="78"/>
        <v>3.1363636363636362</v>
      </c>
      <c r="N120" s="33">
        <f t="shared" si="79"/>
        <v>0.45652173913043476</v>
      </c>
      <c r="O120" s="12">
        <v>63</v>
      </c>
      <c r="P120" s="12">
        <v>138</v>
      </c>
      <c r="Q120" s="17">
        <f t="shared" si="80"/>
        <v>1.4318181818181819</v>
      </c>
      <c r="R120" s="17">
        <f t="shared" si="81"/>
        <v>3.1363636363636362</v>
      </c>
      <c r="S120" s="33">
        <f t="shared" si="82"/>
        <v>0.45652173913043476</v>
      </c>
      <c r="T120" s="12">
        <v>0</v>
      </c>
      <c r="U120" s="12">
        <v>0</v>
      </c>
      <c r="V120" s="17">
        <f t="shared" si="83"/>
        <v>0</v>
      </c>
      <c r="W120" s="17">
        <f t="shared" si="84"/>
        <v>0</v>
      </c>
      <c r="X120" s="33" t="e">
        <f t="shared" si="85"/>
        <v>#DIV/0!</v>
      </c>
      <c r="Y120" s="12">
        <v>23</v>
      </c>
      <c r="Z120" s="12">
        <v>30</v>
      </c>
      <c r="AA120" s="17">
        <f t="shared" si="86"/>
        <v>0.52272727272727271</v>
      </c>
      <c r="AB120" s="17">
        <f t="shared" si="87"/>
        <v>0.68181818181818177</v>
      </c>
      <c r="AC120" s="33">
        <f t="shared" si="88"/>
        <v>0.76666666666666672</v>
      </c>
      <c r="AD120" s="12">
        <v>115</v>
      </c>
      <c r="AE120" s="17">
        <f t="shared" si="89"/>
        <v>2.6136363636363638</v>
      </c>
      <c r="AF120" s="12">
        <v>28</v>
      </c>
      <c r="AG120" s="17">
        <f t="shared" si="90"/>
        <v>0.63636363636363635</v>
      </c>
      <c r="AH120" s="12">
        <v>87</v>
      </c>
      <c r="AI120" s="17">
        <f t="shared" si="91"/>
        <v>1.9772727272727273</v>
      </c>
      <c r="AJ120" s="12">
        <v>14</v>
      </c>
      <c r="AK120" s="17">
        <f t="shared" si="92"/>
        <v>0.31818181818181818</v>
      </c>
      <c r="AL120" s="12">
        <v>5</v>
      </c>
      <c r="AM120" s="17">
        <f t="shared" si="93"/>
        <v>0.11363636363636363</v>
      </c>
      <c r="AN120" s="12">
        <v>13</v>
      </c>
      <c r="AO120" s="17">
        <f t="shared" si="94"/>
        <v>0.29545454545454547</v>
      </c>
      <c r="AP120" s="12">
        <v>12</v>
      </c>
      <c r="AQ120" s="17">
        <f t="shared" si="95"/>
        <v>0.27272727272727271</v>
      </c>
      <c r="AR120" s="12">
        <v>47</v>
      </c>
      <c r="AS120" s="17">
        <f t="shared" si="96"/>
        <v>1.0681818181818181</v>
      </c>
      <c r="AT120" s="13">
        <v>0.90226726944233393</v>
      </c>
      <c r="AU120" s="13">
        <v>7.3345124192575578E-2</v>
      </c>
      <c r="AV120" s="13">
        <v>0.25126022355488514</v>
      </c>
      <c r="AW120" s="13">
        <v>0.65100704588744873</v>
      </c>
      <c r="AX120" s="13">
        <v>102.90414195986783</v>
      </c>
      <c r="AY120" s="13">
        <v>102.23970999584384</v>
      </c>
      <c r="AZ120" s="13">
        <v>6.4619593253226144</v>
      </c>
      <c r="BA120" s="13">
        <v>4.5909090909090908</v>
      </c>
      <c r="BB120" s="13">
        <v>16.420539222327598</v>
      </c>
      <c r="BC120" s="14">
        <v>0.49272486772486779</v>
      </c>
      <c r="BD120" s="14">
        <v>0.45652173913043476</v>
      </c>
      <c r="BE120" s="13">
        <v>13.036111413168793</v>
      </c>
      <c r="BF120" s="14">
        <v>0</v>
      </c>
      <c r="BG120" s="14">
        <v>0.21739130434782608</v>
      </c>
      <c r="BH120" s="13">
        <v>5.3214150529528315</v>
      </c>
      <c r="BI120" s="13">
        <v>16.534396771674867</v>
      </c>
      <c r="BJ120" s="13">
        <v>10.20914317546521</v>
      </c>
      <c r="BK120" s="13">
        <v>3.6964509670179759</v>
      </c>
      <c r="BL120" s="13">
        <v>0.57255736801436885</v>
      </c>
      <c r="BM120" s="13">
        <v>2.3881748603262154</v>
      </c>
      <c r="BN120" s="13">
        <v>7.3529411764705888</v>
      </c>
      <c r="BO120" s="15" t="s">
        <v>187</v>
      </c>
      <c r="BP120" s="15"/>
      <c r="BQ120" s="12" t="s">
        <v>272</v>
      </c>
      <c r="BR120" s="26">
        <v>342.93</v>
      </c>
      <c r="BS120" s="27">
        <v>441.53</v>
      </c>
      <c r="BT120" s="27">
        <v>98.6</v>
      </c>
      <c r="BU120" s="26">
        <f t="shared" si="71"/>
        <v>7.7938636363636355</v>
      </c>
      <c r="BV120" s="26">
        <f t="shared" si="72"/>
        <v>10.034772727272726</v>
      </c>
      <c r="BW120" s="26">
        <f t="shared" si="72"/>
        <v>2.2409090909090907</v>
      </c>
      <c r="BX120" s="31">
        <f t="shared" si="73"/>
        <v>27.872934164183146</v>
      </c>
      <c r="BY120" s="31">
        <f t="shared" si="74"/>
        <v>35.887022487130857</v>
      </c>
      <c r="BZ120" s="31">
        <f t="shared" si="75"/>
        <v>8.0140883229477105</v>
      </c>
      <c r="CA120" s="34">
        <v>29</v>
      </c>
      <c r="CB120" s="34">
        <v>15</v>
      </c>
    </row>
    <row r="121" spans="1:80" x14ac:dyDescent="0.4">
      <c r="A121" s="12" t="s">
        <v>191</v>
      </c>
      <c r="B121" s="12" t="s">
        <v>197</v>
      </c>
      <c r="C121" s="4" t="s">
        <v>126</v>
      </c>
      <c r="D121" s="5">
        <v>2</v>
      </c>
      <c r="E121" s="22">
        <v>12</v>
      </c>
      <c r="F121" s="22">
        <v>0</v>
      </c>
      <c r="G121" s="10">
        <v>1439</v>
      </c>
      <c r="H121" s="5">
        <v>3</v>
      </c>
      <c r="I121" s="17">
        <f t="shared" si="76"/>
        <v>1.5</v>
      </c>
      <c r="J121" s="7">
        <v>1</v>
      </c>
      <c r="K121" s="7">
        <v>6</v>
      </c>
      <c r="L121" s="17">
        <f t="shared" si="77"/>
        <v>0.5</v>
      </c>
      <c r="M121" s="17">
        <f t="shared" si="78"/>
        <v>3</v>
      </c>
      <c r="N121" s="33">
        <f t="shared" si="79"/>
        <v>0.16666666666666666</v>
      </c>
      <c r="O121" s="12">
        <v>0</v>
      </c>
      <c r="P121" s="12">
        <v>4</v>
      </c>
      <c r="Q121" s="17">
        <f t="shared" si="80"/>
        <v>0</v>
      </c>
      <c r="R121" s="17">
        <f t="shared" si="81"/>
        <v>2</v>
      </c>
      <c r="S121" s="33">
        <f t="shared" si="82"/>
        <v>0</v>
      </c>
      <c r="T121" s="12">
        <v>1</v>
      </c>
      <c r="U121" s="12">
        <v>2</v>
      </c>
      <c r="V121" s="17">
        <f t="shared" si="83"/>
        <v>0.5</v>
      </c>
      <c r="W121" s="17">
        <f t="shared" si="84"/>
        <v>1</v>
      </c>
      <c r="X121" s="33">
        <f t="shared" si="85"/>
        <v>0.5</v>
      </c>
      <c r="Y121" s="12">
        <v>0</v>
      </c>
      <c r="Z121" s="12">
        <v>0</v>
      </c>
      <c r="AA121" s="17">
        <f t="shared" si="86"/>
        <v>0</v>
      </c>
      <c r="AB121" s="17">
        <f t="shared" si="87"/>
        <v>0</v>
      </c>
      <c r="AC121" s="33" t="e">
        <f t="shared" si="88"/>
        <v>#DIV/0!</v>
      </c>
      <c r="AD121" s="12">
        <v>7</v>
      </c>
      <c r="AE121" s="17">
        <f t="shared" si="89"/>
        <v>3.5</v>
      </c>
      <c r="AF121" s="12">
        <v>1</v>
      </c>
      <c r="AG121" s="17">
        <f t="shared" si="90"/>
        <v>0.5</v>
      </c>
      <c r="AH121" s="12">
        <v>6</v>
      </c>
      <c r="AI121" s="17">
        <f t="shared" si="91"/>
        <v>3</v>
      </c>
      <c r="AJ121" s="12">
        <v>0</v>
      </c>
      <c r="AK121" s="17">
        <f t="shared" si="92"/>
        <v>0</v>
      </c>
      <c r="AL121" s="12">
        <v>0</v>
      </c>
      <c r="AM121" s="17">
        <f t="shared" si="93"/>
        <v>0</v>
      </c>
      <c r="AN121" s="12">
        <v>0</v>
      </c>
      <c r="AO121" s="17">
        <f t="shared" si="94"/>
        <v>0</v>
      </c>
      <c r="AP121" s="12">
        <v>1</v>
      </c>
      <c r="AQ121" s="17">
        <f t="shared" si="95"/>
        <v>0.5</v>
      </c>
      <c r="AR121" s="12">
        <v>1</v>
      </c>
      <c r="AS121" s="17">
        <f t="shared" si="96"/>
        <v>0.5</v>
      </c>
      <c r="AT121" s="13">
        <v>-0.1329759388873934</v>
      </c>
      <c r="AU121" s="13">
        <v>-0.22162656481232235</v>
      </c>
      <c r="AV121" s="13">
        <v>-0.16434359611774071</v>
      </c>
      <c r="AW121" s="13">
        <v>3.1367657230347332E-2</v>
      </c>
      <c r="AX121" s="13">
        <v>36.501341007815583</v>
      </c>
      <c r="AY121" s="13">
        <v>102.3829129652231</v>
      </c>
      <c r="AZ121" s="13">
        <v>-7.4463790694068695E-3</v>
      </c>
      <c r="BA121" s="13">
        <v>2</v>
      </c>
      <c r="BB121" s="13">
        <v>6.6666666666666661</v>
      </c>
      <c r="BC121" s="14">
        <v>0.25</v>
      </c>
      <c r="BD121" s="14">
        <v>0.25</v>
      </c>
      <c r="BE121" s="13">
        <v>0.52109388027347003</v>
      </c>
      <c r="BF121" s="14">
        <v>0.33333333333333331</v>
      </c>
      <c r="BG121" s="14">
        <v>0</v>
      </c>
      <c r="BH121" s="13">
        <v>0.17711654268508678</v>
      </c>
      <c r="BI121" s="13">
        <v>1.0626992561105209</v>
      </c>
      <c r="BJ121" s="13">
        <v>0.57913460742946965</v>
      </c>
      <c r="BK121" s="13">
        <v>0</v>
      </c>
      <c r="BL121" s="13">
        <v>0</v>
      </c>
      <c r="BM121" s="13">
        <v>0</v>
      </c>
      <c r="BN121" s="13">
        <v>14.285714285714286</v>
      </c>
      <c r="BO121" s="15" t="s">
        <v>187</v>
      </c>
      <c r="BP121" s="15">
        <v>250000</v>
      </c>
      <c r="BQ121" s="12" t="s">
        <v>273</v>
      </c>
      <c r="BR121" s="26">
        <v>10.1</v>
      </c>
      <c r="BS121" s="27">
        <v>16.5</v>
      </c>
      <c r="BT121" s="27">
        <v>6.4</v>
      </c>
      <c r="BU121" s="26">
        <f t="shared" si="71"/>
        <v>5.05</v>
      </c>
      <c r="BV121" s="26">
        <f t="shared" si="72"/>
        <v>8.25</v>
      </c>
      <c r="BW121" s="26">
        <f t="shared" si="72"/>
        <v>3.2</v>
      </c>
      <c r="BX121" s="31">
        <f t="shared" si="73"/>
        <v>16.845031271716472</v>
      </c>
      <c r="BY121" s="31">
        <f t="shared" si="74"/>
        <v>27.519110493398195</v>
      </c>
      <c r="BZ121" s="31">
        <f t="shared" si="75"/>
        <v>10.674079221681723</v>
      </c>
      <c r="CA121" s="34">
        <v>2</v>
      </c>
      <c r="CB121" s="34">
        <v>0</v>
      </c>
    </row>
    <row r="122" spans="1:80" x14ac:dyDescent="0.4">
      <c r="A122" s="12" t="s">
        <v>191</v>
      </c>
      <c r="B122" s="12" t="s">
        <v>197</v>
      </c>
      <c r="C122" s="8" t="s">
        <v>203</v>
      </c>
      <c r="D122" s="5">
        <v>48</v>
      </c>
      <c r="E122" s="22">
        <v>21</v>
      </c>
      <c r="F122" s="22">
        <v>48</v>
      </c>
      <c r="G122" s="10">
        <v>62761</v>
      </c>
      <c r="H122" s="5">
        <v>363</v>
      </c>
      <c r="I122" s="17">
        <f t="shared" si="76"/>
        <v>7.5625</v>
      </c>
      <c r="J122" s="7">
        <v>144</v>
      </c>
      <c r="K122" s="7">
        <v>309</v>
      </c>
      <c r="L122" s="17">
        <f t="shared" si="77"/>
        <v>3</v>
      </c>
      <c r="M122" s="17">
        <f t="shared" si="78"/>
        <v>6.4375</v>
      </c>
      <c r="N122" s="33">
        <f t="shared" si="79"/>
        <v>0.46601941747572817</v>
      </c>
      <c r="O122" s="12">
        <v>109</v>
      </c>
      <c r="P122" s="12">
        <v>183</v>
      </c>
      <c r="Q122" s="17">
        <f t="shared" si="80"/>
        <v>2.2708333333333335</v>
      </c>
      <c r="R122" s="17">
        <f t="shared" si="81"/>
        <v>3.8125</v>
      </c>
      <c r="S122" s="33">
        <f t="shared" si="82"/>
        <v>0.59562841530054644</v>
      </c>
      <c r="T122" s="12">
        <v>35</v>
      </c>
      <c r="U122" s="12">
        <v>126</v>
      </c>
      <c r="V122" s="17">
        <f t="shared" si="83"/>
        <v>0.72916666666666663</v>
      </c>
      <c r="W122" s="17">
        <f t="shared" si="84"/>
        <v>2.625</v>
      </c>
      <c r="X122" s="33">
        <f t="shared" si="85"/>
        <v>0.27777777777777779</v>
      </c>
      <c r="Y122" s="12">
        <v>40</v>
      </c>
      <c r="Z122" s="12">
        <v>64</v>
      </c>
      <c r="AA122" s="17">
        <f t="shared" si="86"/>
        <v>0.83333333333333337</v>
      </c>
      <c r="AB122" s="17">
        <f t="shared" si="87"/>
        <v>1.3333333333333333</v>
      </c>
      <c r="AC122" s="33">
        <f t="shared" si="88"/>
        <v>0.625</v>
      </c>
      <c r="AD122" s="12">
        <v>178</v>
      </c>
      <c r="AE122" s="17">
        <f t="shared" si="89"/>
        <v>3.7083333333333335</v>
      </c>
      <c r="AF122" s="12">
        <v>47</v>
      </c>
      <c r="AG122" s="17">
        <f t="shared" si="90"/>
        <v>0.97916666666666663</v>
      </c>
      <c r="AH122" s="12">
        <v>131</v>
      </c>
      <c r="AI122" s="17">
        <f t="shared" si="91"/>
        <v>2.7291666666666665</v>
      </c>
      <c r="AJ122" s="12">
        <v>59</v>
      </c>
      <c r="AK122" s="17">
        <f t="shared" si="92"/>
        <v>1.2291666666666667</v>
      </c>
      <c r="AL122" s="12">
        <v>34</v>
      </c>
      <c r="AM122" s="17">
        <f t="shared" si="93"/>
        <v>0.70833333333333337</v>
      </c>
      <c r="AN122" s="12">
        <v>44</v>
      </c>
      <c r="AO122" s="17">
        <f t="shared" si="94"/>
        <v>0.91666666666666663</v>
      </c>
      <c r="AP122" s="12">
        <v>68</v>
      </c>
      <c r="AQ122" s="17">
        <f t="shared" si="95"/>
        <v>1.4166666666666667</v>
      </c>
      <c r="AR122" s="12">
        <v>65</v>
      </c>
      <c r="AS122" s="17">
        <f t="shared" si="96"/>
        <v>1.3541666666666667</v>
      </c>
      <c r="AT122" s="13">
        <v>1.5929405563682619</v>
      </c>
      <c r="AU122" s="13">
        <v>6.0892223102762301E-2</v>
      </c>
      <c r="AV122" s="13">
        <v>2.5315515461602527E-2</v>
      </c>
      <c r="AW122" s="13">
        <v>1.5676250409066594</v>
      </c>
      <c r="AX122" s="13">
        <v>97.395963817397018</v>
      </c>
      <c r="AY122" s="13">
        <v>100.67443436506241</v>
      </c>
      <c r="AZ122" s="13">
        <v>8.5998832549800692</v>
      </c>
      <c r="BA122" s="13">
        <v>8.7708333333333339</v>
      </c>
      <c r="BB122" s="13">
        <v>16.093272171253822</v>
      </c>
      <c r="BC122" s="14">
        <v>0.53832008541938536</v>
      </c>
      <c r="BD122" s="14">
        <v>0.52265372168284785</v>
      </c>
      <c r="BE122" s="13">
        <v>16.6023378661808</v>
      </c>
      <c r="BF122" s="14">
        <v>0.40776699029126212</v>
      </c>
      <c r="BG122" s="14">
        <v>0.20711974110032363</v>
      </c>
      <c r="BH122" s="13">
        <v>4.5822811960728878</v>
      </c>
      <c r="BI122" s="13">
        <v>12.771890142245706</v>
      </c>
      <c r="BJ122" s="13">
        <v>8.1063664578594175</v>
      </c>
      <c r="BK122" s="13">
        <v>8.2275833217124532</v>
      </c>
      <c r="BL122" s="13">
        <v>1.8308557815071089</v>
      </c>
      <c r="BM122" s="13">
        <v>4.1465816617426006</v>
      </c>
      <c r="BN122" s="13">
        <v>16.78349294106032</v>
      </c>
      <c r="BO122" s="15" t="s">
        <v>188</v>
      </c>
      <c r="BP122" s="15">
        <v>175000</v>
      </c>
      <c r="BQ122" s="12" t="s">
        <v>271</v>
      </c>
      <c r="BR122" s="26">
        <v>725.9</v>
      </c>
      <c r="BS122" s="27">
        <v>1003</v>
      </c>
      <c r="BT122" s="27">
        <v>277.10000000000002</v>
      </c>
      <c r="BU122" s="26">
        <f t="shared" si="71"/>
        <v>15.122916666666665</v>
      </c>
      <c r="BV122" s="26">
        <f t="shared" si="72"/>
        <v>20.895833333333332</v>
      </c>
      <c r="BW122" s="26">
        <f t="shared" si="72"/>
        <v>5.7729166666666671</v>
      </c>
      <c r="BX122" s="31">
        <f t="shared" si="73"/>
        <v>27.758639919695355</v>
      </c>
      <c r="BY122" s="31">
        <f t="shared" si="74"/>
        <v>38.355029397237139</v>
      </c>
      <c r="BZ122" s="31">
        <f t="shared" si="75"/>
        <v>10.596389477541786</v>
      </c>
      <c r="CA122" s="34">
        <v>30</v>
      </c>
      <c r="CB122" s="34">
        <v>18</v>
      </c>
    </row>
    <row r="123" spans="1:80" x14ac:dyDescent="0.4">
      <c r="A123" s="12" t="s">
        <v>191</v>
      </c>
      <c r="B123" s="12" t="s">
        <v>197</v>
      </c>
      <c r="C123" s="4" t="s">
        <v>213</v>
      </c>
      <c r="D123" s="5">
        <v>24</v>
      </c>
      <c r="E123" s="22">
        <v>23</v>
      </c>
      <c r="F123" s="22">
        <v>27</v>
      </c>
      <c r="G123" s="10">
        <v>33768</v>
      </c>
      <c r="H123" s="5">
        <v>219</v>
      </c>
      <c r="I123" s="17">
        <f t="shared" si="76"/>
        <v>9.125</v>
      </c>
      <c r="J123" s="7">
        <v>83</v>
      </c>
      <c r="K123" s="7">
        <v>186</v>
      </c>
      <c r="L123" s="17">
        <f t="shared" si="77"/>
        <v>3.4583333333333335</v>
      </c>
      <c r="M123" s="17">
        <f t="shared" si="78"/>
        <v>7.75</v>
      </c>
      <c r="N123" s="33">
        <f t="shared" si="79"/>
        <v>0.44623655913978494</v>
      </c>
      <c r="O123" s="12">
        <v>63</v>
      </c>
      <c r="P123" s="12">
        <v>123</v>
      </c>
      <c r="Q123" s="17">
        <f t="shared" si="80"/>
        <v>2.625</v>
      </c>
      <c r="R123" s="17">
        <f t="shared" si="81"/>
        <v>5.125</v>
      </c>
      <c r="S123" s="33">
        <f t="shared" si="82"/>
        <v>0.51219512195121952</v>
      </c>
      <c r="T123" s="12">
        <v>20</v>
      </c>
      <c r="U123" s="12">
        <v>63</v>
      </c>
      <c r="V123" s="17">
        <f t="shared" si="83"/>
        <v>0.83333333333333337</v>
      </c>
      <c r="W123" s="17">
        <f t="shared" si="84"/>
        <v>2.625</v>
      </c>
      <c r="X123" s="33">
        <f t="shared" si="85"/>
        <v>0.31746031746031744</v>
      </c>
      <c r="Y123" s="12">
        <v>33</v>
      </c>
      <c r="Z123" s="12">
        <v>50</v>
      </c>
      <c r="AA123" s="17">
        <f t="shared" si="86"/>
        <v>1.375</v>
      </c>
      <c r="AB123" s="17">
        <f t="shared" si="87"/>
        <v>2.0833333333333335</v>
      </c>
      <c r="AC123" s="33">
        <f t="shared" si="88"/>
        <v>0.66</v>
      </c>
      <c r="AD123" s="12">
        <v>89</v>
      </c>
      <c r="AE123" s="17">
        <f t="shared" si="89"/>
        <v>3.7083333333333335</v>
      </c>
      <c r="AF123" s="12">
        <v>22</v>
      </c>
      <c r="AG123" s="17">
        <f t="shared" si="90"/>
        <v>0.91666666666666663</v>
      </c>
      <c r="AH123" s="12">
        <v>67</v>
      </c>
      <c r="AI123" s="17">
        <f t="shared" si="91"/>
        <v>2.7916666666666665</v>
      </c>
      <c r="AJ123" s="12">
        <v>73</v>
      </c>
      <c r="AK123" s="17">
        <f t="shared" si="92"/>
        <v>3.0416666666666665</v>
      </c>
      <c r="AL123" s="12">
        <v>38</v>
      </c>
      <c r="AM123" s="17">
        <f t="shared" si="93"/>
        <v>1.5833333333333333</v>
      </c>
      <c r="AN123" s="12">
        <v>2</v>
      </c>
      <c r="AO123" s="17">
        <f t="shared" si="94"/>
        <v>8.3333333333333329E-2</v>
      </c>
      <c r="AP123" s="12">
        <v>33</v>
      </c>
      <c r="AQ123" s="17">
        <f t="shared" si="95"/>
        <v>1.375</v>
      </c>
      <c r="AR123" s="12">
        <v>48</v>
      </c>
      <c r="AS123" s="17">
        <f t="shared" si="96"/>
        <v>2</v>
      </c>
      <c r="AT123" s="13">
        <v>1.5377723180274026</v>
      </c>
      <c r="AU123" s="13">
        <v>0.10929440782000019</v>
      </c>
      <c r="AV123" s="13">
        <v>0.57262829346657951</v>
      </c>
      <c r="AW123" s="13">
        <v>0.96514402456082315</v>
      </c>
      <c r="AX123" s="13">
        <v>105.54559574256241</v>
      </c>
      <c r="AY123" s="13">
        <v>98.73660423783096</v>
      </c>
      <c r="AZ123" s="13">
        <v>5.3326039554748847</v>
      </c>
      <c r="BA123" s="13">
        <v>11.166666666666666</v>
      </c>
      <c r="BB123" s="13">
        <v>19.047619047619047</v>
      </c>
      <c r="BC123" s="14">
        <v>0.52644230769230771</v>
      </c>
      <c r="BD123" s="14">
        <v>0.5</v>
      </c>
      <c r="BE123" s="13">
        <v>9.1806488074984784</v>
      </c>
      <c r="BF123" s="14">
        <v>0.33870967741935482</v>
      </c>
      <c r="BG123" s="14">
        <v>0.26881720430107525</v>
      </c>
      <c r="BH123" s="13">
        <v>1.9939772822542821</v>
      </c>
      <c r="BI123" s="13">
        <v>6.0725671777744044</v>
      </c>
      <c r="BJ123" s="13">
        <v>3.7679912320114139</v>
      </c>
      <c r="BK123" s="13">
        <v>8.6567252675580324</v>
      </c>
      <c r="BL123" s="13">
        <v>3.8045426549617192</v>
      </c>
      <c r="BM123" s="13">
        <v>0.17521899636749116</v>
      </c>
      <c r="BN123" s="13">
        <v>13.692946058091286</v>
      </c>
      <c r="BO123" s="15" t="s">
        <v>187</v>
      </c>
      <c r="BP123" s="15">
        <v>370000</v>
      </c>
      <c r="BQ123" s="12" t="s">
        <v>271</v>
      </c>
      <c r="BR123" s="26">
        <v>447.4</v>
      </c>
      <c r="BS123" s="27">
        <v>609.20000000000005</v>
      </c>
      <c r="BT123" s="27">
        <v>161.80000000000001</v>
      </c>
      <c r="BU123" s="26">
        <f t="shared" si="71"/>
        <v>18.641666666666669</v>
      </c>
      <c r="BV123" s="26">
        <f t="shared" si="72"/>
        <v>25.383333333333336</v>
      </c>
      <c r="BW123" s="26">
        <f t="shared" si="72"/>
        <v>6.7416666666666671</v>
      </c>
      <c r="BX123" s="31">
        <f t="shared" si="73"/>
        <v>31.798152096659557</v>
      </c>
      <c r="BY123" s="31">
        <f t="shared" si="74"/>
        <v>43.297796730632548</v>
      </c>
      <c r="BZ123" s="31">
        <f t="shared" si="75"/>
        <v>11.499644633972991</v>
      </c>
      <c r="CA123" s="35">
        <v>16</v>
      </c>
      <c r="CB123" s="35">
        <v>8</v>
      </c>
    </row>
    <row r="124" spans="1:80" x14ac:dyDescent="0.4">
      <c r="A124" s="12" t="s">
        <v>191</v>
      </c>
      <c r="B124" s="12" t="s">
        <v>197</v>
      </c>
      <c r="C124" s="4" t="s">
        <v>173</v>
      </c>
      <c r="D124" s="5">
        <v>49</v>
      </c>
      <c r="E124" s="22">
        <v>20</v>
      </c>
      <c r="F124" s="22">
        <v>32</v>
      </c>
      <c r="G124" s="10">
        <v>60365</v>
      </c>
      <c r="H124" s="5">
        <v>224</v>
      </c>
      <c r="I124" s="17">
        <f t="shared" si="76"/>
        <v>4.5714285714285712</v>
      </c>
      <c r="J124" s="7">
        <v>90</v>
      </c>
      <c r="K124" s="7">
        <v>232</v>
      </c>
      <c r="L124" s="17">
        <f t="shared" si="77"/>
        <v>1.8367346938775511</v>
      </c>
      <c r="M124" s="17">
        <f t="shared" si="78"/>
        <v>4.7346938775510203</v>
      </c>
      <c r="N124" s="33">
        <f t="shared" si="79"/>
        <v>0.38793103448275862</v>
      </c>
      <c r="O124" s="12">
        <v>54</v>
      </c>
      <c r="P124" s="12">
        <v>124</v>
      </c>
      <c r="Q124" s="17">
        <f t="shared" si="80"/>
        <v>1.1020408163265305</v>
      </c>
      <c r="R124" s="17">
        <f t="shared" si="81"/>
        <v>2.5306122448979593</v>
      </c>
      <c r="S124" s="33">
        <f t="shared" si="82"/>
        <v>0.43548387096774194</v>
      </c>
      <c r="T124" s="12">
        <v>36</v>
      </c>
      <c r="U124" s="12">
        <v>108</v>
      </c>
      <c r="V124" s="17">
        <f t="shared" si="83"/>
        <v>0.73469387755102045</v>
      </c>
      <c r="W124" s="17">
        <f t="shared" si="84"/>
        <v>2.204081632653061</v>
      </c>
      <c r="X124" s="33">
        <f t="shared" si="85"/>
        <v>0.33333333333333331</v>
      </c>
      <c r="Y124" s="12">
        <v>8</v>
      </c>
      <c r="Z124" s="12">
        <v>14</v>
      </c>
      <c r="AA124" s="17">
        <f t="shared" si="86"/>
        <v>0.16326530612244897</v>
      </c>
      <c r="AB124" s="17">
        <f t="shared" si="87"/>
        <v>0.2857142857142857</v>
      </c>
      <c r="AC124" s="33">
        <f t="shared" si="88"/>
        <v>0.5714285714285714</v>
      </c>
      <c r="AD124" s="12">
        <v>101</v>
      </c>
      <c r="AE124" s="17">
        <f t="shared" si="89"/>
        <v>2.0612244897959182</v>
      </c>
      <c r="AF124" s="12">
        <v>21</v>
      </c>
      <c r="AG124" s="17">
        <f t="shared" si="90"/>
        <v>0.42857142857142855</v>
      </c>
      <c r="AH124" s="12">
        <v>80</v>
      </c>
      <c r="AI124" s="17">
        <f t="shared" si="91"/>
        <v>1.6326530612244898</v>
      </c>
      <c r="AJ124" s="12">
        <v>83</v>
      </c>
      <c r="AK124" s="17">
        <f t="shared" si="92"/>
        <v>1.6938775510204083</v>
      </c>
      <c r="AL124" s="12">
        <v>55</v>
      </c>
      <c r="AM124" s="17">
        <f t="shared" si="93"/>
        <v>1.1224489795918366</v>
      </c>
      <c r="AN124" s="12">
        <v>10</v>
      </c>
      <c r="AO124" s="17">
        <f t="shared" si="94"/>
        <v>0.20408163265306123</v>
      </c>
      <c r="AP124" s="12">
        <v>43</v>
      </c>
      <c r="AQ124" s="17">
        <f t="shared" si="95"/>
        <v>0.87755102040816324</v>
      </c>
      <c r="AR124" s="12">
        <v>92</v>
      </c>
      <c r="AS124" s="17">
        <f t="shared" si="96"/>
        <v>1.8775510204081634</v>
      </c>
      <c r="AT124" s="13">
        <v>1.1426994061751379</v>
      </c>
      <c r="AU124" s="13">
        <v>4.5429342943617987E-2</v>
      </c>
      <c r="AV124" s="13">
        <v>-0.26883007940203496</v>
      </c>
      <c r="AW124" s="13">
        <v>1.4115294855771729</v>
      </c>
      <c r="AX124" s="13">
        <v>93.761054836878628</v>
      </c>
      <c r="AY124" s="13">
        <v>101.52531517674966</v>
      </c>
      <c r="AZ124" s="13">
        <v>5.4486539471250399</v>
      </c>
      <c r="BA124" s="13">
        <v>5.7551020408163263</v>
      </c>
      <c r="BB124" s="13">
        <v>11.211237741849986</v>
      </c>
      <c r="BC124" s="14">
        <v>0.47027208599261</v>
      </c>
      <c r="BD124" s="14">
        <v>0.46551724137931033</v>
      </c>
      <c r="BE124" s="13">
        <v>12.23188124674582</v>
      </c>
      <c r="BF124" s="14">
        <v>0.46551724137931033</v>
      </c>
      <c r="BG124" s="14">
        <v>6.0344827586206899E-2</v>
      </c>
      <c r="BH124" s="13">
        <v>2.1737030238624286</v>
      </c>
      <c r="BI124" s="13">
        <v>8.2807734242378235</v>
      </c>
      <c r="BJ124" s="13">
        <v>4.8834263279535062</v>
      </c>
      <c r="BK124" s="13">
        <v>11.510724852071007</v>
      </c>
      <c r="BL124" s="13">
        <v>3.0802084062055801</v>
      </c>
      <c r="BM124" s="13">
        <v>1.000540291757549</v>
      </c>
      <c r="BN124" s="13">
        <v>15.293782899416703</v>
      </c>
      <c r="BO124" s="15" t="s">
        <v>187</v>
      </c>
      <c r="BP124" s="15">
        <v>41000</v>
      </c>
      <c r="BQ124" s="12" t="s">
        <v>271</v>
      </c>
      <c r="BR124" s="26">
        <v>582.91999999999996</v>
      </c>
      <c r="BS124" s="27">
        <v>787.02</v>
      </c>
      <c r="BT124" s="27">
        <v>204.1</v>
      </c>
      <c r="BU124" s="26">
        <f t="shared" si="71"/>
        <v>11.896326530612246</v>
      </c>
      <c r="BV124" s="26">
        <f t="shared" si="72"/>
        <v>16.061632653061224</v>
      </c>
      <c r="BW124" s="26">
        <f t="shared" si="72"/>
        <v>4.1653061224489791</v>
      </c>
      <c r="BX124" s="31">
        <f t="shared" si="73"/>
        <v>23.175813799387065</v>
      </c>
      <c r="BY124" s="31">
        <f t="shared" si="74"/>
        <v>31.290449763936056</v>
      </c>
      <c r="BZ124" s="31">
        <f t="shared" si="75"/>
        <v>8.1146359645489934</v>
      </c>
      <c r="CA124" s="34">
        <v>32</v>
      </c>
      <c r="CB124" s="34">
        <v>17</v>
      </c>
    </row>
    <row r="125" spans="1:80" x14ac:dyDescent="0.4">
      <c r="A125" s="12" t="s">
        <v>191</v>
      </c>
      <c r="B125" s="12" t="s">
        <v>197</v>
      </c>
      <c r="C125" s="4" t="s">
        <v>268</v>
      </c>
      <c r="D125" s="5">
        <v>47</v>
      </c>
      <c r="E125" s="22">
        <v>27</v>
      </c>
      <c r="F125" s="22">
        <v>9</v>
      </c>
      <c r="G125" s="10">
        <v>76555</v>
      </c>
      <c r="H125" s="5">
        <v>536</v>
      </c>
      <c r="I125" s="17">
        <f t="shared" si="76"/>
        <v>11.404255319148936</v>
      </c>
      <c r="J125" s="7">
        <v>202</v>
      </c>
      <c r="K125" s="7">
        <v>438</v>
      </c>
      <c r="L125" s="17">
        <f t="shared" si="77"/>
        <v>4.2978723404255321</v>
      </c>
      <c r="M125" s="17">
        <f t="shared" si="78"/>
        <v>9.3191489361702136</v>
      </c>
      <c r="N125" s="33">
        <f t="shared" si="79"/>
        <v>0.46118721461187212</v>
      </c>
      <c r="O125" s="12">
        <v>153</v>
      </c>
      <c r="P125" s="12">
        <v>283</v>
      </c>
      <c r="Q125" s="17">
        <f t="shared" si="80"/>
        <v>3.2553191489361701</v>
      </c>
      <c r="R125" s="17">
        <f t="shared" si="81"/>
        <v>6.0212765957446805</v>
      </c>
      <c r="S125" s="33">
        <f t="shared" si="82"/>
        <v>0.54063604240282681</v>
      </c>
      <c r="T125" s="12">
        <v>49</v>
      </c>
      <c r="U125" s="12">
        <v>155</v>
      </c>
      <c r="V125" s="17">
        <f t="shared" si="83"/>
        <v>1.0425531914893618</v>
      </c>
      <c r="W125" s="17">
        <f t="shared" si="84"/>
        <v>3.2978723404255321</v>
      </c>
      <c r="X125" s="33">
        <f t="shared" si="85"/>
        <v>0.31612903225806449</v>
      </c>
      <c r="Y125" s="12">
        <v>83</v>
      </c>
      <c r="Z125" s="12">
        <v>109</v>
      </c>
      <c r="AA125" s="17">
        <f t="shared" si="86"/>
        <v>1.7659574468085106</v>
      </c>
      <c r="AB125" s="17">
        <f t="shared" si="87"/>
        <v>2.3191489361702127</v>
      </c>
      <c r="AC125" s="33">
        <f t="shared" si="88"/>
        <v>0.76146788990825687</v>
      </c>
      <c r="AD125" s="12">
        <v>177</v>
      </c>
      <c r="AE125" s="17">
        <f t="shared" si="89"/>
        <v>3.7659574468085109</v>
      </c>
      <c r="AF125" s="12">
        <v>49</v>
      </c>
      <c r="AG125" s="17">
        <f t="shared" si="90"/>
        <v>1.0425531914893618</v>
      </c>
      <c r="AH125" s="12">
        <v>128</v>
      </c>
      <c r="AI125" s="17">
        <f t="shared" si="91"/>
        <v>2.7234042553191489</v>
      </c>
      <c r="AJ125" s="12">
        <v>214</v>
      </c>
      <c r="AK125" s="17">
        <f t="shared" si="92"/>
        <v>4.5531914893617023</v>
      </c>
      <c r="AL125" s="12">
        <v>51</v>
      </c>
      <c r="AM125" s="17">
        <f t="shared" si="93"/>
        <v>1.0851063829787233</v>
      </c>
      <c r="AN125" s="12">
        <v>8</v>
      </c>
      <c r="AO125" s="17">
        <f t="shared" si="94"/>
        <v>0.1702127659574468</v>
      </c>
      <c r="AP125" s="12">
        <v>63</v>
      </c>
      <c r="AQ125" s="17">
        <f t="shared" si="95"/>
        <v>1.3404255319148937</v>
      </c>
      <c r="AR125" s="12">
        <v>114</v>
      </c>
      <c r="AS125" s="17">
        <f t="shared" si="96"/>
        <v>2.4255319148936172</v>
      </c>
      <c r="AT125" s="13">
        <v>4.4675251021671976</v>
      </c>
      <c r="AU125" s="13">
        <v>0.14004232129359187</v>
      </c>
      <c r="AV125" s="13">
        <v>2.8554325217145955</v>
      </c>
      <c r="AW125" s="13">
        <v>1.6120925804526016</v>
      </c>
      <c r="AX125" s="13">
        <v>115.18073789262087</v>
      </c>
      <c r="AY125" s="13">
        <v>102.77300790243946</v>
      </c>
      <c r="AZ125" s="13">
        <v>11.428914471147936</v>
      </c>
      <c r="BA125" s="13">
        <v>14.063829787234043</v>
      </c>
      <c r="BB125" s="13">
        <v>20.720191215077783</v>
      </c>
      <c r="BC125" s="14">
        <v>0.55148571898921728</v>
      </c>
      <c r="BD125" s="14">
        <v>0.51712328767123283</v>
      </c>
      <c r="BE125" s="13">
        <v>18.062174996995999</v>
      </c>
      <c r="BF125" s="14">
        <v>0.35388127853881279</v>
      </c>
      <c r="BG125" s="14">
        <v>0.24885844748858446</v>
      </c>
      <c r="BH125" s="13">
        <v>3.8358941841190068</v>
      </c>
      <c r="BI125" s="13">
        <v>10.020295011576181</v>
      </c>
      <c r="BJ125" s="13">
        <v>6.4724120293617133</v>
      </c>
      <c r="BK125" s="13">
        <v>24.585690898124479</v>
      </c>
      <c r="BL125" s="13">
        <v>2.2520365461020795</v>
      </c>
      <c r="BM125" s="13">
        <v>0.60536065780002479</v>
      </c>
      <c r="BN125" s="13">
        <v>11.476245992422033</v>
      </c>
      <c r="BO125" s="15" t="s">
        <v>187</v>
      </c>
      <c r="BP125" s="15"/>
      <c r="BQ125" s="12" t="s">
        <v>271</v>
      </c>
      <c r="BR125" s="26">
        <v>1103.28</v>
      </c>
      <c r="BS125" s="27">
        <v>1443.98</v>
      </c>
      <c r="BT125" s="27">
        <v>340.7</v>
      </c>
      <c r="BU125" s="26">
        <f t="shared" si="71"/>
        <v>23.474042553191492</v>
      </c>
      <c r="BV125" s="26">
        <f t="shared" si="72"/>
        <v>30.722978723404257</v>
      </c>
      <c r="BW125" s="26">
        <f t="shared" si="72"/>
        <v>7.2489361702127662</v>
      </c>
      <c r="BX125" s="31">
        <f t="shared" si="73"/>
        <v>34.58783880869963</v>
      </c>
      <c r="BY125" s="31">
        <f t="shared" si="74"/>
        <v>45.268787146495981</v>
      </c>
      <c r="BZ125" s="31">
        <f t="shared" si="75"/>
        <v>10.680948337796355</v>
      </c>
      <c r="CA125" s="35">
        <v>29</v>
      </c>
      <c r="CB125" s="35">
        <v>18</v>
      </c>
    </row>
    <row r="126" spans="1:80" x14ac:dyDescent="0.4">
      <c r="A126" s="12" t="s">
        <v>191</v>
      </c>
      <c r="B126" s="12" t="s">
        <v>197</v>
      </c>
      <c r="C126" s="4" t="s">
        <v>71</v>
      </c>
      <c r="D126" s="5">
        <v>1</v>
      </c>
      <c r="E126" s="22">
        <v>23</v>
      </c>
      <c r="F126" s="22">
        <v>13</v>
      </c>
      <c r="G126" s="10">
        <v>1393</v>
      </c>
      <c r="H126" s="5">
        <v>6</v>
      </c>
      <c r="I126" s="17">
        <f t="shared" si="76"/>
        <v>6</v>
      </c>
      <c r="J126" s="7">
        <v>3</v>
      </c>
      <c r="K126" s="7">
        <v>5</v>
      </c>
      <c r="L126" s="17">
        <f t="shared" si="77"/>
        <v>3</v>
      </c>
      <c r="M126" s="17">
        <f t="shared" si="78"/>
        <v>5</v>
      </c>
      <c r="N126" s="33">
        <f t="shared" si="79"/>
        <v>0.6</v>
      </c>
      <c r="O126" s="12">
        <v>3</v>
      </c>
      <c r="P126" s="12">
        <v>4</v>
      </c>
      <c r="Q126" s="17">
        <f t="shared" si="80"/>
        <v>3</v>
      </c>
      <c r="R126" s="17">
        <f t="shared" si="81"/>
        <v>4</v>
      </c>
      <c r="S126" s="33">
        <f t="shared" si="82"/>
        <v>0.75</v>
      </c>
      <c r="T126" s="12">
        <v>0</v>
      </c>
      <c r="U126" s="12">
        <v>1</v>
      </c>
      <c r="V126" s="17">
        <f t="shared" si="83"/>
        <v>0</v>
      </c>
      <c r="W126" s="17">
        <f t="shared" si="84"/>
        <v>1</v>
      </c>
      <c r="X126" s="33">
        <f t="shared" si="85"/>
        <v>0</v>
      </c>
      <c r="Y126" s="12">
        <v>0</v>
      </c>
      <c r="Z126" s="12">
        <v>0</v>
      </c>
      <c r="AA126" s="17">
        <f t="shared" si="86"/>
        <v>0</v>
      </c>
      <c r="AB126" s="17">
        <f t="shared" si="87"/>
        <v>0</v>
      </c>
      <c r="AC126" s="33" t="e">
        <f t="shared" si="88"/>
        <v>#DIV/0!</v>
      </c>
      <c r="AD126" s="12">
        <v>4</v>
      </c>
      <c r="AE126" s="17">
        <f t="shared" si="89"/>
        <v>4</v>
      </c>
      <c r="AF126" s="12">
        <v>3</v>
      </c>
      <c r="AG126" s="17">
        <f t="shared" si="90"/>
        <v>3</v>
      </c>
      <c r="AH126" s="12">
        <v>1</v>
      </c>
      <c r="AI126" s="17">
        <f t="shared" si="91"/>
        <v>1</v>
      </c>
      <c r="AJ126" s="12">
        <v>1</v>
      </c>
      <c r="AK126" s="17">
        <f t="shared" si="92"/>
        <v>1</v>
      </c>
      <c r="AL126" s="12">
        <v>0</v>
      </c>
      <c r="AM126" s="17">
        <f t="shared" si="93"/>
        <v>0</v>
      </c>
      <c r="AN126" s="12">
        <v>0</v>
      </c>
      <c r="AO126" s="17">
        <f t="shared" si="94"/>
        <v>0</v>
      </c>
      <c r="AP126" s="12">
        <v>2</v>
      </c>
      <c r="AQ126" s="17">
        <f t="shared" si="95"/>
        <v>2</v>
      </c>
      <c r="AR126" s="12">
        <v>2</v>
      </c>
      <c r="AS126" s="17">
        <f t="shared" si="96"/>
        <v>2</v>
      </c>
      <c r="AT126" s="13">
        <v>-7.43454084056187E-3</v>
      </c>
      <c r="AU126" s="13">
        <v>-1.2808972015325548E-2</v>
      </c>
      <c r="AV126" s="13">
        <v>-1.676565704345797E-2</v>
      </c>
      <c r="AW126" s="13">
        <v>9.3311162028960996E-3</v>
      </c>
      <c r="AX126" s="13">
        <v>90.044681319316936</v>
      </c>
      <c r="AY126" s="13">
        <v>110.47332167482766</v>
      </c>
      <c r="AZ126" s="13">
        <v>0.11453060321267282</v>
      </c>
      <c r="BA126" s="13">
        <v>7</v>
      </c>
      <c r="BB126" s="13">
        <v>12.060301507537689</v>
      </c>
      <c r="BC126" s="14">
        <v>0.6</v>
      </c>
      <c r="BD126" s="14">
        <v>0.6</v>
      </c>
      <c r="BE126" s="13">
        <v>0.2693378275641769</v>
      </c>
      <c r="BF126" s="14">
        <v>0.2</v>
      </c>
      <c r="BG126" s="14">
        <v>0</v>
      </c>
      <c r="BH126" s="13">
        <v>0.27463871658276201</v>
      </c>
      <c r="BI126" s="13">
        <v>9.154623886092067E-2</v>
      </c>
      <c r="BJ126" s="13">
        <v>0.17104990969099299</v>
      </c>
      <c r="BK126" s="13">
        <v>0.10940220810123351</v>
      </c>
      <c r="BL126" s="13">
        <v>0</v>
      </c>
      <c r="BM126" s="13">
        <v>0</v>
      </c>
      <c r="BN126" s="13">
        <v>28.571428571428573</v>
      </c>
      <c r="BO126" s="15" t="s">
        <v>187</v>
      </c>
      <c r="BP126" s="15"/>
      <c r="BQ126" s="12" t="s">
        <v>272</v>
      </c>
      <c r="BR126" s="26">
        <v>13.9</v>
      </c>
      <c r="BS126" s="27">
        <v>18.8</v>
      </c>
      <c r="BT126" s="27">
        <v>4.9000000000000004</v>
      </c>
      <c r="BU126" s="26">
        <f t="shared" si="71"/>
        <v>13.9</v>
      </c>
      <c r="BV126" s="26">
        <f t="shared" si="72"/>
        <v>18.8</v>
      </c>
      <c r="BW126" s="26">
        <f t="shared" si="72"/>
        <v>4.9000000000000004</v>
      </c>
      <c r="BX126" s="31">
        <f t="shared" si="73"/>
        <v>23.948312993539126</v>
      </c>
      <c r="BY126" s="31">
        <f t="shared" si="74"/>
        <v>32.390524048815507</v>
      </c>
      <c r="BZ126" s="31">
        <f t="shared" si="75"/>
        <v>8.4422110552763812</v>
      </c>
      <c r="CA126" s="35">
        <v>1</v>
      </c>
      <c r="CB126" s="35">
        <v>0</v>
      </c>
    </row>
    <row r="127" spans="1:80" x14ac:dyDescent="0.4">
      <c r="A127" s="12" t="s">
        <v>191</v>
      </c>
      <c r="B127" s="12" t="s">
        <v>197</v>
      </c>
      <c r="C127" s="4" t="s">
        <v>174</v>
      </c>
      <c r="D127" s="5">
        <v>38</v>
      </c>
      <c r="E127" s="22">
        <v>27</v>
      </c>
      <c r="F127" s="22">
        <v>30</v>
      </c>
      <c r="G127" s="10">
        <v>62708</v>
      </c>
      <c r="H127" s="5">
        <v>404</v>
      </c>
      <c r="I127" s="17">
        <f t="shared" si="76"/>
        <v>10.631578947368421</v>
      </c>
      <c r="J127" s="7">
        <v>140</v>
      </c>
      <c r="K127" s="7">
        <v>327</v>
      </c>
      <c r="L127" s="17">
        <f t="shared" si="77"/>
        <v>3.6842105263157894</v>
      </c>
      <c r="M127" s="17">
        <f t="shared" si="78"/>
        <v>8.6052631578947363</v>
      </c>
      <c r="N127" s="33">
        <f t="shared" si="79"/>
        <v>0.42813455657492355</v>
      </c>
      <c r="O127" s="12">
        <v>87</v>
      </c>
      <c r="P127" s="12">
        <v>163</v>
      </c>
      <c r="Q127" s="17">
        <f t="shared" si="80"/>
        <v>2.2894736842105261</v>
      </c>
      <c r="R127" s="17">
        <f t="shared" si="81"/>
        <v>4.2894736842105265</v>
      </c>
      <c r="S127" s="33">
        <f t="shared" si="82"/>
        <v>0.53374233128834359</v>
      </c>
      <c r="T127" s="12">
        <v>53</v>
      </c>
      <c r="U127" s="12">
        <v>164</v>
      </c>
      <c r="V127" s="17">
        <f t="shared" si="83"/>
        <v>1.3947368421052631</v>
      </c>
      <c r="W127" s="17">
        <f t="shared" si="84"/>
        <v>4.3157894736842106</v>
      </c>
      <c r="X127" s="33">
        <f t="shared" si="85"/>
        <v>0.32317073170731708</v>
      </c>
      <c r="Y127" s="12">
        <v>71</v>
      </c>
      <c r="Z127" s="12">
        <v>96</v>
      </c>
      <c r="AA127" s="17">
        <f t="shared" si="86"/>
        <v>1.868421052631579</v>
      </c>
      <c r="AB127" s="17">
        <f t="shared" si="87"/>
        <v>2.5263157894736841</v>
      </c>
      <c r="AC127" s="33">
        <f t="shared" si="88"/>
        <v>0.73958333333333337</v>
      </c>
      <c r="AD127" s="12">
        <v>112</v>
      </c>
      <c r="AE127" s="17">
        <f t="shared" si="89"/>
        <v>2.9473684210526314</v>
      </c>
      <c r="AF127" s="12">
        <v>19</v>
      </c>
      <c r="AG127" s="17">
        <f t="shared" si="90"/>
        <v>0.5</v>
      </c>
      <c r="AH127" s="12">
        <v>93</v>
      </c>
      <c r="AI127" s="17">
        <f t="shared" si="91"/>
        <v>2.4473684210526314</v>
      </c>
      <c r="AJ127" s="12">
        <v>153</v>
      </c>
      <c r="AK127" s="17">
        <f t="shared" si="92"/>
        <v>4.0263157894736841</v>
      </c>
      <c r="AL127" s="12">
        <v>28</v>
      </c>
      <c r="AM127" s="17">
        <f t="shared" si="93"/>
        <v>0.73684210526315785</v>
      </c>
      <c r="AN127" s="12">
        <v>11</v>
      </c>
      <c r="AO127" s="17">
        <f t="shared" si="94"/>
        <v>0.28947368421052633</v>
      </c>
      <c r="AP127" s="12">
        <v>75</v>
      </c>
      <c r="AQ127" s="17">
        <f t="shared" si="95"/>
        <v>1.9736842105263157</v>
      </c>
      <c r="AR127" s="12">
        <v>75</v>
      </c>
      <c r="AS127" s="17">
        <f t="shared" si="96"/>
        <v>1.9736842105263157</v>
      </c>
      <c r="AT127" s="13">
        <v>2.0746492081093333</v>
      </c>
      <c r="AU127" s="13">
        <v>7.9412409879783097E-2</v>
      </c>
      <c r="AV127" s="13">
        <v>0.97871612582472411</v>
      </c>
      <c r="AW127" s="13">
        <v>1.095933082284609</v>
      </c>
      <c r="AX127" s="13">
        <v>104.90372138011257</v>
      </c>
      <c r="AY127" s="13">
        <v>104.69136689881664</v>
      </c>
      <c r="AZ127" s="13">
        <v>6.8727068307336143</v>
      </c>
      <c r="BA127" s="13">
        <v>11.078947368421053</v>
      </c>
      <c r="BB127" s="13">
        <v>16.114832535885167</v>
      </c>
      <c r="BC127" s="14">
        <v>0.54706965659191853</v>
      </c>
      <c r="BD127" s="14">
        <v>0.50917431192660545</v>
      </c>
      <c r="BE127" s="13">
        <v>14.430591919336292</v>
      </c>
      <c r="BF127" s="14">
        <v>0.50152905198776754</v>
      </c>
      <c r="BG127" s="14">
        <v>0.29357798165137616</v>
      </c>
      <c r="BH127" s="13">
        <v>1.4684571538981741</v>
      </c>
      <c r="BI127" s="13">
        <v>7.1877113322384307</v>
      </c>
      <c r="BJ127" s="13">
        <v>4.0434125318712066</v>
      </c>
      <c r="BK127" s="13">
        <v>16.169088507265521</v>
      </c>
      <c r="BL127" s="13">
        <v>1.5097835551233632</v>
      </c>
      <c r="BM127" s="13">
        <v>0.82177709296353363</v>
      </c>
      <c r="BN127" s="13">
        <v>16.882766072393302</v>
      </c>
      <c r="BO127" s="15" t="s">
        <v>187</v>
      </c>
      <c r="BP127" s="15">
        <v>137000</v>
      </c>
      <c r="BQ127" s="12" t="s">
        <v>271</v>
      </c>
      <c r="BR127" s="26">
        <v>744.16</v>
      </c>
      <c r="BS127" s="27">
        <v>1049.6600000000001</v>
      </c>
      <c r="BT127" s="27">
        <v>305.5</v>
      </c>
      <c r="BU127" s="26">
        <f t="shared" si="71"/>
        <v>19.583157894736843</v>
      </c>
      <c r="BV127" s="26">
        <f t="shared" si="72"/>
        <v>27.62263157894737</v>
      </c>
      <c r="BW127" s="26">
        <f t="shared" si="72"/>
        <v>8.0394736842105257</v>
      </c>
      <c r="BX127" s="31">
        <f t="shared" si="73"/>
        <v>28.480959367225871</v>
      </c>
      <c r="BY127" s="31">
        <f t="shared" si="74"/>
        <v>40.173247432544493</v>
      </c>
      <c r="BZ127" s="31">
        <f t="shared" si="75"/>
        <v>11.692288065318619</v>
      </c>
      <c r="CA127" s="34">
        <v>24</v>
      </c>
      <c r="CB127" s="34">
        <v>14</v>
      </c>
    </row>
    <row r="128" spans="1:80" x14ac:dyDescent="0.4">
      <c r="A128" s="12" t="s">
        <v>191</v>
      </c>
      <c r="B128" s="12" t="s">
        <v>197</v>
      </c>
      <c r="C128" s="4" t="s">
        <v>202</v>
      </c>
      <c r="D128" s="5">
        <v>54</v>
      </c>
      <c r="E128" s="22">
        <v>14</v>
      </c>
      <c r="F128" s="22">
        <v>46</v>
      </c>
      <c r="G128" s="10">
        <v>47871</v>
      </c>
      <c r="H128" s="5">
        <v>366</v>
      </c>
      <c r="I128" s="17">
        <f t="shared" si="76"/>
        <v>6.7777777777777777</v>
      </c>
      <c r="J128" s="7">
        <v>153</v>
      </c>
      <c r="K128" s="7">
        <v>313</v>
      </c>
      <c r="L128" s="17">
        <f t="shared" si="77"/>
        <v>2.8333333333333335</v>
      </c>
      <c r="M128" s="17">
        <f t="shared" si="78"/>
        <v>5.7962962962962967</v>
      </c>
      <c r="N128" s="33">
        <f t="shared" si="79"/>
        <v>0.48881789137380194</v>
      </c>
      <c r="O128" s="12">
        <v>126</v>
      </c>
      <c r="P128" s="12">
        <v>230</v>
      </c>
      <c r="Q128" s="17">
        <f t="shared" si="80"/>
        <v>2.3333333333333335</v>
      </c>
      <c r="R128" s="17">
        <f t="shared" si="81"/>
        <v>4.2592592592592595</v>
      </c>
      <c r="S128" s="33">
        <f t="shared" si="82"/>
        <v>0.54782608695652169</v>
      </c>
      <c r="T128" s="12">
        <v>27</v>
      </c>
      <c r="U128" s="12">
        <v>83</v>
      </c>
      <c r="V128" s="17">
        <f t="shared" si="83"/>
        <v>0.5</v>
      </c>
      <c r="W128" s="17">
        <f t="shared" si="84"/>
        <v>1.537037037037037</v>
      </c>
      <c r="X128" s="33">
        <f t="shared" si="85"/>
        <v>0.3253012048192771</v>
      </c>
      <c r="Y128" s="12">
        <v>33</v>
      </c>
      <c r="Z128" s="12">
        <v>39</v>
      </c>
      <c r="AA128" s="17">
        <f t="shared" si="86"/>
        <v>0.61111111111111116</v>
      </c>
      <c r="AB128" s="17">
        <f t="shared" si="87"/>
        <v>0.72222222222222221</v>
      </c>
      <c r="AC128" s="33">
        <f t="shared" si="88"/>
        <v>0.84615384615384615</v>
      </c>
      <c r="AD128" s="12">
        <v>233</v>
      </c>
      <c r="AE128" s="17">
        <f t="shared" si="89"/>
        <v>4.3148148148148149</v>
      </c>
      <c r="AF128" s="12">
        <v>66</v>
      </c>
      <c r="AG128" s="17">
        <f t="shared" si="90"/>
        <v>1.2222222222222223</v>
      </c>
      <c r="AH128" s="12">
        <v>167</v>
      </c>
      <c r="AI128" s="17">
        <f t="shared" si="91"/>
        <v>3.0925925925925926</v>
      </c>
      <c r="AJ128" s="12">
        <v>91</v>
      </c>
      <c r="AK128" s="17">
        <f t="shared" si="92"/>
        <v>1.6851851851851851</v>
      </c>
      <c r="AL128" s="12">
        <v>42</v>
      </c>
      <c r="AM128" s="17">
        <f t="shared" si="93"/>
        <v>0.77777777777777779</v>
      </c>
      <c r="AN128" s="12">
        <v>9</v>
      </c>
      <c r="AO128" s="17">
        <f t="shared" si="94"/>
        <v>0.16666666666666666</v>
      </c>
      <c r="AP128" s="12">
        <v>40</v>
      </c>
      <c r="AQ128" s="17">
        <f t="shared" si="95"/>
        <v>0.7407407407407407</v>
      </c>
      <c r="AR128" s="12">
        <v>112</v>
      </c>
      <c r="AS128" s="17">
        <f t="shared" si="96"/>
        <v>2.074074074074074</v>
      </c>
      <c r="AT128" s="13">
        <v>3.2286926224964976</v>
      </c>
      <c r="AU128" s="13">
        <v>0.16196100438908942</v>
      </c>
      <c r="AV128" s="13">
        <v>1.6466617085347557</v>
      </c>
      <c r="AW128" s="13">
        <v>1.5820309139617419</v>
      </c>
      <c r="AX128" s="13">
        <v>112.97446798102537</v>
      </c>
      <c r="AY128" s="13">
        <v>96.331218871608456</v>
      </c>
      <c r="AZ128" s="13">
        <v>15.042260083567838</v>
      </c>
      <c r="BA128" s="13">
        <v>9.9074074074074066</v>
      </c>
      <c r="BB128" s="13">
        <v>26.837220968146479</v>
      </c>
      <c r="BC128" s="14">
        <v>0.55427671432032954</v>
      </c>
      <c r="BD128" s="14">
        <v>0.53194888178913735</v>
      </c>
      <c r="BE128" s="13">
        <v>22.392686185078997</v>
      </c>
      <c r="BF128" s="14">
        <v>0.26517571884984026</v>
      </c>
      <c r="BG128" s="14">
        <v>0.12460063897763578</v>
      </c>
      <c r="BH128" s="13">
        <v>9.4995238243739557</v>
      </c>
      <c r="BI128" s="13">
        <v>24.03667391924925</v>
      </c>
      <c r="BJ128" s="13">
        <v>15.665208278356632</v>
      </c>
      <c r="BK128" s="13">
        <v>21.148855405353064</v>
      </c>
      <c r="BL128" s="13">
        <v>2.9678777560269274</v>
      </c>
      <c r="BM128" s="13">
        <v>1.2521434260731041</v>
      </c>
      <c r="BN128" s="13">
        <v>10.806137886319428</v>
      </c>
      <c r="BO128" s="15" t="s">
        <v>189</v>
      </c>
      <c r="BP128" s="15"/>
      <c r="BQ128" s="12" t="s">
        <v>273</v>
      </c>
      <c r="BR128" s="26">
        <v>802.76</v>
      </c>
      <c r="BS128" s="27">
        <v>1021.96</v>
      </c>
      <c r="BT128" s="27">
        <v>219.2</v>
      </c>
      <c r="BU128" s="26">
        <f t="shared" si="71"/>
        <v>14.865925925925925</v>
      </c>
      <c r="BV128" s="26">
        <f t="shared" si="72"/>
        <v>18.925185185185185</v>
      </c>
      <c r="BW128" s="26">
        <f t="shared" si="72"/>
        <v>4.0592592592592593</v>
      </c>
      <c r="BX128" s="31">
        <f t="shared" si="73"/>
        <v>40.246161559190327</v>
      </c>
      <c r="BY128" s="31">
        <f t="shared" si="74"/>
        <v>51.235695932819453</v>
      </c>
      <c r="BZ128" s="31">
        <f t="shared" si="75"/>
        <v>10.989534373629128</v>
      </c>
      <c r="CA128" s="35">
        <v>35</v>
      </c>
      <c r="CB128" s="35">
        <v>19</v>
      </c>
    </row>
    <row r="129" spans="1:80" x14ac:dyDescent="0.4">
      <c r="A129" s="12" t="s">
        <v>191</v>
      </c>
      <c r="B129" s="12" t="s">
        <v>197</v>
      </c>
      <c r="C129" s="4" t="s">
        <v>175</v>
      </c>
      <c r="D129" s="5">
        <v>22</v>
      </c>
      <c r="E129" s="22">
        <v>8</v>
      </c>
      <c r="F129" s="22">
        <v>1</v>
      </c>
      <c r="G129" s="10">
        <v>10592</v>
      </c>
      <c r="H129" s="5">
        <v>53</v>
      </c>
      <c r="I129" s="17">
        <f t="shared" si="76"/>
        <v>2.4090909090909092</v>
      </c>
      <c r="J129" s="7">
        <v>18</v>
      </c>
      <c r="K129" s="6">
        <v>45</v>
      </c>
      <c r="L129" s="17">
        <f t="shared" si="77"/>
        <v>0.81818181818181823</v>
      </c>
      <c r="M129" s="17">
        <f t="shared" si="78"/>
        <v>2.0454545454545454</v>
      </c>
      <c r="N129" s="33">
        <f t="shared" si="79"/>
        <v>0.4</v>
      </c>
      <c r="O129" s="12">
        <v>9</v>
      </c>
      <c r="P129" s="12">
        <v>14</v>
      </c>
      <c r="Q129" s="17">
        <f t="shared" si="80"/>
        <v>0.40909090909090912</v>
      </c>
      <c r="R129" s="17">
        <f t="shared" si="81"/>
        <v>0.63636363636363635</v>
      </c>
      <c r="S129" s="33">
        <f t="shared" si="82"/>
        <v>0.6428571428571429</v>
      </c>
      <c r="T129" s="12">
        <v>9</v>
      </c>
      <c r="U129" s="12">
        <v>31</v>
      </c>
      <c r="V129" s="17">
        <f t="shared" si="83"/>
        <v>0.40909090909090912</v>
      </c>
      <c r="W129" s="17">
        <f t="shared" si="84"/>
        <v>1.4090909090909092</v>
      </c>
      <c r="X129" s="33">
        <f t="shared" si="85"/>
        <v>0.29032258064516131</v>
      </c>
      <c r="Y129" s="12">
        <v>8</v>
      </c>
      <c r="Z129" s="12">
        <v>9</v>
      </c>
      <c r="AA129" s="17">
        <f t="shared" si="86"/>
        <v>0.36363636363636365</v>
      </c>
      <c r="AB129" s="17">
        <f t="shared" si="87"/>
        <v>0.40909090909090912</v>
      </c>
      <c r="AC129" s="33">
        <f t="shared" si="88"/>
        <v>0.88888888888888884</v>
      </c>
      <c r="AD129" s="12">
        <v>14</v>
      </c>
      <c r="AE129" s="17">
        <f t="shared" si="89"/>
        <v>0.63636363636363635</v>
      </c>
      <c r="AF129" s="12">
        <v>0</v>
      </c>
      <c r="AG129" s="17">
        <f t="shared" si="90"/>
        <v>0</v>
      </c>
      <c r="AH129" s="12">
        <v>14</v>
      </c>
      <c r="AI129" s="17">
        <f t="shared" si="91"/>
        <v>0.63636363636363635</v>
      </c>
      <c r="AJ129" s="12">
        <v>12</v>
      </c>
      <c r="AK129" s="17">
        <f t="shared" si="92"/>
        <v>0.54545454545454541</v>
      </c>
      <c r="AL129" s="12">
        <v>7</v>
      </c>
      <c r="AM129" s="17">
        <f t="shared" si="93"/>
        <v>0.31818181818181818</v>
      </c>
      <c r="AN129" s="12">
        <v>1</v>
      </c>
      <c r="AO129" s="17">
        <f t="shared" si="94"/>
        <v>4.5454545454545456E-2</v>
      </c>
      <c r="AP129" s="12">
        <v>11</v>
      </c>
      <c r="AQ129" s="17">
        <f t="shared" si="95"/>
        <v>0.5</v>
      </c>
      <c r="AR129" s="12">
        <v>27</v>
      </c>
      <c r="AS129" s="17">
        <f t="shared" si="96"/>
        <v>1.2272727272727273</v>
      </c>
      <c r="AT129" s="13">
        <v>0.17847875677025285</v>
      </c>
      <c r="AU129" s="13">
        <v>4.0479022514515864E-2</v>
      </c>
      <c r="AV129" s="13">
        <v>-3.1114262641320865E-2</v>
      </c>
      <c r="AW129" s="13">
        <v>0.20959301941157371</v>
      </c>
      <c r="AX129" s="13">
        <v>95.240529411321432</v>
      </c>
      <c r="AY129" s="13">
        <v>103.44300489217443</v>
      </c>
      <c r="AZ129" s="13">
        <v>1.6263005555999368</v>
      </c>
      <c r="BA129" s="13">
        <v>2.1818181818181817</v>
      </c>
      <c r="BB129" s="13">
        <v>10.886410886410886</v>
      </c>
      <c r="BC129" s="14">
        <v>0.54125816993464049</v>
      </c>
      <c r="BD129" s="14">
        <v>0.5</v>
      </c>
      <c r="BE129" s="13">
        <v>6.6813923742387971</v>
      </c>
      <c r="BF129" s="14">
        <v>0.68888888888888888</v>
      </c>
      <c r="BG129" s="14">
        <v>0.2</v>
      </c>
      <c r="BH129" s="13">
        <v>0</v>
      </c>
      <c r="BI129" s="13">
        <v>3.7117146575169957</v>
      </c>
      <c r="BJ129" s="13">
        <v>1.7337917561298053</v>
      </c>
      <c r="BK129" s="13">
        <v>4.0179692513742014</v>
      </c>
      <c r="BL129" s="13">
        <v>2.2364257443355435</v>
      </c>
      <c r="BM129" s="13">
        <v>0.25627144271212066</v>
      </c>
      <c r="BN129" s="13">
        <v>18.345563709139427</v>
      </c>
      <c r="BO129" s="15" t="s">
        <v>187</v>
      </c>
      <c r="BP129" s="15">
        <v>90000</v>
      </c>
      <c r="BQ129" s="12" t="s">
        <v>271</v>
      </c>
      <c r="BR129" s="26">
        <v>102.53</v>
      </c>
      <c r="BS129" s="27">
        <v>144.63</v>
      </c>
      <c r="BT129" s="27">
        <v>42.1</v>
      </c>
      <c r="BU129" s="26">
        <f t="shared" si="71"/>
        <v>4.6604545454545452</v>
      </c>
      <c r="BV129" s="26">
        <f t="shared" si="72"/>
        <v>6.5740909090909092</v>
      </c>
      <c r="BW129" s="26">
        <f t="shared" si="72"/>
        <v>1.9136363636363638</v>
      </c>
      <c r="BX129" s="31">
        <f t="shared" si="73"/>
        <v>23.231873111782477</v>
      </c>
      <c r="BY129" s="31">
        <f t="shared" si="74"/>
        <v>32.771148036253777</v>
      </c>
      <c r="BZ129" s="31">
        <f t="shared" si="75"/>
        <v>9.5392749244712984</v>
      </c>
      <c r="CA129" s="34">
        <v>14</v>
      </c>
      <c r="CB129" s="34">
        <v>8</v>
      </c>
    </row>
    <row r="130" spans="1:80" x14ac:dyDescent="0.4">
      <c r="A130" s="12" t="s">
        <v>191</v>
      </c>
      <c r="B130" s="12" t="s">
        <v>197</v>
      </c>
      <c r="C130" s="4" t="s">
        <v>240</v>
      </c>
      <c r="D130" s="5">
        <v>1</v>
      </c>
      <c r="E130" s="22">
        <v>30</v>
      </c>
      <c r="F130" s="22">
        <v>0</v>
      </c>
      <c r="G130" s="10">
        <v>1800</v>
      </c>
      <c r="H130" s="5">
        <v>9</v>
      </c>
      <c r="I130" s="17">
        <f t="shared" ref="I130:I161" si="97">H130/$D130</f>
        <v>9</v>
      </c>
      <c r="J130" s="7">
        <v>4</v>
      </c>
      <c r="K130" s="7">
        <v>12</v>
      </c>
      <c r="L130" s="17">
        <f t="shared" ref="L130:L161" si="98">J130/$D130</f>
        <v>4</v>
      </c>
      <c r="M130" s="17">
        <f t="shared" ref="M130:M161" si="99">K130/$D130</f>
        <v>12</v>
      </c>
      <c r="N130" s="33">
        <f t="shared" ref="N130:N161" si="100">J130/K130</f>
        <v>0.33333333333333331</v>
      </c>
      <c r="O130" s="12">
        <v>3</v>
      </c>
      <c r="P130" s="12">
        <v>7</v>
      </c>
      <c r="Q130" s="17">
        <f t="shared" ref="Q130:Q161" si="101">O130/$D130</f>
        <v>3</v>
      </c>
      <c r="R130" s="17">
        <f t="shared" ref="R130:R161" si="102">P130/$D130</f>
        <v>7</v>
      </c>
      <c r="S130" s="33">
        <f t="shared" ref="S130:S161" si="103">O130/P130</f>
        <v>0.42857142857142855</v>
      </c>
      <c r="T130" s="12">
        <v>1</v>
      </c>
      <c r="U130" s="12">
        <v>5</v>
      </c>
      <c r="V130" s="17">
        <f t="shared" ref="V130:V161" si="104">T130/$D130</f>
        <v>1</v>
      </c>
      <c r="W130" s="17">
        <f t="shared" ref="W130:W161" si="105">U130/$D130</f>
        <v>5</v>
      </c>
      <c r="X130" s="33">
        <f t="shared" ref="X130:X161" si="106">T130/U130</f>
        <v>0.2</v>
      </c>
      <c r="Y130" s="12">
        <v>0</v>
      </c>
      <c r="Z130" s="12">
        <v>0</v>
      </c>
      <c r="AA130" s="17">
        <f t="shared" ref="AA130:AA161" si="107">Y130/$D130</f>
        <v>0</v>
      </c>
      <c r="AB130" s="17">
        <f t="shared" ref="AB130:AB161" si="108">Z130/$D130</f>
        <v>0</v>
      </c>
      <c r="AC130" s="33" t="e">
        <f t="shared" ref="AC130:AC161" si="109">Y130/Z130</f>
        <v>#DIV/0!</v>
      </c>
      <c r="AD130" s="12">
        <v>5</v>
      </c>
      <c r="AE130" s="17">
        <f t="shared" ref="AE130:AE161" si="110">AD130/$D130</f>
        <v>5</v>
      </c>
      <c r="AF130" s="12">
        <v>2</v>
      </c>
      <c r="AG130" s="17">
        <f t="shared" ref="AG130:AG161" si="111">AF130/$D130</f>
        <v>2</v>
      </c>
      <c r="AH130" s="12">
        <v>3</v>
      </c>
      <c r="AI130" s="17">
        <f t="shared" ref="AI130:AI161" si="112">AH130/$D130</f>
        <v>3</v>
      </c>
      <c r="AJ130" s="12">
        <v>1</v>
      </c>
      <c r="AK130" s="17">
        <f t="shared" ref="AK130:AK161" si="113">AJ130/$D130</f>
        <v>1</v>
      </c>
      <c r="AL130" s="12">
        <v>1</v>
      </c>
      <c r="AM130" s="17">
        <f t="shared" ref="AM130:AM161" si="114">AL130/$D130</f>
        <v>1</v>
      </c>
      <c r="AN130" s="12">
        <v>2</v>
      </c>
      <c r="AO130" s="17">
        <f t="shared" ref="AO130:AO161" si="115">AN130/$D130</f>
        <v>2</v>
      </c>
      <c r="AP130" s="12">
        <v>1</v>
      </c>
      <c r="AQ130" s="17">
        <f t="shared" ref="AQ130:AQ161" si="116">AP130/$D130</f>
        <v>1</v>
      </c>
      <c r="AR130" s="12">
        <v>2</v>
      </c>
      <c r="AS130" s="17">
        <f t="shared" ref="AS130:AS161" si="117">AR130/$D130</f>
        <v>2</v>
      </c>
      <c r="AT130" s="13">
        <v>-5.8652305315512715E-2</v>
      </c>
      <c r="AU130" s="13">
        <v>-7.8203073754016958E-2</v>
      </c>
      <c r="AV130" s="13">
        <v>-0.10559266550225831</v>
      </c>
      <c r="AW130" s="13">
        <v>4.6940360186745592E-2</v>
      </c>
      <c r="AX130" s="13">
        <v>70.662086169616472</v>
      </c>
      <c r="AY130" s="13">
        <v>100.07940202847027</v>
      </c>
      <c r="AZ130" s="13">
        <v>0.13077783165915452</v>
      </c>
      <c r="BA130" s="13">
        <v>9</v>
      </c>
      <c r="BB130" s="13">
        <v>12</v>
      </c>
      <c r="BC130" s="14">
        <v>0.375</v>
      </c>
      <c r="BD130" s="14">
        <v>0.375</v>
      </c>
      <c r="BE130" s="13">
        <v>0.38709831106029208</v>
      </c>
      <c r="BF130" s="14">
        <v>0.41666666666666669</v>
      </c>
      <c r="BG130" s="14">
        <v>0</v>
      </c>
      <c r="BH130" s="13">
        <v>0.14169323414806942</v>
      </c>
      <c r="BI130" s="13">
        <v>0.21253985122210414</v>
      </c>
      <c r="BJ130" s="13">
        <v>0.16546703069413418</v>
      </c>
      <c r="BK130" s="13">
        <v>8.4674005080440304E-2</v>
      </c>
      <c r="BL130" s="13">
        <v>1.8782426370284697</v>
      </c>
      <c r="BM130" s="13">
        <v>0.1369628488272556</v>
      </c>
      <c r="BN130" s="13">
        <v>7.6923076923076925</v>
      </c>
      <c r="BO130" s="15" t="s">
        <v>187</v>
      </c>
      <c r="BP130" s="15"/>
      <c r="BQ130" s="12" t="s">
        <v>273</v>
      </c>
      <c r="BR130" s="26">
        <v>17.899999999999999</v>
      </c>
      <c r="BS130" s="27">
        <v>27</v>
      </c>
      <c r="BT130" s="27">
        <v>9.1</v>
      </c>
      <c r="BU130" s="26">
        <f t="shared" si="71"/>
        <v>17.899999999999999</v>
      </c>
      <c r="BV130" s="26">
        <f t="shared" si="72"/>
        <v>27</v>
      </c>
      <c r="BW130" s="26">
        <f t="shared" si="72"/>
        <v>9.1</v>
      </c>
      <c r="BX130" s="31">
        <f t="shared" si="73"/>
        <v>23.866666666666667</v>
      </c>
      <c r="BY130" s="31">
        <f t="shared" si="74"/>
        <v>36</v>
      </c>
      <c r="BZ130" s="31">
        <f t="shared" si="75"/>
        <v>12.133333333333333</v>
      </c>
      <c r="CA130" s="34">
        <v>1</v>
      </c>
      <c r="CB130" s="34">
        <v>0</v>
      </c>
    </row>
    <row r="131" spans="1:80" x14ac:dyDescent="0.4">
      <c r="A131" s="12" t="s">
        <v>191</v>
      </c>
      <c r="B131" s="12" t="s">
        <v>197</v>
      </c>
      <c r="C131" s="4" t="s">
        <v>107</v>
      </c>
      <c r="D131" s="22">
        <v>30</v>
      </c>
      <c r="E131" s="22">
        <v>7</v>
      </c>
      <c r="F131" s="22">
        <v>43</v>
      </c>
      <c r="G131" s="10">
        <v>13891</v>
      </c>
      <c r="H131" s="5">
        <v>82</v>
      </c>
      <c r="I131" s="17">
        <f t="shared" si="97"/>
        <v>2.7333333333333334</v>
      </c>
      <c r="J131" s="7">
        <v>29</v>
      </c>
      <c r="K131" s="7">
        <v>77</v>
      </c>
      <c r="L131" s="17">
        <f t="shared" si="98"/>
        <v>0.96666666666666667</v>
      </c>
      <c r="M131" s="17">
        <f t="shared" si="99"/>
        <v>2.5666666666666669</v>
      </c>
      <c r="N131" s="33">
        <f t="shared" si="100"/>
        <v>0.37662337662337664</v>
      </c>
      <c r="O131" s="12">
        <v>7</v>
      </c>
      <c r="P131" s="12">
        <v>14</v>
      </c>
      <c r="Q131" s="17">
        <f t="shared" si="101"/>
        <v>0.23333333333333334</v>
      </c>
      <c r="R131" s="17">
        <f t="shared" si="102"/>
        <v>0.46666666666666667</v>
      </c>
      <c r="S131" s="33">
        <f t="shared" si="103"/>
        <v>0.5</v>
      </c>
      <c r="T131" s="12">
        <v>22</v>
      </c>
      <c r="U131" s="12">
        <v>63</v>
      </c>
      <c r="V131" s="17">
        <f t="shared" si="104"/>
        <v>0.73333333333333328</v>
      </c>
      <c r="W131" s="17">
        <f t="shared" si="105"/>
        <v>2.1</v>
      </c>
      <c r="X131" s="33">
        <f t="shared" si="106"/>
        <v>0.34920634920634919</v>
      </c>
      <c r="Y131" s="12">
        <v>2</v>
      </c>
      <c r="Z131" s="12">
        <v>3</v>
      </c>
      <c r="AA131" s="17">
        <f t="shared" si="107"/>
        <v>6.6666666666666666E-2</v>
      </c>
      <c r="AB131" s="17">
        <f t="shared" si="108"/>
        <v>0.1</v>
      </c>
      <c r="AC131" s="33">
        <f t="shared" si="109"/>
        <v>0.66666666666666663</v>
      </c>
      <c r="AD131" s="12">
        <v>10</v>
      </c>
      <c r="AE131" s="17">
        <f t="shared" si="110"/>
        <v>0.33333333333333331</v>
      </c>
      <c r="AF131" s="12">
        <v>2</v>
      </c>
      <c r="AG131" s="17">
        <f t="shared" si="111"/>
        <v>6.6666666666666666E-2</v>
      </c>
      <c r="AH131" s="12">
        <v>8</v>
      </c>
      <c r="AI131" s="17">
        <f t="shared" si="112"/>
        <v>0.26666666666666666</v>
      </c>
      <c r="AJ131" s="12">
        <v>7</v>
      </c>
      <c r="AK131" s="17">
        <f t="shared" si="113"/>
        <v>0.23333333333333334</v>
      </c>
      <c r="AL131" s="12">
        <v>3</v>
      </c>
      <c r="AM131" s="17">
        <f t="shared" si="114"/>
        <v>0.1</v>
      </c>
      <c r="AN131" s="12">
        <v>0</v>
      </c>
      <c r="AO131" s="17">
        <f t="shared" si="115"/>
        <v>0</v>
      </c>
      <c r="AP131" s="12">
        <v>10</v>
      </c>
      <c r="AQ131" s="17">
        <f t="shared" si="116"/>
        <v>0.33333333333333331</v>
      </c>
      <c r="AR131" s="12">
        <v>12</v>
      </c>
      <c r="AS131" s="17">
        <f t="shared" si="117"/>
        <v>0.4</v>
      </c>
      <c r="AT131" s="13">
        <v>6.6068333417797623E-2</v>
      </c>
      <c r="AU131" s="13">
        <v>1.1415694759014709E-2</v>
      </c>
      <c r="AV131" s="13">
        <v>-5.7120206054584677E-2</v>
      </c>
      <c r="AW131" s="13">
        <v>0.1231885394723823</v>
      </c>
      <c r="AX131" s="13">
        <v>94.613539279588792</v>
      </c>
      <c r="AY131" s="13">
        <v>109.30931185831298</v>
      </c>
      <c r="AZ131" s="13">
        <v>2.9112804353286101</v>
      </c>
      <c r="BA131" s="13">
        <v>1.4333333333333333</v>
      </c>
      <c r="BB131" s="13">
        <v>7.4298056155507561</v>
      </c>
      <c r="BC131" s="14">
        <v>0.52349336057201235</v>
      </c>
      <c r="BD131" s="14">
        <v>0.51948051948051943</v>
      </c>
      <c r="BE131" s="13">
        <v>10.22418027897009</v>
      </c>
      <c r="BF131" s="14">
        <v>0.81818181818181823</v>
      </c>
      <c r="BG131" s="14">
        <v>3.896103896103896E-2</v>
      </c>
      <c r="BH131" s="13">
        <v>0.55085922562964362</v>
      </c>
      <c r="BI131" s="13">
        <v>2.2034369025185745</v>
      </c>
      <c r="BJ131" s="13">
        <v>1.2865687051811729</v>
      </c>
      <c r="BK131" s="13">
        <v>2.5379943801553009</v>
      </c>
      <c r="BL131" s="13">
        <v>0.73020232109098171</v>
      </c>
      <c r="BM131" s="13">
        <v>0</v>
      </c>
      <c r="BN131" s="13">
        <v>11.322463768115943</v>
      </c>
      <c r="BO131" s="15" t="s">
        <v>187</v>
      </c>
      <c r="BP131" s="15"/>
      <c r="BQ131" s="12" t="s">
        <v>273</v>
      </c>
      <c r="BR131" s="26">
        <v>104.68</v>
      </c>
      <c r="BS131" s="27">
        <v>164.38</v>
      </c>
      <c r="BT131" s="27">
        <v>59.7</v>
      </c>
      <c r="BU131" s="26">
        <f t="shared" ref="BU131:BU194" si="118">BV131-BW131</f>
        <v>3.4893333333333327</v>
      </c>
      <c r="BV131" s="26">
        <f t="shared" ref="BV131:BW194" si="119">BS131/$D131</f>
        <v>5.4793333333333329</v>
      </c>
      <c r="BW131" s="26">
        <f t="shared" si="119"/>
        <v>1.99</v>
      </c>
      <c r="BX131" s="31">
        <f t="shared" si="73"/>
        <v>18.085954934849902</v>
      </c>
      <c r="BY131" s="31">
        <f t="shared" si="74"/>
        <v>28.40054711683824</v>
      </c>
      <c r="BZ131" s="31">
        <f t="shared" si="75"/>
        <v>10.314592181988338</v>
      </c>
      <c r="CA131" s="34">
        <v>19</v>
      </c>
      <c r="CB131" s="34">
        <v>11</v>
      </c>
    </row>
    <row r="132" spans="1:80" x14ac:dyDescent="0.4">
      <c r="A132" s="12" t="s">
        <v>191</v>
      </c>
      <c r="B132" s="12" t="s">
        <v>197</v>
      </c>
      <c r="C132" s="12" t="s">
        <v>176</v>
      </c>
      <c r="D132" s="12">
        <v>53</v>
      </c>
      <c r="E132" s="11">
        <v>25</v>
      </c>
      <c r="F132" s="11">
        <v>13</v>
      </c>
      <c r="G132" s="10">
        <v>80171</v>
      </c>
      <c r="H132" s="7">
        <v>857</v>
      </c>
      <c r="I132" s="17">
        <f t="shared" si="97"/>
        <v>16.169811320754718</v>
      </c>
      <c r="J132" s="7">
        <v>330</v>
      </c>
      <c r="K132" s="7">
        <v>817</v>
      </c>
      <c r="L132" s="17">
        <f t="shared" si="98"/>
        <v>6.2264150943396226</v>
      </c>
      <c r="M132" s="17">
        <f t="shared" si="99"/>
        <v>15.415094339622641</v>
      </c>
      <c r="N132" s="33">
        <f t="shared" si="100"/>
        <v>0.40391676866585069</v>
      </c>
      <c r="O132" s="5">
        <v>236</v>
      </c>
      <c r="P132" s="7">
        <v>508</v>
      </c>
      <c r="Q132" s="17">
        <f t="shared" si="101"/>
        <v>4.4528301886792452</v>
      </c>
      <c r="R132" s="17">
        <f t="shared" si="102"/>
        <v>9.584905660377359</v>
      </c>
      <c r="S132" s="33">
        <f t="shared" si="103"/>
        <v>0.46456692913385828</v>
      </c>
      <c r="T132" s="7">
        <v>94</v>
      </c>
      <c r="U132" s="7">
        <v>309</v>
      </c>
      <c r="V132" s="17">
        <f t="shared" si="104"/>
        <v>1.7735849056603774</v>
      </c>
      <c r="W132" s="17">
        <f t="shared" si="105"/>
        <v>5.8301886792452828</v>
      </c>
      <c r="X132" s="33">
        <f t="shared" si="106"/>
        <v>0.30420711974110032</v>
      </c>
      <c r="Y132" s="5">
        <v>103</v>
      </c>
      <c r="Z132" s="5">
        <v>154</v>
      </c>
      <c r="AA132" s="17">
        <f t="shared" si="107"/>
        <v>1.9433962264150944</v>
      </c>
      <c r="AB132" s="17">
        <f t="shared" si="108"/>
        <v>2.9056603773584904</v>
      </c>
      <c r="AC132" s="33">
        <f t="shared" si="109"/>
        <v>0.66883116883116878</v>
      </c>
      <c r="AD132" s="12">
        <v>356</v>
      </c>
      <c r="AE132" s="17">
        <f t="shared" si="110"/>
        <v>6.716981132075472</v>
      </c>
      <c r="AF132" s="12">
        <v>79</v>
      </c>
      <c r="AG132" s="17">
        <f t="shared" si="111"/>
        <v>1.4905660377358489</v>
      </c>
      <c r="AH132" s="7">
        <v>277</v>
      </c>
      <c r="AI132" s="17">
        <f t="shared" si="112"/>
        <v>5.2264150943396226</v>
      </c>
      <c r="AJ132" s="7">
        <v>120</v>
      </c>
      <c r="AK132" s="17">
        <f t="shared" si="113"/>
        <v>2.2641509433962264</v>
      </c>
      <c r="AL132" s="7">
        <v>58</v>
      </c>
      <c r="AM132" s="17">
        <f t="shared" si="114"/>
        <v>1.0943396226415094</v>
      </c>
      <c r="AN132" s="7">
        <v>30</v>
      </c>
      <c r="AO132" s="17">
        <f t="shared" si="115"/>
        <v>0.56603773584905659</v>
      </c>
      <c r="AP132" s="7">
        <v>116</v>
      </c>
      <c r="AQ132" s="17">
        <f t="shared" si="116"/>
        <v>2.1886792452830188</v>
      </c>
      <c r="AR132" s="7">
        <v>134</v>
      </c>
      <c r="AS132" s="17">
        <f t="shared" si="117"/>
        <v>2.5283018867924527</v>
      </c>
      <c r="AT132" s="13">
        <v>1.7508034046518777</v>
      </c>
      <c r="AU132" s="13">
        <v>5.2400306415649356E-2</v>
      </c>
      <c r="AV132" s="13">
        <v>-0.79126479016356921</v>
      </c>
      <c r="AW132" s="13">
        <v>2.5420681948154469</v>
      </c>
      <c r="AX132" s="13">
        <v>94.193541993182961</v>
      </c>
      <c r="AY132" s="13">
        <v>97.063580741306737</v>
      </c>
      <c r="AZ132" s="13">
        <v>13.275982581309535</v>
      </c>
      <c r="BA132" s="13">
        <v>14.471698113207546</v>
      </c>
      <c r="BB132" s="13">
        <v>22.95576700046141</v>
      </c>
      <c r="BC132" s="14">
        <v>0.48431212984312133</v>
      </c>
      <c r="BD132" s="14">
        <v>0.46144430844553241</v>
      </c>
      <c r="BE132" s="13">
        <v>35.452057064317259</v>
      </c>
      <c r="BF132" s="14">
        <v>0.37821297429620565</v>
      </c>
      <c r="BG132" s="14">
        <v>0.18849449204406366</v>
      </c>
      <c r="BH132" s="13">
        <v>6.6585518492582523</v>
      </c>
      <c r="BI132" s="13">
        <v>23.347074205627038</v>
      </c>
      <c r="BJ132" s="13">
        <v>14.016030835267838</v>
      </c>
      <c r="BK132" s="13">
        <v>18.016440001501373</v>
      </c>
      <c r="BL132" s="13">
        <v>2.4453295502596641</v>
      </c>
      <c r="BM132" s="13">
        <v>2.444148657194912</v>
      </c>
      <c r="BN132" s="13">
        <v>11.591190695071745</v>
      </c>
      <c r="BO132" s="15" t="s">
        <v>189</v>
      </c>
      <c r="BP132" s="15">
        <v>550000</v>
      </c>
      <c r="BQ132" s="12" t="s">
        <v>272</v>
      </c>
      <c r="BR132" s="26">
        <v>1178.75</v>
      </c>
      <c r="BS132" s="27">
        <v>1859.05</v>
      </c>
      <c r="BT132" s="27">
        <v>680.3</v>
      </c>
      <c r="BU132" s="26">
        <f t="shared" si="118"/>
        <v>22.240566037735853</v>
      </c>
      <c r="BV132" s="26">
        <f t="shared" si="119"/>
        <v>35.076415094339623</v>
      </c>
      <c r="BW132" s="26">
        <f t="shared" si="119"/>
        <v>12.835849056603772</v>
      </c>
      <c r="BX132" s="31">
        <f t="shared" si="73"/>
        <v>35.287073879582394</v>
      </c>
      <c r="BY132" s="31">
        <f t="shared" si="74"/>
        <v>55.652542690000125</v>
      </c>
      <c r="BZ132" s="31">
        <f t="shared" si="75"/>
        <v>20.365468810417731</v>
      </c>
      <c r="CA132" s="35">
        <v>34</v>
      </c>
      <c r="CB132" s="35">
        <v>19</v>
      </c>
    </row>
    <row r="133" spans="1:80" x14ac:dyDescent="0.4">
      <c r="A133" s="12" t="s">
        <v>191</v>
      </c>
      <c r="B133" s="12" t="s">
        <v>197</v>
      </c>
      <c r="C133" s="4" t="s">
        <v>242</v>
      </c>
      <c r="D133" s="5">
        <v>1</v>
      </c>
      <c r="E133" s="22">
        <v>15</v>
      </c>
      <c r="F133" s="22">
        <v>54</v>
      </c>
      <c r="G133" s="10">
        <v>954</v>
      </c>
      <c r="H133" s="5">
        <v>6</v>
      </c>
      <c r="I133" s="17">
        <f t="shared" si="97"/>
        <v>6</v>
      </c>
      <c r="J133" s="7">
        <v>3</v>
      </c>
      <c r="K133" s="7">
        <v>4</v>
      </c>
      <c r="L133" s="17">
        <f t="shared" si="98"/>
        <v>3</v>
      </c>
      <c r="M133" s="17">
        <f t="shared" si="99"/>
        <v>4</v>
      </c>
      <c r="N133" s="33">
        <f t="shared" si="100"/>
        <v>0.75</v>
      </c>
      <c r="O133" s="12">
        <v>3</v>
      </c>
      <c r="P133" s="12">
        <v>4</v>
      </c>
      <c r="Q133" s="17">
        <f t="shared" si="101"/>
        <v>3</v>
      </c>
      <c r="R133" s="17">
        <f t="shared" si="102"/>
        <v>4</v>
      </c>
      <c r="S133" s="33">
        <f t="shared" si="103"/>
        <v>0.75</v>
      </c>
      <c r="T133" s="12">
        <v>0</v>
      </c>
      <c r="U133" s="12">
        <v>0</v>
      </c>
      <c r="V133" s="17">
        <f t="shared" si="104"/>
        <v>0</v>
      </c>
      <c r="W133" s="17">
        <f t="shared" si="105"/>
        <v>0</v>
      </c>
      <c r="X133" s="33" t="e">
        <f t="shared" si="106"/>
        <v>#DIV/0!</v>
      </c>
      <c r="Y133" s="12">
        <v>0</v>
      </c>
      <c r="Z133" s="12">
        <v>0</v>
      </c>
      <c r="AA133" s="17">
        <f t="shared" si="107"/>
        <v>0</v>
      </c>
      <c r="AB133" s="17">
        <f t="shared" si="108"/>
        <v>0</v>
      </c>
      <c r="AC133" s="33" t="e">
        <f t="shared" si="109"/>
        <v>#DIV/0!</v>
      </c>
      <c r="AD133" s="12">
        <v>5</v>
      </c>
      <c r="AE133" s="17">
        <f t="shared" si="110"/>
        <v>5</v>
      </c>
      <c r="AF133" s="12">
        <v>2</v>
      </c>
      <c r="AG133" s="17">
        <f t="shared" si="111"/>
        <v>2</v>
      </c>
      <c r="AH133" s="12">
        <v>3</v>
      </c>
      <c r="AI133" s="17">
        <f t="shared" si="112"/>
        <v>3</v>
      </c>
      <c r="AJ133" s="12">
        <v>0</v>
      </c>
      <c r="AK133" s="17">
        <f t="shared" si="113"/>
        <v>0</v>
      </c>
      <c r="AL133" s="12">
        <v>1</v>
      </c>
      <c r="AM133" s="17">
        <f t="shared" si="114"/>
        <v>1</v>
      </c>
      <c r="AN133" s="12">
        <v>1</v>
      </c>
      <c r="AO133" s="17">
        <f t="shared" si="115"/>
        <v>1</v>
      </c>
      <c r="AP133" s="12">
        <v>0</v>
      </c>
      <c r="AQ133" s="17">
        <f t="shared" si="116"/>
        <v>0</v>
      </c>
      <c r="AR133" s="12">
        <v>4</v>
      </c>
      <c r="AS133" s="17">
        <f t="shared" si="117"/>
        <v>4</v>
      </c>
      <c r="AT133" s="13">
        <v>4.6337554176416017E-2</v>
      </c>
      <c r="AU133" s="13">
        <v>0.11657246333689564</v>
      </c>
      <c r="AV133" s="13">
        <v>7.737323020952579E-3</v>
      </c>
      <c r="AW133" s="13">
        <v>3.8600231155463439E-2</v>
      </c>
      <c r="AX133" s="13">
        <v>102.1877477009814</v>
      </c>
      <c r="AY133" s="13">
        <v>92.364987568174769</v>
      </c>
      <c r="AZ133" s="13">
        <v>0.30179027026906208</v>
      </c>
      <c r="BA133" s="13">
        <v>12</v>
      </c>
      <c r="BB133" s="13">
        <v>30.188679245283016</v>
      </c>
      <c r="BC133" s="14">
        <v>0.75</v>
      </c>
      <c r="BD133" s="14">
        <v>0.75</v>
      </c>
      <c r="BE133" s="13">
        <v>0.22473051440365285</v>
      </c>
      <c r="BF133" s="14">
        <v>0</v>
      </c>
      <c r="BG133" s="14">
        <v>0</v>
      </c>
      <c r="BH133" s="13">
        <v>0.26734572480767815</v>
      </c>
      <c r="BI133" s="13">
        <v>0.40101858721151729</v>
      </c>
      <c r="BJ133" s="13">
        <v>0.31220194470591356</v>
      </c>
      <c r="BK133" s="13">
        <v>0</v>
      </c>
      <c r="BL133" s="13">
        <v>3.5438540321291887</v>
      </c>
      <c r="BM133" s="13">
        <v>0.12921023474269397</v>
      </c>
      <c r="BN133" s="13">
        <v>0</v>
      </c>
      <c r="BO133" s="15" t="s">
        <v>187</v>
      </c>
      <c r="BP133" s="15">
        <v>50000</v>
      </c>
      <c r="BQ133" s="12" t="s">
        <v>273</v>
      </c>
      <c r="BR133" s="26">
        <v>16.98</v>
      </c>
      <c r="BS133" s="27">
        <v>17.98</v>
      </c>
      <c r="BT133" s="27">
        <v>1</v>
      </c>
      <c r="BU133" s="26">
        <f t="shared" si="118"/>
        <v>16.98</v>
      </c>
      <c r="BV133" s="26">
        <f t="shared" si="119"/>
        <v>17.98</v>
      </c>
      <c r="BW133" s="26">
        <f t="shared" si="119"/>
        <v>1</v>
      </c>
      <c r="BX133" s="31">
        <f t="shared" si="73"/>
        <v>42.716981132075468</v>
      </c>
      <c r="BY133" s="31">
        <f t="shared" si="74"/>
        <v>45.232704402515722</v>
      </c>
      <c r="BZ133" s="31">
        <f t="shared" si="75"/>
        <v>2.5157232704402515</v>
      </c>
      <c r="CA133" s="34">
        <v>1</v>
      </c>
      <c r="CB133" s="34">
        <v>0</v>
      </c>
    </row>
    <row r="134" spans="1:80" x14ac:dyDescent="0.4">
      <c r="A134" s="12" t="s">
        <v>191</v>
      </c>
      <c r="B134" s="12" t="s">
        <v>197</v>
      </c>
      <c r="C134" s="8" t="s">
        <v>230</v>
      </c>
      <c r="D134" s="5">
        <v>30</v>
      </c>
      <c r="E134" s="22">
        <v>7</v>
      </c>
      <c r="F134" s="22">
        <v>3</v>
      </c>
      <c r="G134" s="10">
        <v>12678</v>
      </c>
      <c r="H134" s="5">
        <v>50</v>
      </c>
      <c r="I134" s="17">
        <f t="shared" si="97"/>
        <v>1.6666666666666667</v>
      </c>
      <c r="J134" s="7">
        <v>15</v>
      </c>
      <c r="K134" s="7">
        <v>35</v>
      </c>
      <c r="L134" s="17">
        <f t="shared" si="98"/>
        <v>0.5</v>
      </c>
      <c r="M134" s="17">
        <f t="shared" si="99"/>
        <v>1.1666666666666667</v>
      </c>
      <c r="N134" s="33">
        <f t="shared" si="100"/>
        <v>0.42857142857142855</v>
      </c>
      <c r="O134" s="12">
        <v>8</v>
      </c>
      <c r="P134" s="12">
        <v>14</v>
      </c>
      <c r="Q134" s="17">
        <f t="shared" si="101"/>
        <v>0.26666666666666666</v>
      </c>
      <c r="R134" s="17">
        <f t="shared" si="102"/>
        <v>0.46666666666666667</v>
      </c>
      <c r="S134" s="33">
        <f t="shared" si="103"/>
        <v>0.5714285714285714</v>
      </c>
      <c r="T134" s="12">
        <v>7</v>
      </c>
      <c r="U134" s="12">
        <v>21</v>
      </c>
      <c r="V134" s="17">
        <f t="shared" si="104"/>
        <v>0.23333333333333334</v>
      </c>
      <c r="W134" s="17">
        <f t="shared" si="105"/>
        <v>0.7</v>
      </c>
      <c r="X134" s="33">
        <f t="shared" si="106"/>
        <v>0.33333333333333331</v>
      </c>
      <c r="Y134" s="12">
        <v>13</v>
      </c>
      <c r="Z134" s="12">
        <v>17</v>
      </c>
      <c r="AA134" s="17">
        <f t="shared" si="107"/>
        <v>0.43333333333333335</v>
      </c>
      <c r="AB134" s="17">
        <f t="shared" si="108"/>
        <v>0.56666666666666665</v>
      </c>
      <c r="AC134" s="33">
        <f t="shared" si="109"/>
        <v>0.76470588235294112</v>
      </c>
      <c r="AD134" s="12">
        <v>26</v>
      </c>
      <c r="AE134" s="17">
        <f t="shared" si="110"/>
        <v>0.8666666666666667</v>
      </c>
      <c r="AF134" s="12">
        <v>10</v>
      </c>
      <c r="AG134" s="17">
        <f t="shared" si="111"/>
        <v>0.33333333333333331</v>
      </c>
      <c r="AH134" s="12">
        <v>16</v>
      </c>
      <c r="AI134" s="17">
        <f t="shared" si="112"/>
        <v>0.53333333333333333</v>
      </c>
      <c r="AJ134" s="12">
        <v>8</v>
      </c>
      <c r="AK134" s="17">
        <f t="shared" si="113"/>
        <v>0.26666666666666666</v>
      </c>
      <c r="AL134" s="12">
        <v>7</v>
      </c>
      <c r="AM134" s="17">
        <f t="shared" si="114"/>
        <v>0.23333333333333334</v>
      </c>
      <c r="AN134" s="12">
        <v>2</v>
      </c>
      <c r="AO134" s="17">
        <f t="shared" si="115"/>
        <v>6.6666666666666666E-2</v>
      </c>
      <c r="AP134" s="12">
        <v>5</v>
      </c>
      <c r="AQ134" s="17">
        <f t="shared" si="116"/>
        <v>0.16666666666666666</v>
      </c>
      <c r="AR134" s="12">
        <v>29</v>
      </c>
      <c r="AS134" s="17">
        <f t="shared" si="117"/>
        <v>0.96666666666666667</v>
      </c>
      <c r="AT134" s="13">
        <v>0.52837138954477636</v>
      </c>
      <c r="AU134" s="13">
        <v>9.9928395185773303E-2</v>
      </c>
      <c r="AV134" s="13">
        <v>0.29619694147387854</v>
      </c>
      <c r="AW134" s="13">
        <v>0.23217444807089782</v>
      </c>
      <c r="AX134" s="13">
        <v>119.341114693889</v>
      </c>
      <c r="AY134" s="13">
        <v>104.25325220683811</v>
      </c>
      <c r="AZ134" s="13">
        <v>3.1921579985457926</v>
      </c>
      <c r="BA134" s="13">
        <v>2.1333333333333333</v>
      </c>
      <c r="BB134" s="13">
        <v>12.104018912529551</v>
      </c>
      <c r="BC134" s="14">
        <v>0.58851224105461386</v>
      </c>
      <c r="BD134" s="14">
        <v>0.52857142857142858</v>
      </c>
      <c r="BE134" s="13">
        <v>6.0161793155949814</v>
      </c>
      <c r="BF134" s="14">
        <v>0.6</v>
      </c>
      <c r="BG134" s="14">
        <v>0.48571428571428571</v>
      </c>
      <c r="BH134" s="13">
        <v>3.0147496627248813</v>
      </c>
      <c r="BI134" s="13">
        <v>4.8235994603598105</v>
      </c>
      <c r="BJ134" s="13">
        <v>3.661398125997863</v>
      </c>
      <c r="BK134" s="13">
        <v>3.0363412088433441</v>
      </c>
      <c r="BL134" s="13">
        <v>1.8649217672623102</v>
      </c>
      <c r="BM134" s="13">
        <v>0.58282063330747069</v>
      </c>
      <c r="BN134" s="13">
        <v>10.530749789385004</v>
      </c>
      <c r="BO134" s="15" t="s">
        <v>187</v>
      </c>
      <c r="BP134" s="15"/>
      <c r="BQ134" s="12" t="s">
        <v>273</v>
      </c>
      <c r="BR134" s="26">
        <v>127.03</v>
      </c>
      <c r="BS134" s="27">
        <v>156.33000000000001</v>
      </c>
      <c r="BT134" s="27">
        <v>29.3</v>
      </c>
      <c r="BU134" s="26">
        <f t="shared" si="118"/>
        <v>4.2343333333333337</v>
      </c>
      <c r="BV134" s="26">
        <f t="shared" si="119"/>
        <v>5.2110000000000003</v>
      </c>
      <c r="BW134" s="26">
        <f t="shared" si="119"/>
        <v>0.97666666666666668</v>
      </c>
      <c r="BX134" s="31">
        <f t="shared" si="73"/>
        <v>24.047326076668249</v>
      </c>
      <c r="BY134" s="31">
        <f t="shared" si="74"/>
        <v>29.59394226218647</v>
      </c>
      <c r="BZ134" s="31">
        <f t="shared" si="75"/>
        <v>5.5466161855182206</v>
      </c>
      <c r="CA134" s="35">
        <v>19</v>
      </c>
      <c r="CB134" s="35">
        <v>11</v>
      </c>
    </row>
    <row r="135" spans="1:80" x14ac:dyDescent="0.4">
      <c r="A135" s="12" t="s">
        <v>191</v>
      </c>
      <c r="B135" s="12" t="s">
        <v>197</v>
      </c>
      <c r="C135" s="4" t="s">
        <v>177</v>
      </c>
      <c r="D135" s="5">
        <v>52</v>
      </c>
      <c r="E135" s="22">
        <v>22</v>
      </c>
      <c r="F135" s="22">
        <v>6</v>
      </c>
      <c r="G135" s="10">
        <v>68953</v>
      </c>
      <c r="H135" s="5">
        <v>389</v>
      </c>
      <c r="I135" s="17">
        <f t="shared" si="97"/>
        <v>7.4807692307692308</v>
      </c>
      <c r="J135" s="7">
        <v>151</v>
      </c>
      <c r="K135" s="7">
        <v>340</v>
      </c>
      <c r="L135" s="17">
        <f t="shared" si="98"/>
        <v>2.9038461538461537</v>
      </c>
      <c r="M135" s="17">
        <f t="shared" si="99"/>
        <v>6.5384615384615383</v>
      </c>
      <c r="N135" s="33">
        <f t="shared" si="100"/>
        <v>0.44411764705882351</v>
      </c>
      <c r="O135" s="12">
        <v>110</v>
      </c>
      <c r="P135" s="12">
        <v>228</v>
      </c>
      <c r="Q135" s="17">
        <f t="shared" si="101"/>
        <v>2.1153846153846154</v>
      </c>
      <c r="R135" s="17">
        <f t="shared" si="102"/>
        <v>4.384615384615385</v>
      </c>
      <c r="S135" s="33">
        <f t="shared" si="103"/>
        <v>0.48245614035087719</v>
      </c>
      <c r="T135" s="12">
        <v>41</v>
      </c>
      <c r="U135" s="12">
        <v>112</v>
      </c>
      <c r="V135" s="17">
        <f t="shared" si="104"/>
        <v>0.78846153846153844</v>
      </c>
      <c r="W135" s="17">
        <f t="shared" si="105"/>
        <v>2.1538461538461537</v>
      </c>
      <c r="X135" s="33">
        <f t="shared" si="106"/>
        <v>0.36607142857142855</v>
      </c>
      <c r="Y135" s="12">
        <v>46</v>
      </c>
      <c r="Z135" s="12">
        <v>60</v>
      </c>
      <c r="AA135" s="17">
        <f t="shared" si="107"/>
        <v>0.88461538461538458</v>
      </c>
      <c r="AB135" s="17">
        <f t="shared" si="108"/>
        <v>1.1538461538461537</v>
      </c>
      <c r="AC135" s="33">
        <f t="shared" si="109"/>
        <v>0.76666666666666672</v>
      </c>
      <c r="AD135" s="12">
        <v>203</v>
      </c>
      <c r="AE135" s="17">
        <f t="shared" si="110"/>
        <v>3.9038461538461537</v>
      </c>
      <c r="AF135" s="12">
        <v>63</v>
      </c>
      <c r="AG135" s="17">
        <f t="shared" si="111"/>
        <v>1.2115384615384615</v>
      </c>
      <c r="AH135" s="12">
        <v>140</v>
      </c>
      <c r="AI135" s="17">
        <f t="shared" si="112"/>
        <v>2.6923076923076925</v>
      </c>
      <c r="AJ135" s="12">
        <v>60</v>
      </c>
      <c r="AK135" s="17">
        <f t="shared" si="113"/>
        <v>1.1538461538461537</v>
      </c>
      <c r="AL135" s="12">
        <v>33</v>
      </c>
      <c r="AM135" s="17">
        <f t="shared" si="114"/>
        <v>0.63461538461538458</v>
      </c>
      <c r="AN135" s="12">
        <v>5</v>
      </c>
      <c r="AO135" s="17">
        <f t="shared" si="115"/>
        <v>9.6153846153846159E-2</v>
      </c>
      <c r="AP135" s="12">
        <v>33</v>
      </c>
      <c r="AQ135" s="17">
        <f t="shared" si="116"/>
        <v>0.63461538461538458</v>
      </c>
      <c r="AR135" s="12">
        <v>142</v>
      </c>
      <c r="AS135" s="17">
        <f t="shared" si="117"/>
        <v>2.7307692307692308</v>
      </c>
      <c r="AT135" s="13">
        <v>2.680195421319775</v>
      </c>
      <c r="AU135" s="13">
        <v>9.3289085322651399E-2</v>
      </c>
      <c r="AV135" s="13">
        <v>1.29855625174274</v>
      </c>
      <c r="AW135" s="13">
        <v>1.3816391695770349</v>
      </c>
      <c r="AX135" s="13">
        <v>109.15730625169114</v>
      </c>
      <c r="AY135" s="13">
        <v>103.31903817944031</v>
      </c>
      <c r="AZ135" s="13">
        <v>7.9659235476438432</v>
      </c>
      <c r="BA135" s="13">
        <v>8.7307692307692299</v>
      </c>
      <c r="BB135" s="13">
        <v>15.80229725026105</v>
      </c>
      <c r="BC135" s="14">
        <v>0.53084061135371186</v>
      </c>
      <c r="BD135" s="14">
        <v>0.50441176470588234</v>
      </c>
      <c r="BE135" s="13">
        <v>16.144141883482142</v>
      </c>
      <c r="BF135" s="14">
        <v>0.32941176470588235</v>
      </c>
      <c r="BG135" s="14">
        <v>0.17647058823529413</v>
      </c>
      <c r="BH135" s="13">
        <v>6.058828338005684</v>
      </c>
      <c r="BI135" s="13">
        <v>13.464062973345964</v>
      </c>
      <c r="BJ135" s="13">
        <v>9.1194046780749076</v>
      </c>
      <c r="BK135" s="13">
        <v>8.3108248493663002</v>
      </c>
      <c r="BL135" s="13">
        <v>1.618047520586656</v>
      </c>
      <c r="BM135" s="13">
        <v>0.46480604805629727</v>
      </c>
      <c r="BN135" s="13">
        <v>8.2623935903855781</v>
      </c>
      <c r="BO135" s="15" t="s">
        <v>187</v>
      </c>
      <c r="BP135" s="15"/>
      <c r="BQ135" s="12" t="s">
        <v>273</v>
      </c>
      <c r="BR135" s="26">
        <v>830.7</v>
      </c>
      <c r="BS135" s="27">
        <v>1073.3</v>
      </c>
      <c r="BT135" s="27">
        <v>242.6</v>
      </c>
      <c r="BU135" s="26">
        <f t="shared" si="118"/>
        <v>15.975</v>
      </c>
      <c r="BV135" s="26">
        <f t="shared" si="119"/>
        <v>20.640384615384615</v>
      </c>
      <c r="BW135" s="26">
        <f t="shared" si="119"/>
        <v>4.6653846153846157</v>
      </c>
      <c r="BX135" s="31">
        <f t="shared" si="73"/>
        <v>28.913607819819294</v>
      </c>
      <c r="BY135" s="31">
        <f t="shared" si="74"/>
        <v>37.357620408104069</v>
      </c>
      <c r="BZ135" s="31">
        <f t="shared" si="75"/>
        <v>8.4440125882847745</v>
      </c>
      <c r="CA135" s="35">
        <v>34</v>
      </c>
      <c r="CB135" s="35">
        <v>18</v>
      </c>
    </row>
    <row r="136" spans="1:80" x14ac:dyDescent="0.4">
      <c r="A136" s="12" t="s">
        <v>191</v>
      </c>
      <c r="B136" s="12" t="s">
        <v>193</v>
      </c>
      <c r="C136" s="4" t="s">
        <v>220</v>
      </c>
      <c r="D136" s="5">
        <v>28</v>
      </c>
      <c r="E136" s="22">
        <v>13</v>
      </c>
      <c r="F136" s="22">
        <v>50</v>
      </c>
      <c r="G136" s="10">
        <v>23240</v>
      </c>
      <c r="H136" s="5">
        <v>99</v>
      </c>
      <c r="I136" s="17">
        <f t="shared" si="97"/>
        <v>3.5357142857142856</v>
      </c>
      <c r="J136" s="7">
        <v>36</v>
      </c>
      <c r="K136" s="7">
        <v>100</v>
      </c>
      <c r="L136" s="17">
        <f t="shared" si="98"/>
        <v>1.2857142857142858</v>
      </c>
      <c r="M136" s="17">
        <f t="shared" si="99"/>
        <v>3.5714285714285716</v>
      </c>
      <c r="N136" s="33">
        <f t="shared" si="100"/>
        <v>0.36</v>
      </c>
      <c r="O136" s="12">
        <v>22</v>
      </c>
      <c r="P136" s="12">
        <v>60</v>
      </c>
      <c r="Q136" s="17">
        <f t="shared" si="101"/>
        <v>0.7857142857142857</v>
      </c>
      <c r="R136" s="17">
        <f t="shared" si="102"/>
        <v>2.1428571428571428</v>
      </c>
      <c r="S136" s="33">
        <f t="shared" si="103"/>
        <v>0.36666666666666664</v>
      </c>
      <c r="T136" s="12">
        <v>14</v>
      </c>
      <c r="U136" s="12">
        <v>40</v>
      </c>
      <c r="V136" s="17">
        <f t="shared" si="104"/>
        <v>0.5</v>
      </c>
      <c r="W136" s="17">
        <f t="shared" si="105"/>
        <v>1.4285714285714286</v>
      </c>
      <c r="X136" s="33">
        <f t="shared" si="106"/>
        <v>0.35</v>
      </c>
      <c r="Y136" s="12">
        <v>13</v>
      </c>
      <c r="Z136" s="12">
        <v>14</v>
      </c>
      <c r="AA136" s="17">
        <f t="shared" si="107"/>
        <v>0.4642857142857143</v>
      </c>
      <c r="AB136" s="17">
        <f t="shared" si="108"/>
        <v>0.5</v>
      </c>
      <c r="AC136" s="33">
        <f t="shared" si="109"/>
        <v>0.9285714285714286</v>
      </c>
      <c r="AD136" s="12">
        <v>23</v>
      </c>
      <c r="AE136" s="17">
        <f t="shared" si="110"/>
        <v>0.8214285714285714</v>
      </c>
      <c r="AF136" s="12">
        <v>3</v>
      </c>
      <c r="AG136" s="17">
        <f t="shared" si="111"/>
        <v>0.10714285714285714</v>
      </c>
      <c r="AH136" s="12">
        <v>20</v>
      </c>
      <c r="AI136" s="17">
        <f t="shared" si="112"/>
        <v>0.7142857142857143</v>
      </c>
      <c r="AJ136" s="12">
        <v>71</v>
      </c>
      <c r="AK136" s="17">
        <f t="shared" si="113"/>
        <v>2.5357142857142856</v>
      </c>
      <c r="AL136" s="12">
        <v>11</v>
      </c>
      <c r="AM136" s="17">
        <f t="shared" si="114"/>
        <v>0.39285714285714285</v>
      </c>
      <c r="AN136" s="12">
        <v>0</v>
      </c>
      <c r="AO136" s="17">
        <f t="shared" si="115"/>
        <v>0</v>
      </c>
      <c r="AP136" s="12">
        <v>28</v>
      </c>
      <c r="AQ136" s="17">
        <f t="shared" si="116"/>
        <v>1</v>
      </c>
      <c r="AR136" s="12">
        <v>39</v>
      </c>
      <c r="AS136" s="17">
        <f t="shared" si="117"/>
        <v>1.3928571428571428</v>
      </c>
      <c r="AT136" s="13">
        <v>-0.11263236461208502</v>
      </c>
      <c r="AU136" s="13">
        <v>-1.1631569495223926E-2</v>
      </c>
      <c r="AV136" s="13">
        <v>-6.7399667953407169E-2</v>
      </c>
      <c r="AW136" s="13">
        <v>-4.5232696658677851E-2</v>
      </c>
      <c r="AX136" s="13">
        <v>95.455440522342201</v>
      </c>
      <c r="AY136" s="13">
        <v>115.12422138493631</v>
      </c>
      <c r="AZ136" s="13">
        <v>2.5812369215092206</v>
      </c>
      <c r="BA136" s="13">
        <v>3.9642857142857144</v>
      </c>
      <c r="BB136" s="13">
        <v>11.462994836488814</v>
      </c>
      <c r="BC136" s="14">
        <v>0.46627731725697064</v>
      </c>
      <c r="BD136" s="14">
        <v>0.43</v>
      </c>
      <c r="BE136" s="13">
        <v>8.6635400316337172</v>
      </c>
      <c r="BF136" s="14">
        <v>0.4</v>
      </c>
      <c r="BG136" s="14">
        <v>0.14000000000000001</v>
      </c>
      <c r="BH136" s="13">
        <v>0.46092979783106919</v>
      </c>
      <c r="BI136" s="13">
        <v>3.0728653188737947</v>
      </c>
      <c r="BJ136" s="13">
        <v>1.6506831495752181</v>
      </c>
      <c r="BK136" s="13">
        <v>13.910204081632655</v>
      </c>
      <c r="BL136" s="13">
        <v>1.6002239334407788</v>
      </c>
      <c r="BM136" s="13">
        <v>0</v>
      </c>
      <c r="BN136" s="13">
        <v>20.870602265951103</v>
      </c>
      <c r="BO136" s="15" t="s">
        <v>187</v>
      </c>
      <c r="BP136" s="15">
        <v>150000</v>
      </c>
      <c r="BQ136" s="12" t="s">
        <v>271</v>
      </c>
      <c r="BR136" s="26">
        <v>233.63</v>
      </c>
      <c r="BS136" s="27">
        <v>337.83</v>
      </c>
      <c r="BT136" s="27">
        <v>104.2</v>
      </c>
      <c r="BU136" s="26">
        <f t="shared" si="118"/>
        <v>8.3439285714285703</v>
      </c>
      <c r="BV136" s="26">
        <f t="shared" si="119"/>
        <v>12.065357142857142</v>
      </c>
      <c r="BW136" s="26">
        <f t="shared" si="119"/>
        <v>3.7214285714285715</v>
      </c>
      <c r="BX136" s="31">
        <f t="shared" si="73"/>
        <v>24.127022375215144</v>
      </c>
      <c r="BY136" s="31">
        <f t="shared" si="74"/>
        <v>34.887779690189326</v>
      </c>
      <c r="BZ136" s="31">
        <f t="shared" si="75"/>
        <v>10.760757314974182</v>
      </c>
      <c r="CA136" s="35">
        <v>9</v>
      </c>
      <c r="CB136" s="35">
        <v>19</v>
      </c>
    </row>
    <row r="137" spans="1:80" x14ac:dyDescent="0.4">
      <c r="A137" s="12" t="s">
        <v>191</v>
      </c>
      <c r="B137" s="12" t="s">
        <v>193</v>
      </c>
      <c r="C137" s="4" t="s">
        <v>153</v>
      </c>
      <c r="D137" s="5">
        <v>8</v>
      </c>
      <c r="E137" s="22">
        <v>1</v>
      </c>
      <c r="F137" s="22">
        <v>49</v>
      </c>
      <c r="G137" s="10">
        <v>868</v>
      </c>
      <c r="H137" s="5">
        <v>10</v>
      </c>
      <c r="I137" s="17">
        <f t="shared" si="97"/>
        <v>1.25</v>
      </c>
      <c r="J137" s="7">
        <v>3</v>
      </c>
      <c r="K137" s="7">
        <v>9</v>
      </c>
      <c r="L137" s="17">
        <f t="shared" si="98"/>
        <v>0.375</v>
      </c>
      <c r="M137" s="17">
        <f t="shared" si="99"/>
        <v>1.125</v>
      </c>
      <c r="N137" s="33">
        <f t="shared" si="100"/>
        <v>0.33333333333333331</v>
      </c>
      <c r="O137" s="12">
        <v>2</v>
      </c>
      <c r="P137" s="12">
        <v>6</v>
      </c>
      <c r="Q137" s="17">
        <f t="shared" si="101"/>
        <v>0.25</v>
      </c>
      <c r="R137" s="17">
        <f t="shared" si="102"/>
        <v>0.75</v>
      </c>
      <c r="S137" s="33">
        <f t="shared" si="103"/>
        <v>0.33333333333333331</v>
      </c>
      <c r="T137" s="12">
        <v>1</v>
      </c>
      <c r="U137" s="12">
        <v>3</v>
      </c>
      <c r="V137" s="17">
        <f t="shared" si="104"/>
        <v>0.125</v>
      </c>
      <c r="W137" s="17">
        <f t="shared" si="105"/>
        <v>0.375</v>
      </c>
      <c r="X137" s="33">
        <f t="shared" si="106"/>
        <v>0.33333333333333331</v>
      </c>
      <c r="Y137" s="12">
        <v>3</v>
      </c>
      <c r="Z137" s="12">
        <v>3</v>
      </c>
      <c r="AA137" s="17">
        <f t="shared" si="107"/>
        <v>0.375</v>
      </c>
      <c r="AB137" s="17">
        <f t="shared" si="108"/>
        <v>0.375</v>
      </c>
      <c r="AC137" s="33">
        <f t="shared" si="109"/>
        <v>1</v>
      </c>
      <c r="AD137" s="12">
        <v>2</v>
      </c>
      <c r="AE137" s="17">
        <f t="shared" si="110"/>
        <v>0.25</v>
      </c>
      <c r="AF137" s="12">
        <v>1</v>
      </c>
      <c r="AG137" s="17">
        <f t="shared" si="111"/>
        <v>0.125</v>
      </c>
      <c r="AH137" s="12">
        <v>1</v>
      </c>
      <c r="AI137" s="17">
        <f t="shared" si="112"/>
        <v>0.125</v>
      </c>
      <c r="AJ137" s="12">
        <v>2</v>
      </c>
      <c r="AK137" s="17">
        <f t="shared" si="113"/>
        <v>0.25</v>
      </c>
      <c r="AL137" s="12">
        <v>0</v>
      </c>
      <c r="AM137" s="17">
        <f t="shared" si="114"/>
        <v>0</v>
      </c>
      <c r="AN137" s="12">
        <v>0</v>
      </c>
      <c r="AO137" s="17">
        <f t="shared" si="115"/>
        <v>0</v>
      </c>
      <c r="AP137" s="12">
        <v>0</v>
      </c>
      <c r="AQ137" s="17">
        <f t="shared" si="116"/>
        <v>0</v>
      </c>
      <c r="AR137" s="12">
        <v>0</v>
      </c>
      <c r="AS137" s="17">
        <f t="shared" si="117"/>
        <v>0</v>
      </c>
      <c r="AT137" s="13">
        <v>4.2587724609572788E-2</v>
      </c>
      <c r="AU137" s="13">
        <v>0.11721392094377833</v>
      </c>
      <c r="AV137" s="13">
        <v>4.923536499576326E-2</v>
      </c>
      <c r="AW137" s="13">
        <v>-6.6476403861904744E-3</v>
      </c>
      <c r="AX137" s="13">
        <v>115.55175161331694</v>
      </c>
      <c r="AY137" s="13">
        <v>118.21079727914763</v>
      </c>
      <c r="AZ137" s="13">
        <v>2.4108548639170975</v>
      </c>
      <c r="BA137" s="13">
        <v>1</v>
      </c>
      <c r="BB137" s="13">
        <v>22.018348623853214</v>
      </c>
      <c r="BC137" s="14">
        <v>0.48449612403100772</v>
      </c>
      <c r="BD137" s="14">
        <v>0.3888888888888889</v>
      </c>
      <c r="BE137" s="13">
        <v>5.0746211900183376</v>
      </c>
      <c r="BF137" s="14">
        <v>0.33333333333333331</v>
      </c>
      <c r="BG137" s="14">
        <v>0.33333333333333331</v>
      </c>
      <c r="BH137" s="13">
        <v>1.1699441351675457</v>
      </c>
      <c r="BI137" s="13">
        <v>1.1699441351675457</v>
      </c>
      <c r="BJ137" s="13">
        <v>1.09299323027318</v>
      </c>
      <c r="BK137" s="13">
        <v>2.9087383347473033</v>
      </c>
      <c r="BL137" s="13">
        <v>0</v>
      </c>
      <c r="BM137" s="13">
        <v>0</v>
      </c>
      <c r="BN137" s="13">
        <v>0</v>
      </c>
      <c r="BO137" s="15" t="s">
        <v>187</v>
      </c>
      <c r="BP137" s="15">
        <v>430000</v>
      </c>
      <c r="BQ137" s="12" t="s">
        <v>271</v>
      </c>
      <c r="BR137" s="26">
        <v>14.82</v>
      </c>
      <c r="BS137" s="27">
        <v>20.62</v>
      </c>
      <c r="BT137" s="27">
        <v>5.8</v>
      </c>
      <c r="BU137" s="26">
        <f t="shared" si="118"/>
        <v>1.8525</v>
      </c>
      <c r="BV137" s="26">
        <f t="shared" si="119"/>
        <v>2.5775000000000001</v>
      </c>
      <c r="BW137" s="26">
        <f t="shared" si="119"/>
        <v>0.72499999999999998</v>
      </c>
      <c r="BX137" s="31">
        <f t="shared" si="73"/>
        <v>40.976958525345623</v>
      </c>
      <c r="BY137" s="31">
        <f t="shared" si="74"/>
        <v>57.013824884792626</v>
      </c>
      <c r="BZ137" s="31">
        <f t="shared" si="75"/>
        <v>16.036866359447004</v>
      </c>
      <c r="CA137" s="35">
        <v>2</v>
      </c>
      <c r="CB137" s="35">
        <v>6</v>
      </c>
    </row>
    <row r="138" spans="1:80" x14ac:dyDescent="0.4">
      <c r="A138" s="12" t="s">
        <v>191</v>
      </c>
      <c r="B138" s="12" t="s">
        <v>193</v>
      </c>
      <c r="C138" s="4" t="s">
        <v>252</v>
      </c>
      <c r="D138" s="5">
        <v>1</v>
      </c>
      <c r="E138" s="22">
        <v>3</v>
      </c>
      <c r="F138" s="22">
        <v>0</v>
      </c>
      <c r="G138" s="10">
        <v>180</v>
      </c>
      <c r="H138" s="5">
        <v>0</v>
      </c>
      <c r="I138" s="17">
        <f t="shared" si="97"/>
        <v>0</v>
      </c>
      <c r="J138" s="7">
        <v>0</v>
      </c>
      <c r="K138" s="7">
        <v>1</v>
      </c>
      <c r="L138" s="17">
        <f t="shared" si="98"/>
        <v>0</v>
      </c>
      <c r="M138" s="17">
        <f t="shared" si="99"/>
        <v>1</v>
      </c>
      <c r="N138" s="33">
        <f t="shared" si="100"/>
        <v>0</v>
      </c>
      <c r="O138" s="12">
        <v>0</v>
      </c>
      <c r="P138" s="12">
        <v>0</v>
      </c>
      <c r="Q138" s="17">
        <f t="shared" si="101"/>
        <v>0</v>
      </c>
      <c r="R138" s="17">
        <f t="shared" si="102"/>
        <v>0</v>
      </c>
      <c r="S138" s="33" t="e">
        <f t="shared" si="103"/>
        <v>#DIV/0!</v>
      </c>
      <c r="T138" s="12">
        <v>0</v>
      </c>
      <c r="U138" s="12">
        <v>1</v>
      </c>
      <c r="V138" s="17">
        <f t="shared" si="104"/>
        <v>0</v>
      </c>
      <c r="W138" s="17">
        <f t="shared" si="105"/>
        <v>1</v>
      </c>
      <c r="X138" s="33">
        <f t="shared" si="106"/>
        <v>0</v>
      </c>
      <c r="Y138" s="12">
        <v>0</v>
      </c>
      <c r="Z138" s="12">
        <v>0</v>
      </c>
      <c r="AA138" s="17">
        <f t="shared" si="107"/>
        <v>0</v>
      </c>
      <c r="AB138" s="17">
        <f t="shared" si="108"/>
        <v>0</v>
      </c>
      <c r="AC138" s="33" t="e">
        <f t="shared" si="109"/>
        <v>#DIV/0!</v>
      </c>
      <c r="AD138" s="12">
        <v>0</v>
      </c>
      <c r="AE138" s="17">
        <f t="shared" si="110"/>
        <v>0</v>
      </c>
      <c r="AF138" s="12">
        <v>0</v>
      </c>
      <c r="AG138" s="17">
        <f t="shared" si="111"/>
        <v>0</v>
      </c>
      <c r="AH138" s="12">
        <v>0</v>
      </c>
      <c r="AI138" s="17">
        <f t="shared" si="112"/>
        <v>0</v>
      </c>
      <c r="AJ138" s="12">
        <v>0</v>
      </c>
      <c r="AK138" s="17">
        <f t="shared" si="113"/>
        <v>0</v>
      </c>
      <c r="AL138" s="12">
        <v>1</v>
      </c>
      <c r="AM138" s="17">
        <f t="shared" si="114"/>
        <v>1</v>
      </c>
      <c r="AN138" s="12">
        <v>0</v>
      </c>
      <c r="AO138" s="17">
        <f t="shared" si="115"/>
        <v>0</v>
      </c>
      <c r="AP138" s="12">
        <v>1</v>
      </c>
      <c r="AQ138" s="17">
        <f t="shared" si="116"/>
        <v>1</v>
      </c>
      <c r="AR138" s="12">
        <v>1</v>
      </c>
      <c r="AS138" s="17">
        <f t="shared" si="117"/>
        <v>1</v>
      </c>
      <c r="AT138" s="13">
        <v>-4.0788863286978679E-2</v>
      </c>
      <c r="AU138" s="13">
        <v>-0.54385151049304903</v>
      </c>
      <c r="AV138" s="13">
        <v>-5.2491324236688078E-2</v>
      </c>
      <c r="AW138" s="13">
        <v>1.1702460949709401E-2</v>
      </c>
      <c r="AX138" s="13">
        <v>0</v>
      </c>
      <c r="AY138" s="13">
        <v>78.718888904394731</v>
      </c>
      <c r="AZ138" s="13">
        <v>-0.31486072229234779</v>
      </c>
      <c r="BA138" s="13">
        <v>-1</v>
      </c>
      <c r="BB138" s="13">
        <v>-13.333333333333332</v>
      </c>
      <c r="BC138" s="14">
        <v>0</v>
      </c>
      <c r="BD138" s="14">
        <v>0</v>
      </c>
      <c r="BE138" s="13">
        <v>0.5955358631696801</v>
      </c>
      <c r="BF138" s="14">
        <v>1</v>
      </c>
      <c r="BG138" s="14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18.782426370284696</v>
      </c>
      <c r="BM138" s="13">
        <v>0</v>
      </c>
      <c r="BN138" s="13">
        <v>50</v>
      </c>
      <c r="BO138" s="15" t="s">
        <v>187</v>
      </c>
      <c r="BP138" s="15"/>
      <c r="BQ138" s="12" t="s">
        <v>272</v>
      </c>
      <c r="BR138" s="26">
        <v>-0.65</v>
      </c>
      <c r="BS138" s="27">
        <v>1.75</v>
      </c>
      <c r="BT138" s="27">
        <v>2.4</v>
      </c>
      <c r="BU138" s="26">
        <f t="shared" si="118"/>
        <v>-0.64999999999999991</v>
      </c>
      <c r="BV138" s="26">
        <f t="shared" si="119"/>
        <v>1.75</v>
      </c>
      <c r="BW138" s="26">
        <f t="shared" si="119"/>
        <v>2.4</v>
      </c>
      <c r="BX138" s="31">
        <f t="shared" si="73"/>
        <v>-8.6666666666666679</v>
      </c>
      <c r="BY138" s="31">
        <f t="shared" si="74"/>
        <v>23.333333333333332</v>
      </c>
      <c r="BZ138" s="31">
        <f t="shared" si="75"/>
        <v>32</v>
      </c>
      <c r="CA138" s="34">
        <v>0</v>
      </c>
      <c r="CB138" s="34">
        <v>1</v>
      </c>
    </row>
    <row r="139" spans="1:80" x14ac:dyDescent="0.4">
      <c r="A139" s="12" t="s">
        <v>191</v>
      </c>
      <c r="B139" s="12" t="s">
        <v>193</v>
      </c>
      <c r="C139" s="12" t="s">
        <v>147</v>
      </c>
      <c r="D139" s="12">
        <v>51</v>
      </c>
      <c r="E139" s="11">
        <v>30</v>
      </c>
      <c r="F139" s="11">
        <v>6</v>
      </c>
      <c r="G139" s="10">
        <v>92085</v>
      </c>
      <c r="H139" s="7">
        <v>1063</v>
      </c>
      <c r="I139" s="17">
        <f t="shared" si="97"/>
        <v>20.843137254901961</v>
      </c>
      <c r="J139" s="7">
        <v>417</v>
      </c>
      <c r="K139" s="7">
        <v>876</v>
      </c>
      <c r="L139" s="17">
        <f t="shared" si="98"/>
        <v>8.1764705882352935</v>
      </c>
      <c r="M139" s="17">
        <f t="shared" si="99"/>
        <v>17.176470588235293</v>
      </c>
      <c r="N139" s="33">
        <f t="shared" si="100"/>
        <v>0.47602739726027399</v>
      </c>
      <c r="O139" s="5">
        <v>342</v>
      </c>
      <c r="P139" s="7">
        <v>624</v>
      </c>
      <c r="Q139" s="17">
        <f t="shared" si="101"/>
        <v>6.7058823529411766</v>
      </c>
      <c r="R139" s="17">
        <f t="shared" si="102"/>
        <v>12.235294117647058</v>
      </c>
      <c r="S139" s="33">
        <f t="shared" si="103"/>
        <v>0.54807692307692313</v>
      </c>
      <c r="T139" s="7">
        <v>75</v>
      </c>
      <c r="U139" s="7">
        <v>252</v>
      </c>
      <c r="V139" s="17">
        <f t="shared" si="104"/>
        <v>1.4705882352941178</v>
      </c>
      <c r="W139" s="17">
        <f t="shared" si="105"/>
        <v>4.9411764705882355</v>
      </c>
      <c r="X139" s="33">
        <f t="shared" si="106"/>
        <v>0.29761904761904762</v>
      </c>
      <c r="Y139" s="5">
        <v>154</v>
      </c>
      <c r="Z139" s="5">
        <v>202</v>
      </c>
      <c r="AA139" s="17">
        <f t="shared" si="107"/>
        <v>3.0196078431372548</v>
      </c>
      <c r="AB139" s="17">
        <f t="shared" si="108"/>
        <v>3.9607843137254903</v>
      </c>
      <c r="AC139" s="33">
        <f t="shared" si="109"/>
        <v>0.76237623762376239</v>
      </c>
      <c r="AD139" s="12">
        <v>454</v>
      </c>
      <c r="AE139" s="17">
        <f t="shared" si="110"/>
        <v>8.9019607843137258</v>
      </c>
      <c r="AF139" s="12">
        <v>125</v>
      </c>
      <c r="AG139" s="17">
        <f t="shared" si="111"/>
        <v>2.4509803921568629</v>
      </c>
      <c r="AH139" s="7">
        <v>329</v>
      </c>
      <c r="AI139" s="17">
        <f t="shared" si="112"/>
        <v>6.4509803921568629</v>
      </c>
      <c r="AJ139" s="7">
        <v>131</v>
      </c>
      <c r="AK139" s="17">
        <f t="shared" si="113"/>
        <v>2.5686274509803924</v>
      </c>
      <c r="AL139" s="7">
        <v>73</v>
      </c>
      <c r="AM139" s="17">
        <f t="shared" si="114"/>
        <v>1.4313725490196079</v>
      </c>
      <c r="AN139" s="7">
        <v>34</v>
      </c>
      <c r="AO139" s="17">
        <f t="shared" si="115"/>
        <v>0.66666666666666663</v>
      </c>
      <c r="AP139" s="7">
        <v>80</v>
      </c>
      <c r="AQ139" s="17">
        <f t="shared" si="116"/>
        <v>1.5686274509803921</v>
      </c>
      <c r="AR139" s="7">
        <v>160</v>
      </c>
      <c r="AS139" s="17">
        <f t="shared" si="117"/>
        <v>3.1372549019607843</v>
      </c>
      <c r="AT139" s="13">
        <v>5.164953430469148</v>
      </c>
      <c r="AU139" s="13">
        <v>0.13458285272540285</v>
      </c>
      <c r="AV139" s="13">
        <v>3.5466597855115101</v>
      </c>
      <c r="AW139" s="13">
        <v>1.6182936449576382</v>
      </c>
      <c r="AX139" s="13">
        <v>110.40051614144299</v>
      </c>
      <c r="AY139" s="13">
        <v>104.51348393663605</v>
      </c>
      <c r="AZ139" s="13">
        <v>17.395158849224636</v>
      </c>
      <c r="BA139" s="13">
        <v>22.901960784313726</v>
      </c>
      <c r="BB139" s="13">
        <v>30.434499381147809</v>
      </c>
      <c r="BC139" s="14">
        <v>0.55084570101981589</v>
      </c>
      <c r="BD139" s="14">
        <v>0.51883561643835618</v>
      </c>
      <c r="BE139" s="13">
        <v>31.009809603425353</v>
      </c>
      <c r="BF139" s="14">
        <v>0.28767123287671231</v>
      </c>
      <c r="BG139" s="14">
        <v>0.23059360730593606</v>
      </c>
      <c r="BH139" s="13">
        <v>8.8264057816488428</v>
      </c>
      <c r="BI139" s="13">
        <v>23.231100017299756</v>
      </c>
      <c r="BJ139" s="13">
        <v>14.974491415641912</v>
      </c>
      <c r="BK139" s="13">
        <v>16.970011011075851</v>
      </c>
      <c r="BL139" s="13">
        <v>2.6795331737947685</v>
      </c>
      <c r="BM139" s="13">
        <v>2.3206329867740982</v>
      </c>
      <c r="BN139" s="13">
        <v>7.6563815940586473</v>
      </c>
      <c r="BO139" s="15" t="s">
        <v>190</v>
      </c>
      <c r="BP139" s="15">
        <v>270000</v>
      </c>
      <c r="BQ139" s="12" t="s">
        <v>273</v>
      </c>
      <c r="BR139" s="26">
        <v>1671.49</v>
      </c>
      <c r="BS139" s="27">
        <v>2271.19</v>
      </c>
      <c r="BT139" s="27">
        <v>599.70000000000005</v>
      </c>
      <c r="BU139" s="26">
        <f t="shared" si="118"/>
        <v>32.774313725490195</v>
      </c>
      <c r="BV139" s="26">
        <f t="shared" si="119"/>
        <v>44.533137254901959</v>
      </c>
      <c r="BW139" s="26">
        <f t="shared" si="119"/>
        <v>11.758823529411766</v>
      </c>
      <c r="BX139" s="31">
        <f t="shared" si="73"/>
        <v>43.563837758592598</v>
      </c>
      <c r="BY139" s="31">
        <f t="shared" si="74"/>
        <v>59.193744909594393</v>
      </c>
      <c r="BZ139" s="31">
        <f t="shared" si="75"/>
        <v>15.629907151001792</v>
      </c>
      <c r="CA139" s="35">
        <v>17</v>
      </c>
      <c r="CB139" s="35">
        <v>34</v>
      </c>
    </row>
    <row r="140" spans="1:80" x14ac:dyDescent="0.4">
      <c r="A140" s="12" t="s">
        <v>191</v>
      </c>
      <c r="B140" s="12" t="s">
        <v>193</v>
      </c>
      <c r="C140" s="4" t="s">
        <v>90</v>
      </c>
      <c r="D140" s="5">
        <v>9</v>
      </c>
      <c r="E140" s="22">
        <v>20</v>
      </c>
      <c r="F140" s="22">
        <v>20</v>
      </c>
      <c r="G140" s="10">
        <v>10976</v>
      </c>
      <c r="H140" s="5">
        <v>69</v>
      </c>
      <c r="I140" s="17">
        <f t="shared" si="97"/>
        <v>7.666666666666667</v>
      </c>
      <c r="J140" s="7">
        <v>24</v>
      </c>
      <c r="K140" s="7">
        <v>59</v>
      </c>
      <c r="L140" s="17">
        <f t="shared" si="98"/>
        <v>2.6666666666666665</v>
      </c>
      <c r="M140" s="17">
        <f t="shared" si="99"/>
        <v>6.5555555555555554</v>
      </c>
      <c r="N140" s="33">
        <f t="shared" si="100"/>
        <v>0.40677966101694918</v>
      </c>
      <c r="O140" s="12">
        <v>7</v>
      </c>
      <c r="P140" s="12">
        <v>17</v>
      </c>
      <c r="Q140" s="17">
        <f t="shared" si="101"/>
        <v>0.77777777777777779</v>
      </c>
      <c r="R140" s="17">
        <f t="shared" si="102"/>
        <v>1.8888888888888888</v>
      </c>
      <c r="S140" s="33">
        <f t="shared" si="103"/>
        <v>0.41176470588235292</v>
      </c>
      <c r="T140" s="12">
        <v>17</v>
      </c>
      <c r="U140" s="12">
        <v>42</v>
      </c>
      <c r="V140" s="17">
        <f t="shared" si="104"/>
        <v>1.8888888888888888</v>
      </c>
      <c r="W140" s="17">
        <f t="shared" si="105"/>
        <v>4.666666666666667</v>
      </c>
      <c r="X140" s="33">
        <f t="shared" si="106"/>
        <v>0.40476190476190477</v>
      </c>
      <c r="Y140" s="12">
        <v>4</v>
      </c>
      <c r="Z140" s="12">
        <v>6</v>
      </c>
      <c r="AA140" s="17">
        <f t="shared" si="107"/>
        <v>0.44444444444444442</v>
      </c>
      <c r="AB140" s="17">
        <f t="shared" si="108"/>
        <v>0.66666666666666663</v>
      </c>
      <c r="AC140" s="33">
        <f t="shared" si="109"/>
        <v>0.66666666666666663</v>
      </c>
      <c r="AD140" s="12">
        <v>11</v>
      </c>
      <c r="AE140" s="17">
        <f t="shared" si="110"/>
        <v>1.2222222222222223</v>
      </c>
      <c r="AF140" s="12">
        <v>4</v>
      </c>
      <c r="AG140" s="17">
        <f t="shared" si="111"/>
        <v>0.44444444444444442</v>
      </c>
      <c r="AH140" s="12">
        <v>7</v>
      </c>
      <c r="AI140" s="17">
        <f t="shared" si="112"/>
        <v>0.77777777777777779</v>
      </c>
      <c r="AJ140" s="12">
        <v>20</v>
      </c>
      <c r="AK140" s="17">
        <f t="shared" si="113"/>
        <v>2.2222222222222223</v>
      </c>
      <c r="AL140" s="12">
        <v>5</v>
      </c>
      <c r="AM140" s="17">
        <f t="shared" si="114"/>
        <v>0.55555555555555558</v>
      </c>
      <c r="AN140" s="12">
        <v>2</v>
      </c>
      <c r="AO140" s="17">
        <f t="shared" si="115"/>
        <v>0.22222222222222221</v>
      </c>
      <c r="AP140" s="12">
        <v>8</v>
      </c>
      <c r="AQ140" s="17">
        <f t="shared" si="116"/>
        <v>0.88888888888888884</v>
      </c>
      <c r="AR140" s="12">
        <v>16</v>
      </c>
      <c r="AS140" s="17">
        <f t="shared" si="117"/>
        <v>1.7777777777777777</v>
      </c>
      <c r="AT140" s="13">
        <v>0.19770220355399903</v>
      </c>
      <c r="AU140" s="13">
        <v>4.3213596405245691E-2</v>
      </c>
      <c r="AV140" s="13">
        <v>0.22177612077454339</v>
      </c>
      <c r="AW140" s="13">
        <v>-2.407391722054435E-2</v>
      </c>
      <c r="AX140" s="13">
        <v>109.15560857409659</v>
      </c>
      <c r="AY140" s="13">
        <v>115.25807452341219</v>
      </c>
      <c r="AZ140" s="13">
        <v>1.4513526148387204</v>
      </c>
      <c r="BA140" s="13">
        <v>6.8888888888888893</v>
      </c>
      <c r="BB140" s="13">
        <v>13.55191256830601</v>
      </c>
      <c r="BC140" s="14">
        <v>0.55970149253731338</v>
      </c>
      <c r="BD140" s="14">
        <v>0.55084745762711862</v>
      </c>
      <c r="BE140" s="13">
        <v>3.0594922754117104</v>
      </c>
      <c r="BF140" s="14">
        <v>0.71186440677966101</v>
      </c>
      <c r="BG140" s="14">
        <v>0.10169491525423729</v>
      </c>
      <c r="BH140" s="13">
        <v>0.4181111827320082</v>
      </c>
      <c r="BI140" s="13">
        <v>0.73169456978101433</v>
      </c>
      <c r="BJ140" s="13">
        <v>0.5370897061875175</v>
      </c>
      <c r="BK140" s="13">
        <v>2.5668449197860963</v>
      </c>
      <c r="BL140" s="13">
        <v>1.5395431451053032</v>
      </c>
      <c r="BM140" s="13">
        <v>0.20207633433529515</v>
      </c>
      <c r="BN140" s="13">
        <v>11.487650775416427</v>
      </c>
      <c r="BO140" s="15" t="s">
        <v>188</v>
      </c>
      <c r="BP140" s="15">
        <v>54000</v>
      </c>
      <c r="BQ140" s="12" t="s">
        <v>271</v>
      </c>
      <c r="BR140" s="26">
        <v>120.13</v>
      </c>
      <c r="BS140" s="27">
        <v>166.23</v>
      </c>
      <c r="BT140" s="27">
        <v>46.1</v>
      </c>
      <c r="BU140" s="26">
        <f t="shared" si="118"/>
        <v>13.347777777777775</v>
      </c>
      <c r="BV140" s="26">
        <f t="shared" si="119"/>
        <v>18.47</v>
      </c>
      <c r="BW140" s="26">
        <f t="shared" si="119"/>
        <v>5.1222222222222227</v>
      </c>
      <c r="BX140" s="31">
        <f t="shared" si="73"/>
        <v>26.267492711370259</v>
      </c>
      <c r="BY140" s="31">
        <f t="shared" si="74"/>
        <v>36.347667638483962</v>
      </c>
      <c r="BZ140" s="31">
        <f t="shared" si="75"/>
        <v>10.080174927113703</v>
      </c>
      <c r="CA140" s="35">
        <v>4</v>
      </c>
      <c r="CB140" s="35">
        <v>5</v>
      </c>
    </row>
    <row r="141" spans="1:80" x14ac:dyDescent="0.4">
      <c r="A141" s="12" t="s">
        <v>191</v>
      </c>
      <c r="B141" s="12" t="s">
        <v>193</v>
      </c>
      <c r="C141" s="4" t="s">
        <v>88</v>
      </c>
      <c r="D141" s="5">
        <v>48</v>
      </c>
      <c r="E141" s="22">
        <v>29</v>
      </c>
      <c r="F141" s="22">
        <v>46</v>
      </c>
      <c r="G141" s="10">
        <v>85717</v>
      </c>
      <c r="H141" s="5">
        <v>449</v>
      </c>
      <c r="I141" s="17">
        <f t="shared" si="97"/>
        <v>9.3541666666666661</v>
      </c>
      <c r="J141" s="7">
        <v>165</v>
      </c>
      <c r="K141" s="7">
        <v>392</v>
      </c>
      <c r="L141" s="17">
        <f t="shared" si="98"/>
        <v>3.4375</v>
      </c>
      <c r="M141" s="17">
        <f t="shared" si="99"/>
        <v>8.1666666666666661</v>
      </c>
      <c r="N141" s="33">
        <f t="shared" si="100"/>
        <v>0.42091836734693877</v>
      </c>
      <c r="O141" s="12">
        <v>106</v>
      </c>
      <c r="P141" s="12">
        <v>217</v>
      </c>
      <c r="Q141" s="17">
        <f t="shared" si="101"/>
        <v>2.2083333333333335</v>
      </c>
      <c r="R141" s="17">
        <f t="shared" si="102"/>
        <v>4.520833333333333</v>
      </c>
      <c r="S141" s="33">
        <f t="shared" si="103"/>
        <v>0.48847926267281105</v>
      </c>
      <c r="T141" s="12">
        <v>59</v>
      </c>
      <c r="U141" s="12">
        <v>175</v>
      </c>
      <c r="V141" s="17">
        <f t="shared" si="104"/>
        <v>1.2291666666666667</v>
      </c>
      <c r="W141" s="17">
        <f t="shared" si="105"/>
        <v>3.6458333333333335</v>
      </c>
      <c r="X141" s="33">
        <f t="shared" si="106"/>
        <v>0.33714285714285713</v>
      </c>
      <c r="Y141" s="12">
        <v>60</v>
      </c>
      <c r="Z141" s="12">
        <v>76</v>
      </c>
      <c r="AA141" s="17">
        <f t="shared" si="107"/>
        <v>1.25</v>
      </c>
      <c r="AB141" s="17">
        <f t="shared" si="108"/>
        <v>1.5833333333333333</v>
      </c>
      <c r="AC141" s="33">
        <f t="shared" si="109"/>
        <v>0.78947368421052633</v>
      </c>
      <c r="AD141" s="12">
        <v>175</v>
      </c>
      <c r="AE141" s="17">
        <f t="shared" si="110"/>
        <v>3.6458333333333335</v>
      </c>
      <c r="AF141" s="12">
        <v>59</v>
      </c>
      <c r="AG141" s="17">
        <f t="shared" si="111"/>
        <v>1.2291666666666667</v>
      </c>
      <c r="AH141" s="12">
        <v>116</v>
      </c>
      <c r="AI141" s="17">
        <f t="shared" si="112"/>
        <v>2.4166666666666665</v>
      </c>
      <c r="AJ141" s="12">
        <v>288</v>
      </c>
      <c r="AK141" s="17">
        <f t="shared" si="113"/>
        <v>6</v>
      </c>
      <c r="AL141" s="12">
        <v>43</v>
      </c>
      <c r="AM141" s="17">
        <f t="shared" si="114"/>
        <v>0.89583333333333337</v>
      </c>
      <c r="AN141" s="12">
        <v>3</v>
      </c>
      <c r="AO141" s="17">
        <f t="shared" si="115"/>
        <v>6.25E-2</v>
      </c>
      <c r="AP141" s="12">
        <v>105</v>
      </c>
      <c r="AQ141" s="17">
        <f t="shared" si="116"/>
        <v>2.1875</v>
      </c>
      <c r="AR141" s="12">
        <v>136</v>
      </c>
      <c r="AS141" s="17">
        <f t="shared" si="117"/>
        <v>2.8333333333333335</v>
      </c>
      <c r="AT141" s="13">
        <v>1.6243417810539598</v>
      </c>
      <c r="AU141" s="13">
        <v>4.5474293982473678E-2</v>
      </c>
      <c r="AV141" s="13">
        <v>1.5420407881188176</v>
      </c>
      <c r="AW141" s="13">
        <v>8.2300992935142245E-2</v>
      </c>
      <c r="AX141" s="13">
        <v>106.82891725218211</v>
      </c>
      <c r="AY141" s="13">
        <v>113.54407226059301</v>
      </c>
      <c r="AZ141" s="13">
        <v>8.1204353208812119</v>
      </c>
      <c r="BA141" s="13">
        <v>12.708333333333334</v>
      </c>
      <c r="BB141" s="13">
        <v>17.077267637178053</v>
      </c>
      <c r="BC141" s="14">
        <v>0.52768898081985705</v>
      </c>
      <c r="BD141" s="14">
        <v>0.49617346938775508</v>
      </c>
      <c r="BE141" s="13">
        <v>15.91861360211381</v>
      </c>
      <c r="BF141" s="14">
        <v>0.44642857142857145</v>
      </c>
      <c r="BG141" s="14">
        <v>0.19387755102040816</v>
      </c>
      <c r="BH141" s="13">
        <v>4.2127159760708208</v>
      </c>
      <c r="BI141" s="13">
        <v>8.2826280207494101</v>
      </c>
      <c r="BJ141" s="13">
        <v>5.8367429640148121</v>
      </c>
      <c r="BK141" s="13">
        <v>28.492753145250383</v>
      </c>
      <c r="BL141" s="13">
        <v>1.6957817761525236</v>
      </c>
      <c r="BM141" s="13">
        <v>0.20705469867502249</v>
      </c>
      <c r="BN141" s="13">
        <v>19.794887263403965</v>
      </c>
      <c r="BO141" s="15" t="s">
        <v>187</v>
      </c>
      <c r="BP141" s="15">
        <v>250000</v>
      </c>
      <c r="BQ141" s="12" t="s">
        <v>271</v>
      </c>
      <c r="BR141" s="26">
        <v>1137.45</v>
      </c>
      <c r="BS141" s="27">
        <v>1523.15</v>
      </c>
      <c r="BT141" s="27">
        <v>385.7</v>
      </c>
      <c r="BU141" s="26">
        <f t="shared" si="118"/>
        <v>23.696875000000002</v>
      </c>
      <c r="BV141" s="26">
        <f t="shared" si="119"/>
        <v>31.732291666666669</v>
      </c>
      <c r="BW141" s="26">
        <f t="shared" si="119"/>
        <v>8.0354166666666664</v>
      </c>
      <c r="BX141" s="31">
        <f t="shared" si="73"/>
        <v>31.847591492936054</v>
      </c>
      <c r="BY141" s="31">
        <f t="shared" si="74"/>
        <v>42.646849516431978</v>
      </c>
      <c r="BZ141" s="31">
        <f t="shared" si="75"/>
        <v>10.799258023495923</v>
      </c>
      <c r="CA141" s="34">
        <v>15</v>
      </c>
      <c r="CB141" s="34">
        <v>33</v>
      </c>
    </row>
    <row r="142" spans="1:80" x14ac:dyDescent="0.4">
      <c r="A142" s="12" t="s">
        <v>191</v>
      </c>
      <c r="B142" s="12" t="s">
        <v>193</v>
      </c>
      <c r="C142" s="4" t="s">
        <v>236</v>
      </c>
      <c r="D142" s="5">
        <v>6</v>
      </c>
      <c r="E142" s="22">
        <v>7</v>
      </c>
      <c r="F142" s="22">
        <v>53</v>
      </c>
      <c r="G142" s="10">
        <v>2837</v>
      </c>
      <c r="H142" s="5">
        <v>16</v>
      </c>
      <c r="I142" s="17">
        <f t="shared" si="97"/>
        <v>2.6666666666666665</v>
      </c>
      <c r="J142" s="7">
        <v>6</v>
      </c>
      <c r="K142" s="7">
        <v>17</v>
      </c>
      <c r="L142" s="17">
        <f t="shared" si="98"/>
        <v>1</v>
      </c>
      <c r="M142" s="17">
        <f t="shared" si="99"/>
        <v>2.8333333333333335</v>
      </c>
      <c r="N142" s="33">
        <f t="shared" si="100"/>
        <v>0.35294117647058826</v>
      </c>
      <c r="O142" s="12">
        <v>4</v>
      </c>
      <c r="P142" s="12">
        <v>13</v>
      </c>
      <c r="Q142" s="17">
        <f t="shared" si="101"/>
        <v>0.66666666666666663</v>
      </c>
      <c r="R142" s="17">
        <f t="shared" si="102"/>
        <v>2.1666666666666665</v>
      </c>
      <c r="S142" s="33">
        <f t="shared" si="103"/>
        <v>0.30769230769230771</v>
      </c>
      <c r="T142" s="12">
        <v>2</v>
      </c>
      <c r="U142" s="12">
        <v>4</v>
      </c>
      <c r="V142" s="17">
        <f t="shared" si="104"/>
        <v>0.33333333333333331</v>
      </c>
      <c r="W142" s="17">
        <f t="shared" si="105"/>
        <v>0.66666666666666663</v>
      </c>
      <c r="X142" s="33">
        <f t="shared" si="106"/>
        <v>0.5</v>
      </c>
      <c r="Y142" s="12">
        <v>2</v>
      </c>
      <c r="Z142" s="12">
        <v>2</v>
      </c>
      <c r="AA142" s="17">
        <f t="shared" si="107"/>
        <v>0.33333333333333331</v>
      </c>
      <c r="AB142" s="17">
        <f t="shared" si="108"/>
        <v>0.33333333333333331</v>
      </c>
      <c r="AC142" s="33">
        <f t="shared" si="109"/>
        <v>1</v>
      </c>
      <c r="AD142" s="12">
        <v>2</v>
      </c>
      <c r="AE142" s="17">
        <f t="shared" si="110"/>
        <v>0.33333333333333331</v>
      </c>
      <c r="AF142" s="12">
        <v>0</v>
      </c>
      <c r="AG142" s="17">
        <f t="shared" si="111"/>
        <v>0</v>
      </c>
      <c r="AH142" s="12">
        <v>2</v>
      </c>
      <c r="AI142" s="17">
        <f t="shared" si="112"/>
        <v>0.33333333333333331</v>
      </c>
      <c r="AJ142" s="12">
        <v>10</v>
      </c>
      <c r="AK142" s="17">
        <f t="shared" si="113"/>
        <v>1.6666666666666667</v>
      </c>
      <c r="AL142" s="12">
        <v>3</v>
      </c>
      <c r="AM142" s="17">
        <f t="shared" si="114"/>
        <v>0.5</v>
      </c>
      <c r="AN142" s="12">
        <v>0</v>
      </c>
      <c r="AO142" s="17">
        <f t="shared" si="115"/>
        <v>0</v>
      </c>
      <c r="AP142" s="12">
        <v>7</v>
      </c>
      <c r="AQ142" s="17">
        <f t="shared" si="116"/>
        <v>1.1666666666666667</v>
      </c>
      <c r="AR142" s="12">
        <v>11</v>
      </c>
      <c r="AS142" s="17">
        <f t="shared" si="117"/>
        <v>1.8333333333333333</v>
      </c>
      <c r="AT142" s="13">
        <v>-0.1002097878501918</v>
      </c>
      <c r="AU142" s="13">
        <v>-8.4744006638639999E-2</v>
      </c>
      <c r="AV142" s="13">
        <v>-0.11731928936905148</v>
      </c>
      <c r="AW142" s="13">
        <v>1.7109501518859677E-2</v>
      </c>
      <c r="AX142" s="13">
        <v>80.82697697357932</v>
      </c>
      <c r="AY142" s="13">
        <v>110.78828580937102</v>
      </c>
      <c r="AZ142" s="13">
        <v>0.12578443883724374</v>
      </c>
      <c r="BA142" s="13">
        <v>2.1666666666666665</v>
      </c>
      <c r="BB142" s="13">
        <v>10.993657505285412</v>
      </c>
      <c r="BC142" s="14">
        <v>0.447427293064877</v>
      </c>
      <c r="BD142" s="14">
        <v>0.41176470588235292</v>
      </c>
      <c r="BE142" s="13">
        <v>2.8192894393436525</v>
      </c>
      <c r="BF142" s="14">
        <v>0.23529411764705882</v>
      </c>
      <c r="BG142" s="14">
        <v>0.11764705882352941</v>
      </c>
      <c r="BH142" s="13">
        <v>0</v>
      </c>
      <c r="BI142" s="13">
        <v>0.5392131532061839</v>
      </c>
      <c r="BJ142" s="13">
        <v>0.25187370422785754</v>
      </c>
      <c r="BK142" s="13">
        <v>3.274483586651022</v>
      </c>
      <c r="BL142" s="13">
        <v>3.573823199419921</v>
      </c>
      <c r="BM142" s="13">
        <v>0</v>
      </c>
      <c r="BN142" s="13">
        <v>28.135048231511256</v>
      </c>
      <c r="BO142" s="15" t="s">
        <v>187</v>
      </c>
      <c r="BP142" s="15">
        <v>40000</v>
      </c>
      <c r="BQ142" s="12" t="s">
        <v>271</v>
      </c>
      <c r="BR142" s="26">
        <v>29.52</v>
      </c>
      <c r="BS142" s="27">
        <v>50.82</v>
      </c>
      <c r="BT142" s="27">
        <v>21.3</v>
      </c>
      <c r="BU142" s="26">
        <f t="shared" si="118"/>
        <v>4.92</v>
      </c>
      <c r="BV142" s="26">
        <f t="shared" si="119"/>
        <v>8.4700000000000006</v>
      </c>
      <c r="BW142" s="26">
        <f t="shared" si="119"/>
        <v>3.5500000000000003</v>
      </c>
      <c r="BX142" s="31">
        <f t="shared" ref="BX142:BX194" si="120">BY142-BZ142</f>
        <v>24.972858653507227</v>
      </c>
      <c r="BY142" s="31">
        <f t="shared" ref="BY142:BY194" si="121">BS142*2400/$G142</f>
        <v>42.991892844554108</v>
      </c>
      <c r="BZ142" s="31">
        <f t="shared" ref="BZ142:BZ194" si="122">BT142*2400/$G142</f>
        <v>18.019034191046881</v>
      </c>
      <c r="CA142" s="34">
        <v>1</v>
      </c>
      <c r="CB142" s="34">
        <v>5</v>
      </c>
    </row>
    <row r="143" spans="1:80" x14ac:dyDescent="0.4">
      <c r="A143" s="12" t="s">
        <v>191</v>
      </c>
      <c r="B143" s="16" t="s">
        <v>193</v>
      </c>
      <c r="C143" s="4" t="s">
        <v>238</v>
      </c>
      <c r="D143" s="7">
        <v>5</v>
      </c>
      <c r="E143" s="6">
        <v>6</v>
      </c>
      <c r="F143" s="6">
        <v>40</v>
      </c>
      <c r="G143" s="10">
        <v>1998</v>
      </c>
      <c r="H143" s="12">
        <v>11</v>
      </c>
      <c r="I143" s="17">
        <f t="shared" si="97"/>
        <v>2.2000000000000002</v>
      </c>
      <c r="J143" s="12">
        <v>4</v>
      </c>
      <c r="K143" s="12">
        <v>11</v>
      </c>
      <c r="L143" s="17">
        <f t="shared" si="98"/>
        <v>0.8</v>
      </c>
      <c r="M143" s="17">
        <f t="shared" si="99"/>
        <v>2.2000000000000002</v>
      </c>
      <c r="N143" s="33">
        <f t="shared" si="100"/>
        <v>0.36363636363636365</v>
      </c>
      <c r="O143" s="12">
        <v>1</v>
      </c>
      <c r="P143" s="12">
        <v>1</v>
      </c>
      <c r="Q143" s="17">
        <f t="shared" si="101"/>
        <v>0.2</v>
      </c>
      <c r="R143" s="17">
        <f t="shared" si="102"/>
        <v>0.2</v>
      </c>
      <c r="S143" s="33">
        <f t="shared" si="103"/>
        <v>1</v>
      </c>
      <c r="T143" s="12">
        <v>3</v>
      </c>
      <c r="U143" s="12">
        <v>10</v>
      </c>
      <c r="V143" s="17">
        <f t="shared" si="104"/>
        <v>0.6</v>
      </c>
      <c r="W143" s="17">
        <f t="shared" si="105"/>
        <v>2</v>
      </c>
      <c r="X143" s="33">
        <f t="shared" si="106"/>
        <v>0.3</v>
      </c>
      <c r="Y143" s="12">
        <v>0</v>
      </c>
      <c r="Z143" s="12">
        <v>0</v>
      </c>
      <c r="AA143" s="17">
        <f t="shared" si="107"/>
        <v>0</v>
      </c>
      <c r="AB143" s="17">
        <f t="shared" si="108"/>
        <v>0</v>
      </c>
      <c r="AC143" s="33" t="e">
        <f t="shared" si="109"/>
        <v>#DIV/0!</v>
      </c>
      <c r="AD143" s="12">
        <v>3</v>
      </c>
      <c r="AE143" s="17">
        <f t="shared" si="110"/>
        <v>0.6</v>
      </c>
      <c r="AF143" s="12">
        <v>2</v>
      </c>
      <c r="AG143" s="17">
        <f t="shared" si="111"/>
        <v>0.4</v>
      </c>
      <c r="AH143" s="12">
        <v>1</v>
      </c>
      <c r="AI143" s="17">
        <f t="shared" si="112"/>
        <v>0.2</v>
      </c>
      <c r="AJ143" s="12">
        <v>0</v>
      </c>
      <c r="AK143" s="17">
        <f t="shared" si="113"/>
        <v>0</v>
      </c>
      <c r="AL143" s="12">
        <v>0</v>
      </c>
      <c r="AM143" s="17">
        <f t="shared" si="114"/>
        <v>0</v>
      </c>
      <c r="AN143" s="12">
        <v>0</v>
      </c>
      <c r="AO143" s="17">
        <f t="shared" si="115"/>
        <v>0</v>
      </c>
      <c r="AP143" s="12">
        <v>1</v>
      </c>
      <c r="AQ143" s="17">
        <f t="shared" si="116"/>
        <v>0.2</v>
      </c>
      <c r="AR143" s="12">
        <v>4</v>
      </c>
      <c r="AS143" s="17">
        <f t="shared" si="117"/>
        <v>0.8</v>
      </c>
      <c r="AT143" s="18">
        <v>-2.5310304651833385E-2</v>
      </c>
      <c r="AU143" s="13">
        <v>-3.0372365582200057E-2</v>
      </c>
      <c r="AV143" s="13">
        <v>-5.2054486905084123E-3</v>
      </c>
      <c r="AW143" s="13">
        <v>-2.0104855961324972E-2</v>
      </c>
      <c r="AX143" s="13">
        <v>95.419719027489208</v>
      </c>
      <c r="AY143" s="13">
        <v>119.53140784801386</v>
      </c>
      <c r="AZ143" s="13">
        <v>0.30107049681947312</v>
      </c>
      <c r="BA143" s="13">
        <v>1.2</v>
      </c>
      <c r="BB143" s="13">
        <v>7.1999999999999993</v>
      </c>
      <c r="BC143" s="14">
        <v>0.5</v>
      </c>
      <c r="BD143" s="14">
        <v>0.5</v>
      </c>
      <c r="BE143" s="13">
        <v>1.6079468305581361</v>
      </c>
      <c r="BF143" s="14">
        <v>0.90909090909090906</v>
      </c>
      <c r="BG143" s="14">
        <v>0</v>
      </c>
      <c r="BH143" s="13">
        <v>0.6376195536663124</v>
      </c>
      <c r="BI143" s="13">
        <v>0.3188097768331562</v>
      </c>
      <c r="BJ143" s="13">
        <v>0.44676098287416233</v>
      </c>
      <c r="BK143" s="13">
        <v>0</v>
      </c>
      <c r="BL143" s="13">
        <v>0</v>
      </c>
      <c r="BM143" s="13">
        <v>0</v>
      </c>
      <c r="BN143" s="13">
        <v>8.3333333333333339</v>
      </c>
      <c r="BO143" s="15" t="s">
        <v>187</v>
      </c>
      <c r="BP143" s="15">
        <v>210000</v>
      </c>
      <c r="BQ143" s="12" t="s">
        <v>273</v>
      </c>
      <c r="BR143" s="26">
        <v>15.53</v>
      </c>
      <c r="BS143" s="27">
        <v>23.33</v>
      </c>
      <c r="BT143" s="27">
        <v>7.8</v>
      </c>
      <c r="BU143" s="26">
        <f t="shared" si="118"/>
        <v>3.1059999999999994</v>
      </c>
      <c r="BV143" s="26">
        <f t="shared" si="119"/>
        <v>4.6659999999999995</v>
      </c>
      <c r="BW143" s="26">
        <f t="shared" si="119"/>
        <v>1.56</v>
      </c>
      <c r="BX143" s="31">
        <f t="shared" si="120"/>
        <v>18.654654654654649</v>
      </c>
      <c r="BY143" s="31">
        <f t="shared" si="121"/>
        <v>28.024024024024019</v>
      </c>
      <c r="BZ143" s="31">
        <f t="shared" si="122"/>
        <v>9.3693693693693696</v>
      </c>
      <c r="CA143" s="34">
        <v>1</v>
      </c>
      <c r="CB143" s="34">
        <v>4</v>
      </c>
    </row>
    <row r="144" spans="1:80" x14ac:dyDescent="0.4">
      <c r="A144" s="12" t="s">
        <v>191</v>
      </c>
      <c r="B144" s="12" t="s">
        <v>193</v>
      </c>
      <c r="C144" s="12" t="s">
        <v>91</v>
      </c>
      <c r="D144" s="12">
        <v>54</v>
      </c>
      <c r="E144" s="11">
        <v>32</v>
      </c>
      <c r="F144" s="11">
        <v>33</v>
      </c>
      <c r="G144" s="10">
        <v>105482</v>
      </c>
      <c r="H144" s="7">
        <v>689</v>
      </c>
      <c r="I144" s="17">
        <f t="shared" si="97"/>
        <v>12.75925925925926</v>
      </c>
      <c r="J144" s="7">
        <v>253</v>
      </c>
      <c r="K144" s="7">
        <v>577</v>
      </c>
      <c r="L144" s="17">
        <f t="shared" si="98"/>
        <v>4.6851851851851851</v>
      </c>
      <c r="M144" s="17">
        <f t="shared" si="99"/>
        <v>10.685185185185185</v>
      </c>
      <c r="N144" s="33">
        <f t="shared" si="100"/>
        <v>0.43847487001733104</v>
      </c>
      <c r="O144" s="5">
        <v>134</v>
      </c>
      <c r="P144" s="7">
        <v>284</v>
      </c>
      <c r="Q144" s="17">
        <f t="shared" si="101"/>
        <v>2.4814814814814814</v>
      </c>
      <c r="R144" s="17">
        <f t="shared" si="102"/>
        <v>5.2592592592592595</v>
      </c>
      <c r="S144" s="33">
        <f t="shared" si="103"/>
        <v>0.47183098591549294</v>
      </c>
      <c r="T144" s="7">
        <v>119</v>
      </c>
      <c r="U144" s="7">
        <v>293</v>
      </c>
      <c r="V144" s="17">
        <f t="shared" si="104"/>
        <v>2.2037037037037037</v>
      </c>
      <c r="W144" s="17">
        <f t="shared" si="105"/>
        <v>5.4259259259259256</v>
      </c>
      <c r="X144" s="33">
        <f t="shared" si="106"/>
        <v>0.4061433447098976</v>
      </c>
      <c r="Y144" s="5">
        <v>64</v>
      </c>
      <c r="Z144" s="5">
        <v>77</v>
      </c>
      <c r="AA144" s="17">
        <f t="shared" si="107"/>
        <v>1.1851851851851851</v>
      </c>
      <c r="AB144" s="17">
        <f t="shared" si="108"/>
        <v>1.4259259259259258</v>
      </c>
      <c r="AC144" s="33">
        <f t="shared" si="109"/>
        <v>0.83116883116883122</v>
      </c>
      <c r="AD144" s="12">
        <v>143</v>
      </c>
      <c r="AE144" s="17">
        <f t="shared" si="110"/>
        <v>2.6481481481481484</v>
      </c>
      <c r="AF144" s="12">
        <v>33</v>
      </c>
      <c r="AG144" s="17">
        <f t="shared" si="111"/>
        <v>0.61111111111111116</v>
      </c>
      <c r="AH144" s="7">
        <v>110</v>
      </c>
      <c r="AI144" s="17">
        <f t="shared" si="112"/>
        <v>2.0370370370370372</v>
      </c>
      <c r="AJ144" s="7">
        <v>257</v>
      </c>
      <c r="AK144" s="17">
        <f t="shared" si="113"/>
        <v>4.7592592592592595</v>
      </c>
      <c r="AL144" s="7">
        <v>51</v>
      </c>
      <c r="AM144" s="17">
        <f t="shared" si="114"/>
        <v>0.94444444444444442</v>
      </c>
      <c r="AN144" s="7">
        <v>4</v>
      </c>
      <c r="AO144" s="17">
        <f t="shared" si="115"/>
        <v>7.407407407407407E-2</v>
      </c>
      <c r="AP144" s="7">
        <v>102</v>
      </c>
      <c r="AQ144" s="17">
        <f t="shared" si="116"/>
        <v>1.8888888888888888</v>
      </c>
      <c r="AR144" s="7">
        <v>128</v>
      </c>
      <c r="AS144" s="17">
        <f t="shared" si="117"/>
        <v>2.3703703703703702</v>
      </c>
      <c r="AT144" s="13">
        <v>2.2750806079589325</v>
      </c>
      <c r="AU144" s="13">
        <v>5.1774036706125792E-2</v>
      </c>
      <c r="AV144" s="13">
        <v>2.365172818898778</v>
      </c>
      <c r="AW144" s="13">
        <v>-9.0092210939845416E-2</v>
      </c>
      <c r="AX144" s="13">
        <v>109.253211440084</v>
      </c>
      <c r="AY144" s="13">
        <v>114.5304778493641</v>
      </c>
      <c r="AZ144" s="13">
        <v>9.9064883289790178</v>
      </c>
      <c r="BA144" s="13">
        <v>13.055555555555555</v>
      </c>
      <c r="BB144" s="13">
        <v>16.043693463048299</v>
      </c>
      <c r="BC144" s="14">
        <v>0.56394054478784705</v>
      </c>
      <c r="BD144" s="14">
        <v>0.54159445407279028</v>
      </c>
      <c r="BE144" s="13">
        <v>19.564313646838777</v>
      </c>
      <c r="BF144" s="14">
        <v>0.50779896013864823</v>
      </c>
      <c r="BG144" s="14">
        <v>0.13344887348353554</v>
      </c>
      <c r="BH144" s="13">
        <v>2.1547819017909178</v>
      </c>
      <c r="BI144" s="13">
        <v>7.1826063393030593</v>
      </c>
      <c r="BJ144" s="13">
        <v>4.3616194265919246</v>
      </c>
      <c r="BK144" s="13">
        <v>24.885618146166696</v>
      </c>
      <c r="BL144" s="13">
        <v>1.6349270265992824</v>
      </c>
      <c r="BM144" s="13">
        <v>0.25246608078756799</v>
      </c>
      <c r="BN144" s="13">
        <v>14.308158455841095</v>
      </c>
      <c r="BO144" s="15" t="s">
        <v>187</v>
      </c>
      <c r="BP144" s="15">
        <v>75000</v>
      </c>
      <c r="BQ144" s="12" t="s">
        <v>271</v>
      </c>
      <c r="BR144" s="26">
        <v>1266.01</v>
      </c>
      <c r="BS144" s="27">
        <v>1736.01</v>
      </c>
      <c r="BT144" s="27">
        <v>470</v>
      </c>
      <c r="BU144" s="26">
        <f t="shared" si="118"/>
        <v>23.444629629629631</v>
      </c>
      <c r="BV144" s="26">
        <f t="shared" si="119"/>
        <v>32.148333333333333</v>
      </c>
      <c r="BW144" s="26">
        <f t="shared" si="119"/>
        <v>8.7037037037037042</v>
      </c>
      <c r="BX144" s="31">
        <f t="shared" si="120"/>
        <v>28.805142109554236</v>
      </c>
      <c r="BY144" s="31">
        <f t="shared" si="121"/>
        <v>39.498909766595247</v>
      </c>
      <c r="BZ144" s="31">
        <f t="shared" si="122"/>
        <v>10.693767657041011</v>
      </c>
      <c r="CA144" s="35">
        <v>18</v>
      </c>
      <c r="CB144" s="35">
        <v>36</v>
      </c>
    </row>
    <row r="145" spans="1:80" x14ac:dyDescent="0.4">
      <c r="A145" s="12" t="s">
        <v>191</v>
      </c>
      <c r="B145" s="12" t="s">
        <v>193</v>
      </c>
      <c r="C145" s="4" t="s">
        <v>226</v>
      </c>
      <c r="D145" s="5">
        <v>14</v>
      </c>
      <c r="E145" s="22">
        <v>11</v>
      </c>
      <c r="F145" s="22">
        <v>15</v>
      </c>
      <c r="G145" s="10">
        <v>9456</v>
      </c>
      <c r="H145" s="5">
        <v>73</v>
      </c>
      <c r="I145" s="17">
        <f t="shared" si="97"/>
        <v>5.2142857142857144</v>
      </c>
      <c r="J145" s="7">
        <v>26</v>
      </c>
      <c r="K145" s="6">
        <v>51</v>
      </c>
      <c r="L145" s="17">
        <f t="shared" si="98"/>
        <v>1.8571428571428572</v>
      </c>
      <c r="M145" s="17">
        <f t="shared" si="99"/>
        <v>3.6428571428571428</v>
      </c>
      <c r="N145" s="33">
        <f t="shared" si="100"/>
        <v>0.50980392156862742</v>
      </c>
      <c r="O145" s="12">
        <v>22</v>
      </c>
      <c r="P145" s="12">
        <v>39</v>
      </c>
      <c r="Q145" s="17">
        <f t="shared" si="101"/>
        <v>1.5714285714285714</v>
      </c>
      <c r="R145" s="17">
        <f t="shared" si="102"/>
        <v>2.7857142857142856</v>
      </c>
      <c r="S145" s="33">
        <f t="shared" si="103"/>
        <v>0.5641025641025641</v>
      </c>
      <c r="T145" s="12">
        <v>4</v>
      </c>
      <c r="U145" s="12">
        <v>12</v>
      </c>
      <c r="V145" s="17">
        <f t="shared" si="104"/>
        <v>0.2857142857142857</v>
      </c>
      <c r="W145" s="17">
        <f t="shared" si="105"/>
        <v>0.8571428571428571</v>
      </c>
      <c r="X145" s="33">
        <f t="shared" si="106"/>
        <v>0.33333333333333331</v>
      </c>
      <c r="Y145" s="12">
        <v>17</v>
      </c>
      <c r="Z145" s="12">
        <v>25</v>
      </c>
      <c r="AA145" s="17">
        <f t="shared" si="107"/>
        <v>1.2142857142857142</v>
      </c>
      <c r="AB145" s="17">
        <f t="shared" si="108"/>
        <v>1.7857142857142858</v>
      </c>
      <c r="AC145" s="33">
        <f t="shared" si="109"/>
        <v>0.68</v>
      </c>
      <c r="AD145" s="12">
        <v>49</v>
      </c>
      <c r="AE145" s="17">
        <f t="shared" si="110"/>
        <v>3.5</v>
      </c>
      <c r="AF145" s="12">
        <v>8</v>
      </c>
      <c r="AG145" s="17">
        <f t="shared" si="111"/>
        <v>0.5714285714285714</v>
      </c>
      <c r="AH145" s="12">
        <v>41</v>
      </c>
      <c r="AI145" s="17">
        <f t="shared" si="112"/>
        <v>2.9285714285714284</v>
      </c>
      <c r="AJ145" s="12">
        <v>4</v>
      </c>
      <c r="AK145" s="17">
        <f t="shared" si="113"/>
        <v>0.2857142857142857</v>
      </c>
      <c r="AL145" s="12">
        <v>1</v>
      </c>
      <c r="AM145" s="17">
        <f t="shared" si="114"/>
        <v>7.1428571428571425E-2</v>
      </c>
      <c r="AN145" s="12">
        <v>7</v>
      </c>
      <c r="AO145" s="17">
        <f t="shared" si="115"/>
        <v>0.5</v>
      </c>
      <c r="AP145" s="12">
        <v>10</v>
      </c>
      <c r="AQ145" s="17">
        <f t="shared" si="116"/>
        <v>0.7142857142857143</v>
      </c>
      <c r="AR145" s="12">
        <v>23</v>
      </c>
      <c r="AS145" s="17">
        <f t="shared" si="117"/>
        <v>1.6428571428571428</v>
      </c>
      <c r="AT145" s="13">
        <v>0.27060391288317998</v>
      </c>
      <c r="AU145" s="13">
        <v>6.8724803271918725E-2</v>
      </c>
      <c r="AV145" s="13">
        <v>0.13564068722222766</v>
      </c>
      <c r="AW145" s="13">
        <v>0.13496322566095234</v>
      </c>
      <c r="AX145" s="13">
        <v>104.55624994842465</v>
      </c>
      <c r="AY145" s="13">
        <v>106.30117378970195</v>
      </c>
      <c r="AZ145" s="13">
        <v>2.6059054718506318</v>
      </c>
      <c r="BA145" s="13">
        <v>6.5</v>
      </c>
      <c r="BB145" s="13">
        <v>23.111111111111107</v>
      </c>
      <c r="BC145" s="14">
        <v>0.58870967741935487</v>
      </c>
      <c r="BD145" s="14">
        <v>0.5490196078431373</v>
      </c>
      <c r="BE145" s="13">
        <v>5.7171442864289288</v>
      </c>
      <c r="BF145" s="14">
        <v>0.23529411764705882</v>
      </c>
      <c r="BG145" s="14">
        <v>0.49019607843137253</v>
      </c>
      <c r="BH145" s="13">
        <v>1.5113944975794074</v>
      </c>
      <c r="BI145" s="13">
        <v>7.7458968000944619</v>
      </c>
      <c r="BJ145" s="13">
        <v>4.3242050688067071</v>
      </c>
      <c r="BK145" s="13">
        <v>0.9560800717060054</v>
      </c>
      <c r="BL145" s="13">
        <v>0.35776050229113704</v>
      </c>
      <c r="BM145" s="13">
        <v>1.2783199223877189</v>
      </c>
      <c r="BN145" s="13">
        <v>13.888888888888889</v>
      </c>
      <c r="BO145" s="15" t="s">
        <v>190</v>
      </c>
      <c r="BP145" s="15">
        <v>75000</v>
      </c>
      <c r="BQ145" s="12" t="s">
        <v>272</v>
      </c>
      <c r="BR145" s="26">
        <v>133.80000000000001</v>
      </c>
      <c r="BS145" s="27">
        <v>179.4</v>
      </c>
      <c r="BT145" s="27">
        <v>45.6</v>
      </c>
      <c r="BU145" s="26">
        <f t="shared" si="118"/>
        <v>9.5571428571428569</v>
      </c>
      <c r="BV145" s="26">
        <f t="shared" si="119"/>
        <v>12.814285714285715</v>
      </c>
      <c r="BW145" s="26">
        <f t="shared" si="119"/>
        <v>3.2571428571428571</v>
      </c>
      <c r="BX145" s="31">
        <f t="shared" si="120"/>
        <v>33.959390862944161</v>
      </c>
      <c r="BY145" s="31">
        <f t="shared" si="121"/>
        <v>45.532994923857871</v>
      </c>
      <c r="BZ145" s="31">
        <f t="shared" si="122"/>
        <v>11.573604060913706</v>
      </c>
      <c r="CA145" s="34">
        <v>6</v>
      </c>
      <c r="CB145" s="34">
        <v>8</v>
      </c>
    </row>
    <row r="146" spans="1:80" x14ac:dyDescent="0.4">
      <c r="A146" s="12" t="s">
        <v>191</v>
      </c>
      <c r="B146" s="12" t="s">
        <v>193</v>
      </c>
      <c r="C146" s="4" t="s">
        <v>154</v>
      </c>
      <c r="D146" s="5">
        <v>25</v>
      </c>
      <c r="E146" s="22">
        <v>5</v>
      </c>
      <c r="F146" s="22">
        <v>59</v>
      </c>
      <c r="G146" s="10">
        <v>8966</v>
      </c>
      <c r="H146" s="5">
        <v>41</v>
      </c>
      <c r="I146" s="17">
        <f t="shared" si="97"/>
        <v>1.64</v>
      </c>
      <c r="J146" s="7">
        <v>16</v>
      </c>
      <c r="K146" s="7">
        <v>44</v>
      </c>
      <c r="L146" s="17">
        <f t="shared" si="98"/>
        <v>0.64</v>
      </c>
      <c r="M146" s="17">
        <f t="shared" si="99"/>
        <v>1.76</v>
      </c>
      <c r="N146" s="33">
        <f t="shared" si="100"/>
        <v>0.36363636363636365</v>
      </c>
      <c r="O146" s="12">
        <v>12</v>
      </c>
      <c r="P146" s="12">
        <v>23</v>
      </c>
      <c r="Q146" s="17">
        <f t="shared" si="101"/>
        <v>0.48</v>
      </c>
      <c r="R146" s="17">
        <f t="shared" si="102"/>
        <v>0.92</v>
      </c>
      <c r="S146" s="33">
        <f t="shared" si="103"/>
        <v>0.52173913043478259</v>
      </c>
      <c r="T146" s="12">
        <v>4</v>
      </c>
      <c r="U146" s="12">
        <v>21</v>
      </c>
      <c r="V146" s="17">
        <f t="shared" si="104"/>
        <v>0.16</v>
      </c>
      <c r="W146" s="17">
        <f t="shared" si="105"/>
        <v>0.84</v>
      </c>
      <c r="X146" s="33">
        <f t="shared" si="106"/>
        <v>0.19047619047619047</v>
      </c>
      <c r="Y146" s="12">
        <v>5</v>
      </c>
      <c r="Z146" s="12">
        <v>6</v>
      </c>
      <c r="AA146" s="17">
        <f t="shared" si="107"/>
        <v>0.2</v>
      </c>
      <c r="AB146" s="17">
        <f t="shared" si="108"/>
        <v>0.24</v>
      </c>
      <c r="AC146" s="33">
        <f t="shared" si="109"/>
        <v>0.83333333333333337</v>
      </c>
      <c r="AD146" s="12">
        <v>24</v>
      </c>
      <c r="AE146" s="17">
        <f t="shared" si="110"/>
        <v>0.96</v>
      </c>
      <c r="AF146" s="12">
        <v>9</v>
      </c>
      <c r="AG146" s="17">
        <f t="shared" si="111"/>
        <v>0.36</v>
      </c>
      <c r="AH146" s="12">
        <v>15</v>
      </c>
      <c r="AI146" s="17">
        <f t="shared" si="112"/>
        <v>0.6</v>
      </c>
      <c r="AJ146" s="12">
        <v>8</v>
      </c>
      <c r="AK146" s="17">
        <f t="shared" si="113"/>
        <v>0.32</v>
      </c>
      <c r="AL146" s="12">
        <v>1</v>
      </c>
      <c r="AM146" s="17">
        <f t="shared" si="114"/>
        <v>0.04</v>
      </c>
      <c r="AN146" s="12">
        <v>2</v>
      </c>
      <c r="AO146" s="17">
        <f t="shared" si="115"/>
        <v>0.08</v>
      </c>
      <c r="AP146" s="12">
        <v>6</v>
      </c>
      <c r="AQ146" s="17">
        <f t="shared" si="116"/>
        <v>0.24</v>
      </c>
      <c r="AR146" s="12">
        <v>9</v>
      </c>
      <c r="AS146" s="17">
        <f t="shared" si="117"/>
        <v>0.36</v>
      </c>
      <c r="AT146" s="13">
        <v>-8.2648358236922931E-2</v>
      </c>
      <c r="AU146" s="13">
        <v>-2.2100953734664627E-2</v>
      </c>
      <c r="AV146" s="13">
        <v>-6.5445318736811239E-2</v>
      </c>
      <c r="AW146" s="13">
        <v>-1.7203039500111698E-2</v>
      </c>
      <c r="AX146" s="13">
        <v>92.548836747646888</v>
      </c>
      <c r="AY146" s="13">
        <v>115.10815201007881</v>
      </c>
      <c r="AZ146" s="13">
        <v>2.4361238080294414</v>
      </c>
      <c r="BA146" s="13">
        <v>1.64</v>
      </c>
      <c r="BB146" s="13">
        <v>10.963788300835652</v>
      </c>
      <c r="BC146" s="14">
        <v>0.43953687821612347</v>
      </c>
      <c r="BD146" s="14">
        <v>0.40909090909090912</v>
      </c>
      <c r="BE146" s="13">
        <v>7.8590827447149749</v>
      </c>
      <c r="BF146" s="14">
        <v>0.47727272727272729</v>
      </c>
      <c r="BG146" s="14">
        <v>0.13636363636363635</v>
      </c>
      <c r="BH146" s="13">
        <v>3.1969782635079733</v>
      </c>
      <c r="BI146" s="13">
        <v>5.3282971058466222</v>
      </c>
      <c r="BJ146" s="13">
        <v>3.9822705994354304</v>
      </c>
      <c r="BK146" s="13">
        <v>3.6307250104005138</v>
      </c>
      <c r="BL146" s="13">
        <v>0.37669490213384355</v>
      </c>
      <c r="BM146" s="13">
        <v>0.68672180470490285</v>
      </c>
      <c r="BN146" s="13">
        <v>11.398176291793312</v>
      </c>
      <c r="BO146" s="15" t="s">
        <v>187</v>
      </c>
      <c r="BP146" s="15"/>
      <c r="BQ146" s="12" t="s">
        <v>273</v>
      </c>
      <c r="BR146" s="26">
        <v>85.76</v>
      </c>
      <c r="BS146" s="27">
        <v>121.86</v>
      </c>
      <c r="BT146" s="27">
        <v>36.1</v>
      </c>
      <c r="BU146" s="26">
        <f t="shared" si="118"/>
        <v>3.4303999999999997</v>
      </c>
      <c r="BV146" s="26">
        <f t="shared" si="119"/>
        <v>4.8743999999999996</v>
      </c>
      <c r="BW146" s="26">
        <f t="shared" si="119"/>
        <v>1.444</v>
      </c>
      <c r="BX146" s="31">
        <f t="shared" si="120"/>
        <v>22.956056212357801</v>
      </c>
      <c r="BY146" s="31">
        <f t="shared" si="121"/>
        <v>32.619228195404865</v>
      </c>
      <c r="BZ146" s="31">
        <f t="shared" si="122"/>
        <v>9.6631719830470661</v>
      </c>
      <c r="CA146" s="35">
        <v>7</v>
      </c>
      <c r="CB146" s="35">
        <v>18</v>
      </c>
    </row>
    <row r="147" spans="1:80" x14ac:dyDescent="0.4">
      <c r="A147" s="12" t="s">
        <v>191</v>
      </c>
      <c r="B147" s="12" t="s">
        <v>193</v>
      </c>
      <c r="C147" s="4" t="s">
        <v>130</v>
      </c>
      <c r="D147" s="5">
        <v>10</v>
      </c>
      <c r="E147" s="22">
        <v>8</v>
      </c>
      <c r="F147" s="22">
        <v>31</v>
      </c>
      <c r="G147" s="10">
        <v>5109</v>
      </c>
      <c r="H147" s="5">
        <v>33</v>
      </c>
      <c r="I147" s="17">
        <f t="shared" si="97"/>
        <v>3.3</v>
      </c>
      <c r="J147" s="7">
        <v>15</v>
      </c>
      <c r="K147" s="7">
        <v>35</v>
      </c>
      <c r="L147" s="17">
        <f t="shared" si="98"/>
        <v>1.5</v>
      </c>
      <c r="M147" s="17">
        <f t="shared" si="99"/>
        <v>3.5</v>
      </c>
      <c r="N147" s="33">
        <f t="shared" si="100"/>
        <v>0.42857142857142855</v>
      </c>
      <c r="O147" s="12">
        <v>15</v>
      </c>
      <c r="P147" s="12">
        <v>34</v>
      </c>
      <c r="Q147" s="17">
        <f t="shared" si="101"/>
        <v>1.5</v>
      </c>
      <c r="R147" s="17">
        <f t="shared" si="102"/>
        <v>3.4</v>
      </c>
      <c r="S147" s="33">
        <f t="shared" si="103"/>
        <v>0.44117647058823528</v>
      </c>
      <c r="T147" s="12">
        <v>0</v>
      </c>
      <c r="U147" s="12">
        <v>1</v>
      </c>
      <c r="V147" s="17">
        <f t="shared" si="104"/>
        <v>0</v>
      </c>
      <c r="W147" s="17">
        <f t="shared" si="105"/>
        <v>0.1</v>
      </c>
      <c r="X147" s="33">
        <f t="shared" si="106"/>
        <v>0</v>
      </c>
      <c r="Y147" s="12">
        <v>3</v>
      </c>
      <c r="Z147" s="12">
        <v>4</v>
      </c>
      <c r="AA147" s="17">
        <f t="shared" si="107"/>
        <v>0.3</v>
      </c>
      <c r="AB147" s="17">
        <f t="shared" si="108"/>
        <v>0.4</v>
      </c>
      <c r="AC147" s="33">
        <f t="shared" si="109"/>
        <v>0.75</v>
      </c>
      <c r="AD147" s="12">
        <v>14</v>
      </c>
      <c r="AE147" s="17">
        <f t="shared" si="110"/>
        <v>1.4</v>
      </c>
      <c r="AF147" s="12">
        <v>6</v>
      </c>
      <c r="AG147" s="17">
        <f t="shared" si="111"/>
        <v>0.6</v>
      </c>
      <c r="AH147" s="12">
        <v>8</v>
      </c>
      <c r="AI147" s="17">
        <f t="shared" si="112"/>
        <v>0.8</v>
      </c>
      <c r="AJ147" s="12">
        <v>2</v>
      </c>
      <c r="AK147" s="17">
        <f t="shared" si="113"/>
        <v>0.2</v>
      </c>
      <c r="AL147" s="12">
        <v>3</v>
      </c>
      <c r="AM147" s="17">
        <f t="shared" si="114"/>
        <v>0.3</v>
      </c>
      <c r="AN147" s="12">
        <v>0</v>
      </c>
      <c r="AO147" s="17">
        <f t="shared" si="115"/>
        <v>0</v>
      </c>
      <c r="AP147" s="12">
        <v>5</v>
      </c>
      <c r="AQ147" s="17">
        <f t="shared" si="116"/>
        <v>0.5</v>
      </c>
      <c r="AR147" s="12">
        <v>8</v>
      </c>
      <c r="AS147" s="17">
        <f t="shared" si="117"/>
        <v>0.8</v>
      </c>
      <c r="AT147" s="13">
        <v>-0.10310917585083271</v>
      </c>
      <c r="AU147" s="13">
        <v>-4.8427010184344123E-2</v>
      </c>
      <c r="AV147" s="13">
        <v>-0.11801435417943171</v>
      </c>
      <c r="AW147" s="13">
        <v>1.4905178328598993E-2</v>
      </c>
      <c r="AX147" s="13">
        <v>86.149786852921096</v>
      </c>
      <c r="AY147" s="13">
        <v>112.48016232638756</v>
      </c>
      <c r="AZ147" s="13">
        <v>1.0690785331531809</v>
      </c>
      <c r="BA147" s="13">
        <v>2.6</v>
      </c>
      <c r="BB147" s="13">
        <v>12.211350293542074</v>
      </c>
      <c r="BC147" s="14">
        <v>0.44885745375408054</v>
      </c>
      <c r="BD147" s="14">
        <v>0.42857142857142855</v>
      </c>
      <c r="BE147" s="13">
        <v>4.3801604464519084</v>
      </c>
      <c r="BF147" s="14">
        <v>2.8571428571428571E-2</v>
      </c>
      <c r="BG147" s="14">
        <v>0.11428571428571428</v>
      </c>
      <c r="BH147" s="13">
        <v>1.4973453315060175</v>
      </c>
      <c r="BI147" s="13">
        <v>1.9964604420080232</v>
      </c>
      <c r="BJ147" s="13">
        <v>1.6320035904078989</v>
      </c>
      <c r="BK147" s="13">
        <v>0.62226140164380717</v>
      </c>
      <c r="BL147" s="13">
        <v>1.9848356633960345</v>
      </c>
      <c r="BM147" s="13">
        <v>0</v>
      </c>
      <c r="BN147" s="13">
        <v>11.973180076628353</v>
      </c>
      <c r="BO147" s="15" t="s">
        <v>187</v>
      </c>
      <c r="BP147" s="15">
        <v>300000</v>
      </c>
      <c r="BQ147" s="12" t="s">
        <v>273</v>
      </c>
      <c r="BR147" s="26">
        <v>50.59</v>
      </c>
      <c r="BS147" s="27">
        <v>78.790000000000006</v>
      </c>
      <c r="BT147" s="27">
        <v>28.2</v>
      </c>
      <c r="BU147" s="26">
        <f t="shared" si="118"/>
        <v>5.0590000000000011</v>
      </c>
      <c r="BV147" s="26">
        <f t="shared" si="119"/>
        <v>7.8790000000000004</v>
      </c>
      <c r="BW147" s="26">
        <f t="shared" si="119"/>
        <v>2.82</v>
      </c>
      <c r="BX147" s="31">
        <f t="shared" si="120"/>
        <v>23.765120375807406</v>
      </c>
      <c r="BY147" s="31">
        <f t="shared" si="121"/>
        <v>37.012331180270117</v>
      </c>
      <c r="BZ147" s="31">
        <f t="shared" si="122"/>
        <v>13.247210804462712</v>
      </c>
      <c r="CA147" s="35">
        <v>2</v>
      </c>
      <c r="CB147" s="35">
        <v>8</v>
      </c>
    </row>
    <row r="148" spans="1:80" x14ac:dyDescent="0.4">
      <c r="A148" s="12" t="s">
        <v>191</v>
      </c>
      <c r="B148" s="12" t="s">
        <v>193</v>
      </c>
      <c r="C148" s="4" t="s">
        <v>137</v>
      </c>
      <c r="D148" s="32">
        <v>45</v>
      </c>
      <c r="E148" s="24">
        <v>5</v>
      </c>
      <c r="F148" s="24">
        <v>51</v>
      </c>
      <c r="G148" s="10">
        <v>15799</v>
      </c>
      <c r="H148" s="5">
        <v>58</v>
      </c>
      <c r="I148" s="17">
        <f t="shared" si="97"/>
        <v>1.288888888888889</v>
      </c>
      <c r="J148" s="7">
        <v>22</v>
      </c>
      <c r="K148" s="7">
        <v>57</v>
      </c>
      <c r="L148" s="17">
        <f t="shared" si="98"/>
        <v>0.48888888888888887</v>
      </c>
      <c r="M148" s="17">
        <f t="shared" si="99"/>
        <v>1.2666666666666666</v>
      </c>
      <c r="N148" s="33">
        <f t="shared" si="100"/>
        <v>0.38596491228070173</v>
      </c>
      <c r="O148" s="12">
        <v>11</v>
      </c>
      <c r="P148" s="12">
        <v>17</v>
      </c>
      <c r="Q148" s="17">
        <f t="shared" si="101"/>
        <v>0.24444444444444444</v>
      </c>
      <c r="R148" s="17">
        <f t="shared" si="102"/>
        <v>0.37777777777777777</v>
      </c>
      <c r="S148" s="33">
        <f t="shared" si="103"/>
        <v>0.6470588235294118</v>
      </c>
      <c r="T148" s="12">
        <v>11</v>
      </c>
      <c r="U148" s="12">
        <v>40</v>
      </c>
      <c r="V148" s="17">
        <f t="shared" si="104"/>
        <v>0.24444444444444444</v>
      </c>
      <c r="W148" s="17">
        <f t="shared" si="105"/>
        <v>0.88888888888888884</v>
      </c>
      <c r="X148" s="33">
        <f t="shared" si="106"/>
        <v>0.27500000000000002</v>
      </c>
      <c r="Y148" s="12">
        <v>3</v>
      </c>
      <c r="Z148" s="12">
        <v>9</v>
      </c>
      <c r="AA148" s="17">
        <f t="shared" si="107"/>
        <v>6.6666666666666666E-2</v>
      </c>
      <c r="AB148" s="17">
        <f t="shared" si="108"/>
        <v>0.2</v>
      </c>
      <c r="AC148" s="33">
        <f t="shared" si="109"/>
        <v>0.33333333333333331</v>
      </c>
      <c r="AD148" s="12">
        <v>29</v>
      </c>
      <c r="AE148" s="17">
        <f t="shared" si="110"/>
        <v>0.64444444444444449</v>
      </c>
      <c r="AF148" s="12">
        <v>8</v>
      </c>
      <c r="AG148" s="17">
        <f t="shared" si="111"/>
        <v>0.17777777777777778</v>
      </c>
      <c r="AH148" s="12">
        <v>21</v>
      </c>
      <c r="AI148" s="17">
        <f t="shared" si="112"/>
        <v>0.46666666666666667</v>
      </c>
      <c r="AJ148" s="12">
        <v>11</v>
      </c>
      <c r="AK148" s="17">
        <f t="shared" si="113"/>
        <v>0.24444444444444444</v>
      </c>
      <c r="AL148" s="12">
        <v>8</v>
      </c>
      <c r="AM148" s="17">
        <f t="shared" si="114"/>
        <v>0.17777777777777778</v>
      </c>
      <c r="AN148" s="12">
        <v>2</v>
      </c>
      <c r="AO148" s="17">
        <f t="shared" si="115"/>
        <v>4.4444444444444446E-2</v>
      </c>
      <c r="AP148" s="12">
        <v>7</v>
      </c>
      <c r="AQ148" s="17">
        <f t="shared" si="116"/>
        <v>0.15555555555555556</v>
      </c>
      <c r="AR148" s="12">
        <v>48</v>
      </c>
      <c r="AS148" s="17">
        <f t="shared" si="117"/>
        <v>1.0666666666666667</v>
      </c>
      <c r="AT148" s="13">
        <v>-2.6654904507907237E-3</v>
      </c>
      <c r="AU148" s="13">
        <v>-4.0501279404227524E-4</v>
      </c>
      <c r="AV148" s="13">
        <v>-3.3322643483803586E-2</v>
      </c>
      <c r="AW148" s="13">
        <v>3.0657153033012863E-2</v>
      </c>
      <c r="AX148" s="13">
        <v>95.30320348672619</v>
      </c>
      <c r="AY148" s="13">
        <v>113.01076040235027</v>
      </c>
      <c r="AZ148" s="13">
        <v>1.8229069974015284</v>
      </c>
      <c r="BA148" s="13">
        <v>1.3333333333333333</v>
      </c>
      <c r="BB148" s="13">
        <v>9.116809116809117</v>
      </c>
      <c r="BC148" s="14">
        <v>0.47572178477690286</v>
      </c>
      <c r="BD148" s="14">
        <v>0.48245614035087719</v>
      </c>
      <c r="BE148" s="13">
        <v>10.377594169490118</v>
      </c>
      <c r="BF148" s="14">
        <v>0.70175438596491224</v>
      </c>
      <c r="BG148" s="14">
        <v>0.15789473684210525</v>
      </c>
      <c r="BH148" s="13">
        <v>2.9065278799603989</v>
      </c>
      <c r="BI148" s="13">
        <v>7.6296356848960469</v>
      </c>
      <c r="BJ148" s="13">
        <v>4.9215834770562994</v>
      </c>
      <c r="BK148" s="13">
        <v>5.2612698792299417</v>
      </c>
      <c r="BL148" s="13">
        <v>1.712357959684075</v>
      </c>
      <c r="BM148" s="13">
        <v>0.70237358372951597</v>
      </c>
      <c r="BN148" s="13">
        <v>10.300176574455561</v>
      </c>
      <c r="BO148" s="15" t="s">
        <v>187</v>
      </c>
      <c r="BP148" s="15">
        <v>35387</v>
      </c>
      <c r="BQ148" s="12" t="s">
        <v>271</v>
      </c>
      <c r="BR148" s="26">
        <v>144.93</v>
      </c>
      <c r="BS148" s="27">
        <v>192.33</v>
      </c>
      <c r="BT148" s="27">
        <v>47.4</v>
      </c>
      <c r="BU148" s="26">
        <f t="shared" si="118"/>
        <v>3.2206666666666668</v>
      </c>
      <c r="BV148" s="26">
        <f t="shared" si="119"/>
        <v>4.274</v>
      </c>
      <c r="BW148" s="26">
        <f t="shared" si="119"/>
        <v>1.0533333333333332</v>
      </c>
      <c r="BX148" s="31">
        <f t="shared" si="120"/>
        <v>22.016076966896645</v>
      </c>
      <c r="BY148" s="31">
        <f t="shared" si="121"/>
        <v>29.216532691942533</v>
      </c>
      <c r="BZ148" s="31">
        <f t="shared" si="122"/>
        <v>7.2004557250458889</v>
      </c>
      <c r="CA148" s="34">
        <v>17</v>
      </c>
      <c r="CB148" s="34">
        <v>28</v>
      </c>
    </row>
    <row r="149" spans="1:80" x14ac:dyDescent="0.4">
      <c r="A149" s="12" t="s">
        <v>191</v>
      </c>
      <c r="B149" s="12" t="s">
        <v>193</v>
      </c>
      <c r="C149" s="4" t="s">
        <v>124</v>
      </c>
      <c r="D149" s="5">
        <v>13</v>
      </c>
      <c r="E149" s="22">
        <v>4</v>
      </c>
      <c r="F149" s="22">
        <v>52</v>
      </c>
      <c r="G149" s="10">
        <v>3792</v>
      </c>
      <c r="H149" s="5">
        <v>20</v>
      </c>
      <c r="I149" s="17">
        <f t="shared" si="97"/>
        <v>1.5384615384615385</v>
      </c>
      <c r="J149" s="7">
        <v>7</v>
      </c>
      <c r="K149" s="7">
        <v>23</v>
      </c>
      <c r="L149" s="17">
        <f t="shared" si="98"/>
        <v>0.53846153846153844</v>
      </c>
      <c r="M149" s="17">
        <f t="shared" si="99"/>
        <v>1.7692307692307692</v>
      </c>
      <c r="N149" s="33">
        <f t="shared" si="100"/>
        <v>0.30434782608695654</v>
      </c>
      <c r="O149" s="12">
        <v>4</v>
      </c>
      <c r="P149" s="12">
        <v>8</v>
      </c>
      <c r="Q149" s="17">
        <f t="shared" si="101"/>
        <v>0.30769230769230771</v>
      </c>
      <c r="R149" s="17">
        <f t="shared" si="102"/>
        <v>0.61538461538461542</v>
      </c>
      <c r="S149" s="33">
        <f t="shared" si="103"/>
        <v>0.5</v>
      </c>
      <c r="T149" s="12">
        <v>3</v>
      </c>
      <c r="U149" s="12">
        <v>15</v>
      </c>
      <c r="V149" s="17">
        <f t="shared" si="104"/>
        <v>0.23076923076923078</v>
      </c>
      <c r="W149" s="17">
        <f t="shared" si="105"/>
        <v>1.1538461538461537</v>
      </c>
      <c r="X149" s="33">
        <f t="shared" si="106"/>
        <v>0.2</v>
      </c>
      <c r="Y149" s="12">
        <v>3</v>
      </c>
      <c r="Z149" s="12">
        <v>6</v>
      </c>
      <c r="AA149" s="17">
        <f t="shared" si="107"/>
        <v>0.23076923076923078</v>
      </c>
      <c r="AB149" s="17">
        <f t="shared" si="108"/>
        <v>0.46153846153846156</v>
      </c>
      <c r="AC149" s="33">
        <f t="shared" si="109"/>
        <v>0.5</v>
      </c>
      <c r="AD149" s="12">
        <v>10</v>
      </c>
      <c r="AE149" s="17">
        <f t="shared" si="110"/>
        <v>0.76923076923076927</v>
      </c>
      <c r="AF149" s="12">
        <v>4</v>
      </c>
      <c r="AG149" s="17">
        <f t="shared" si="111"/>
        <v>0.30769230769230771</v>
      </c>
      <c r="AH149" s="12">
        <v>6</v>
      </c>
      <c r="AI149" s="17">
        <f t="shared" si="112"/>
        <v>0.46153846153846156</v>
      </c>
      <c r="AJ149" s="12">
        <v>3</v>
      </c>
      <c r="AK149" s="17">
        <f t="shared" si="113"/>
        <v>0.23076923076923078</v>
      </c>
      <c r="AL149" s="12">
        <v>1</v>
      </c>
      <c r="AM149" s="17">
        <f t="shared" si="114"/>
        <v>7.6923076923076927E-2</v>
      </c>
      <c r="AN149" s="12">
        <v>1</v>
      </c>
      <c r="AO149" s="17">
        <f t="shared" si="115"/>
        <v>7.6923076923076927E-2</v>
      </c>
      <c r="AP149" s="12">
        <v>2</v>
      </c>
      <c r="AQ149" s="17">
        <f t="shared" si="116"/>
        <v>0.15384615384615385</v>
      </c>
      <c r="AR149" s="12">
        <v>6</v>
      </c>
      <c r="AS149" s="17">
        <f t="shared" si="117"/>
        <v>0.46153846153846156</v>
      </c>
      <c r="AT149" s="13">
        <v>-7.7531727133913736E-2</v>
      </c>
      <c r="AU149" s="13">
        <v>-4.901900556411827E-2</v>
      </c>
      <c r="AV149" s="13">
        <v>-7.8197764591313793E-2</v>
      </c>
      <c r="AW149" s="13">
        <v>6.6603745740006267E-4</v>
      </c>
      <c r="AX149" s="13">
        <v>86.389093030663801</v>
      </c>
      <c r="AY149" s="13">
        <v>113.97063169441267</v>
      </c>
      <c r="AZ149" s="13">
        <v>0.94657802220001186</v>
      </c>
      <c r="BA149" s="13">
        <v>1.0769230769230769</v>
      </c>
      <c r="BB149" s="13">
        <v>8.8514225500526873</v>
      </c>
      <c r="BC149" s="14">
        <v>0.39001560062402496</v>
      </c>
      <c r="BD149" s="14">
        <v>0.36956521739130432</v>
      </c>
      <c r="BE149" s="13">
        <v>5.0734760726743007</v>
      </c>
      <c r="BF149" s="14">
        <v>0.65217391304347827</v>
      </c>
      <c r="BG149" s="14">
        <v>0.2608695652173913</v>
      </c>
      <c r="BH149" s="13">
        <v>1.7469028867570204</v>
      </c>
      <c r="BI149" s="13">
        <v>2.6203543301355303</v>
      </c>
      <c r="BJ149" s="13">
        <v>2.0400044880098736</v>
      </c>
      <c r="BK149" s="13">
        <v>1.6195789094835342</v>
      </c>
      <c r="BL149" s="13">
        <v>0.89063138742129755</v>
      </c>
      <c r="BM149" s="13">
        <v>0.42214576693332212</v>
      </c>
      <c r="BN149" s="13">
        <v>7.2358900144717797</v>
      </c>
      <c r="BO149" s="15" t="s">
        <v>187</v>
      </c>
      <c r="BP149" s="15">
        <v>420000</v>
      </c>
      <c r="BQ149" s="12" t="s">
        <v>273</v>
      </c>
      <c r="BR149" s="26">
        <v>34.1</v>
      </c>
      <c r="BS149" s="27">
        <v>54.3</v>
      </c>
      <c r="BT149" s="27">
        <v>20.2</v>
      </c>
      <c r="BU149" s="26">
        <f t="shared" si="118"/>
        <v>2.6230769230769226</v>
      </c>
      <c r="BV149" s="26">
        <f t="shared" si="119"/>
        <v>4.1769230769230763</v>
      </c>
      <c r="BW149" s="26">
        <f t="shared" si="119"/>
        <v>1.5538461538461539</v>
      </c>
      <c r="BX149" s="31">
        <f t="shared" si="120"/>
        <v>21.582278481012658</v>
      </c>
      <c r="BY149" s="31">
        <f t="shared" si="121"/>
        <v>34.367088607594937</v>
      </c>
      <c r="BZ149" s="31">
        <f t="shared" si="122"/>
        <v>12.784810126582279</v>
      </c>
      <c r="CA149" s="35">
        <v>4</v>
      </c>
      <c r="CB149" s="35">
        <v>9</v>
      </c>
    </row>
    <row r="150" spans="1:80" x14ac:dyDescent="0.4">
      <c r="A150" s="12" t="s">
        <v>191</v>
      </c>
      <c r="B150" s="12" t="s">
        <v>193</v>
      </c>
      <c r="C150" s="4" t="s">
        <v>73</v>
      </c>
      <c r="D150" s="5">
        <v>51</v>
      </c>
      <c r="E150" s="22">
        <v>28</v>
      </c>
      <c r="F150" s="22">
        <v>6</v>
      </c>
      <c r="G150" s="10">
        <v>85996</v>
      </c>
      <c r="H150" s="5">
        <v>426</v>
      </c>
      <c r="I150" s="17">
        <f t="shared" si="97"/>
        <v>8.3529411764705888</v>
      </c>
      <c r="J150" s="7">
        <v>195</v>
      </c>
      <c r="K150" s="7">
        <v>470</v>
      </c>
      <c r="L150" s="17">
        <f t="shared" si="98"/>
        <v>3.8235294117647061</v>
      </c>
      <c r="M150" s="17">
        <f t="shared" si="99"/>
        <v>9.2156862745098032</v>
      </c>
      <c r="N150" s="33">
        <f t="shared" si="100"/>
        <v>0.41489361702127658</v>
      </c>
      <c r="O150" s="12">
        <v>188</v>
      </c>
      <c r="P150" s="12">
        <v>439</v>
      </c>
      <c r="Q150" s="17">
        <f t="shared" si="101"/>
        <v>3.6862745098039214</v>
      </c>
      <c r="R150" s="17">
        <f t="shared" si="102"/>
        <v>8.6078431372549016</v>
      </c>
      <c r="S150" s="33">
        <f t="shared" si="103"/>
        <v>0.42824601366742598</v>
      </c>
      <c r="T150" s="12">
        <v>7</v>
      </c>
      <c r="U150" s="12">
        <v>31</v>
      </c>
      <c r="V150" s="17">
        <f t="shared" si="104"/>
        <v>0.13725490196078433</v>
      </c>
      <c r="W150" s="17">
        <f t="shared" si="105"/>
        <v>0.60784313725490191</v>
      </c>
      <c r="X150" s="33">
        <f t="shared" si="106"/>
        <v>0.22580645161290322</v>
      </c>
      <c r="Y150" s="12">
        <v>29</v>
      </c>
      <c r="Z150" s="12">
        <v>42</v>
      </c>
      <c r="AA150" s="17">
        <f t="shared" si="107"/>
        <v>0.56862745098039214</v>
      </c>
      <c r="AB150" s="17">
        <f t="shared" si="108"/>
        <v>0.82352941176470584</v>
      </c>
      <c r="AC150" s="33">
        <f t="shared" si="109"/>
        <v>0.69047619047619047</v>
      </c>
      <c r="AD150" s="12">
        <v>294</v>
      </c>
      <c r="AE150" s="17">
        <f t="shared" si="110"/>
        <v>5.7647058823529411</v>
      </c>
      <c r="AF150" s="12">
        <v>108</v>
      </c>
      <c r="AG150" s="17">
        <f t="shared" si="111"/>
        <v>2.1176470588235294</v>
      </c>
      <c r="AH150" s="12">
        <v>186</v>
      </c>
      <c r="AI150" s="17">
        <f t="shared" si="112"/>
        <v>3.6470588235294117</v>
      </c>
      <c r="AJ150" s="12">
        <v>119</v>
      </c>
      <c r="AK150" s="17">
        <f t="shared" si="113"/>
        <v>2.3333333333333335</v>
      </c>
      <c r="AL150" s="12">
        <v>43</v>
      </c>
      <c r="AM150" s="17">
        <f t="shared" si="114"/>
        <v>0.84313725490196079</v>
      </c>
      <c r="AN150" s="12">
        <v>21</v>
      </c>
      <c r="AO150" s="17">
        <f t="shared" si="115"/>
        <v>0.41176470588235292</v>
      </c>
      <c r="AP150" s="12">
        <v>62</v>
      </c>
      <c r="AQ150" s="17">
        <f t="shared" si="116"/>
        <v>1.2156862745098038</v>
      </c>
      <c r="AR150" s="12">
        <v>92</v>
      </c>
      <c r="AS150" s="17">
        <f t="shared" si="117"/>
        <v>1.803921568627451</v>
      </c>
      <c r="AT150" s="13">
        <v>0.16270696795008982</v>
      </c>
      <c r="AU150" s="13">
        <v>4.5413988681903515E-3</v>
      </c>
      <c r="AV150" s="13">
        <v>-0.34483614268442925</v>
      </c>
      <c r="AW150" s="13">
        <v>0.50754311063451907</v>
      </c>
      <c r="AX150" s="13">
        <v>94.901252689871413</v>
      </c>
      <c r="AY150" s="13">
        <v>110.85684101369066</v>
      </c>
      <c r="AZ150" s="13">
        <v>7.7635457542260475</v>
      </c>
      <c r="BA150" s="13">
        <v>10.843137254901961</v>
      </c>
      <c r="BB150" s="13">
        <v>15.435070825483219</v>
      </c>
      <c r="BC150" s="14">
        <v>0.43604651162790697</v>
      </c>
      <c r="BD150" s="14">
        <v>0.42234042553191492</v>
      </c>
      <c r="BE150" s="13">
        <v>17.499853129411679</v>
      </c>
      <c r="BF150" s="14">
        <v>6.5957446808510636E-2</v>
      </c>
      <c r="BG150" s="14">
        <v>8.9361702127659579E-2</v>
      </c>
      <c r="BH150" s="13">
        <v>8.1687914348709061</v>
      </c>
      <c r="BI150" s="13">
        <v>14.068474137833228</v>
      </c>
      <c r="BJ150" s="13">
        <v>10.387325343218958</v>
      </c>
      <c r="BK150" s="13">
        <v>13.006175200830645</v>
      </c>
      <c r="BL150" s="13">
        <v>1.6906936025167301</v>
      </c>
      <c r="BM150" s="13">
        <v>1.5353486612308012</v>
      </c>
      <c r="BN150" s="13">
        <v>11.262897834617061</v>
      </c>
      <c r="BO150" s="15" t="s">
        <v>187</v>
      </c>
      <c r="BP150" s="15">
        <v>140000</v>
      </c>
      <c r="BQ150" s="12" t="s">
        <v>273</v>
      </c>
      <c r="BR150" s="26">
        <v>1001.82</v>
      </c>
      <c r="BS150" s="27">
        <v>1377.82</v>
      </c>
      <c r="BT150" s="27">
        <v>376</v>
      </c>
      <c r="BU150" s="26">
        <f t="shared" si="118"/>
        <v>19.643529411764707</v>
      </c>
      <c r="BV150" s="26">
        <f t="shared" si="119"/>
        <v>27.016078431372549</v>
      </c>
      <c r="BW150" s="26">
        <f t="shared" si="119"/>
        <v>7.3725490196078427</v>
      </c>
      <c r="BX150" s="31">
        <f t="shared" si="120"/>
        <v>27.959067863621563</v>
      </c>
      <c r="BY150" s="31">
        <f t="shared" si="121"/>
        <v>38.452579189729754</v>
      </c>
      <c r="BZ150" s="31">
        <f t="shared" si="122"/>
        <v>10.493511326108191</v>
      </c>
      <c r="CA150" s="35">
        <v>16</v>
      </c>
      <c r="CB150" s="35">
        <v>35</v>
      </c>
    </row>
    <row r="151" spans="1:80" x14ac:dyDescent="0.4">
      <c r="A151" s="12" t="s">
        <v>191</v>
      </c>
      <c r="B151" s="12" t="s">
        <v>193</v>
      </c>
      <c r="C151" s="4" t="s">
        <v>81</v>
      </c>
      <c r="D151" s="32">
        <v>19</v>
      </c>
      <c r="E151" s="24">
        <v>9</v>
      </c>
      <c r="F151" s="24">
        <v>16</v>
      </c>
      <c r="G151" s="10">
        <v>10566</v>
      </c>
      <c r="H151" s="5">
        <v>38</v>
      </c>
      <c r="I151" s="17">
        <f t="shared" si="97"/>
        <v>2</v>
      </c>
      <c r="J151" s="7">
        <v>11</v>
      </c>
      <c r="K151" s="7">
        <v>36</v>
      </c>
      <c r="L151" s="17">
        <f t="shared" si="98"/>
        <v>0.57894736842105265</v>
      </c>
      <c r="M151" s="17">
        <f t="shared" si="99"/>
        <v>1.8947368421052631</v>
      </c>
      <c r="N151" s="33">
        <f t="shared" si="100"/>
        <v>0.30555555555555558</v>
      </c>
      <c r="O151" s="12">
        <v>3</v>
      </c>
      <c r="P151" s="12">
        <v>9</v>
      </c>
      <c r="Q151" s="17">
        <f t="shared" si="101"/>
        <v>0.15789473684210525</v>
      </c>
      <c r="R151" s="17">
        <f t="shared" si="102"/>
        <v>0.47368421052631576</v>
      </c>
      <c r="S151" s="33">
        <f t="shared" si="103"/>
        <v>0.33333333333333331</v>
      </c>
      <c r="T151" s="12">
        <v>8</v>
      </c>
      <c r="U151" s="12">
        <v>27</v>
      </c>
      <c r="V151" s="17">
        <f t="shared" si="104"/>
        <v>0.42105263157894735</v>
      </c>
      <c r="W151" s="17">
        <f t="shared" si="105"/>
        <v>1.4210526315789473</v>
      </c>
      <c r="X151" s="33">
        <f t="shared" si="106"/>
        <v>0.29629629629629628</v>
      </c>
      <c r="Y151" s="12">
        <v>8</v>
      </c>
      <c r="Z151" s="12">
        <v>9</v>
      </c>
      <c r="AA151" s="17">
        <f t="shared" si="107"/>
        <v>0.42105263157894735</v>
      </c>
      <c r="AB151" s="17">
        <f t="shared" si="108"/>
        <v>0.47368421052631576</v>
      </c>
      <c r="AC151" s="33">
        <f t="shared" si="109"/>
        <v>0.88888888888888884</v>
      </c>
      <c r="AD151" s="12">
        <v>15</v>
      </c>
      <c r="AE151" s="17">
        <f t="shared" si="110"/>
        <v>0.78947368421052633</v>
      </c>
      <c r="AF151" s="12">
        <v>2</v>
      </c>
      <c r="AG151" s="17">
        <f t="shared" si="111"/>
        <v>0.10526315789473684</v>
      </c>
      <c r="AH151" s="12">
        <v>13</v>
      </c>
      <c r="AI151" s="17">
        <f t="shared" si="112"/>
        <v>0.68421052631578949</v>
      </c>
      <c r="AJ151" s="12">
        <v>6</v>
      </c>
      <c r="AK151" s="17">
        <f t="shared" si="113"/>
        <v>0.31578947368421051</v>
      </c>
      <c r="AL151" s="12">
        <v>6</v>
      </c>
      <c r="AM151" s="17">
        <f t="shared" si="114"/>
        <v>0.31578947368421051</v>
      </c>
      <c r="AN151" s="12">
        <v>0</v>
      </c>
      <c r="AO151" s="17">
        <f t="shared" si="115"/>
        <v>0</v>
      </c>
      <c r="AP151" s="12">
        <v>7</v>
      </c>
      <c r="AQ151" s="17">
        <f t="shared" si="116"/>
        <v>0.36842105263157893</v>
      </c>
      <c r="AR151" s="12">
        <v>30</v>
      </c>
      <c r="AS151" s="17">
        <f t="shared" si="117"/>
        <v>1.5789473684210527</v>
      </c>
      <c r="AT151" s="13">
        <v>-7.4837633072051601E-2</v>
      </c>
      <c r="AU151" s="13">
        <v>-1.7002112776687225E-2</v>
      </c>
      <c r="AV151" s="13">
        <v>-9.0384480479006116E-2</v>
      </c>
      <c r="AW151" s="13">
        <v>1.5546847406954514E-2</v>
      </c>
      <c r="AX151" s="13">
        <v>89.75354096514782</v>
      </c>
      <c r="AY151" s="13">
        <v>113.26589048959384</v>
      </c>
      <c r="AZ151" s="13">
        <v>0.21305092099283768</v>
      </c>
      <c r="BA151" s="13">
        <v>1.6842105263157894</v>
      </c>
      <c r="BB151" s="13">
        <v>7.2699734948882995</v>
      </c>
      <c r="BC151" s="14">
        <v>0.47547547547547547</v>
      </c>
      <c r="BD151" s="14">
        <v>0.41666666666666669</v>
      </c>
      <c r="BE151" s="13">
        <v>4.526929446223626</v>
      </c>
      <c r="BF151" s="14">
        <v>0.75</v>
      </c>
      <c r="BG151" s="14">
        <v>0.25</v>
      </c>
      <c r="BH151" s="13">
        <v>0.45871910335705934</v>
      </c>
      <c r="BI151" s="13">
        <v>2.9816741718208855</v>
      </c>
      <c r="BJ151" s="13">
        <v>1.6070538952307998</v>
      </c>
      <c r="BK151" s="13">
        <v>1.6899821612994086</v>
      </c>
      <c r="BL151" s="13">
        <v>1.9202026202108549</v>
      </c>
      <c r="BM151" s="13">
        <v>0</v>
      </c>
      <c r="BN151" s="13">
        <v>14.906303236797275</v>
      </c>
      <c r="BO151" s="15" t="s">
        <v>187</v>
      </c>
      <c r="BP151" s="15">
        <v>58000</v>
      </c>
      <c r="BQ151" s="12" t="s">
        <v>273</v>
      </c>
      <c r="BR151" s="26">
        <v>78.63</v>
      </c>
      <c r="BS151" s="27">
        <v>113.03</v>
      </c>
      <c r="BT151" s="27">
        <v>34.4</v>
      </c>
      <c r="BU151" s="26">
        <f t="shared" si="118"/>
        <v>4.1384210526315783</v>
      </c>
      <c r="BV151" s="26">
        <f t="shared" si="119"/>
        <v>5.9489473684210523</v>
      </c>
      <c r="BW151" s="26">
        <f t="shared" si="119"/>
        <v>1.8105263157894735</v>
      </c>
      <c r="BX151" s="31">
        <f t="shared" si="120"/>
        <v>17.860306643952303</v>
      </c>
      <c r="BY151" s="31">
        <f t="shared" si="121"/>
        <v>25.674048835888701</v>
      </c>
      <c r="BZ151" s="31">
        <f t="shared" si="122"/>
        <v>7.8137421919363996</v>
      </c>
      <c r="CA151" s="34">
        <v>7</v>
      </c>
      <c r="CB151" s="34">
        <v>12</v>
      </c>
    </row>
    <row r="152" spans="1:80" x14ac:dyDescent="0.4">
      <c r="A152" s="12" t="s">
        <v>191</v>
      </c>
      <c r="B152" s="12" t="s">
        <v>193</v>
      </c>
      <c r="C152" s="4" t="s">
        <v>140</v>
      </c>
      <c r="D152" s="32">
        <v>37</v>
      </c>
      <c r="E152" s="24">
        <v>12</v>
      </c>
      <c r="F152" s="24">
        <v>40</v>
      </c>
      <c r="G152" s="10">
        <v>28115</v>
      </c>
      <c r="H152" s="5">
        <v>127</v>
      </c>
      <c r="I152" s="17">
        <f t="shared" si="97"/>
        <v>3.4324324324324325</v>
      </c>
      <c r="J152" s="7">
        <v>51</v>
      </c>
      <c r="K152" s="7">
        <v>109</v>
      </c>
      <c r="L152" s="17">
        <f t="shared" si="98"/>
        <v>1.3783783783783783</v>
      </c>
      <c r="M152" s="17">
        <f t="shared" si="99"/>
        <v>2.9459459459459461</v>
      </c>
      <c r="N152" s="33">
        <f t="shared" si="100"/>
        <v>0.46788990825688076</v>
      </c>
      <c r="O152" s="12">
        <v>33</v>
      </c>
      <c r="P152" s="12">
        <v>51</v>
      </c>
      <c r="Q152" s="17">
        <f t="shared" si="101"/>
        <v>0.89189189189189189</v>
      </c>
      <c r="R152" s="17">
        <f t="shared" si="102"/>
        <v>1.3783783783783783</v>
      </c>
      <c r="S152" s="33">
        <f t="shared" si="103"/>
        <v>0.6470588235294118</v>
      </c>
      <c r="T152" s="12">
        <v>18</v>
      </c>
      <c r="U152" s="12">
        <v>58</v>
      </c>
      <c r="V152" s="17">
        <f t="shared" si="104"/>
        <v>0.48648648648648651</v>
      </c>
      <c r="W152" s="17">
        <f t="shared" si="105"/>
        <v>1.5675675675675675</v>
      </c>
      <c r="X152" s="33">
        <f t="shared" si="106"/>
        <v>0.31034482758620691</v>
      </c>
      <c r="Y152" s="12">
        <v>7</v>
      </c>
      <c r="Z152" s="12">
        <v>10</v>
      </c>
      <c r="AA152" s="17">
        <f t="shared" si="107"/>
        <v>0.1891891891891892</v>
      </c>
      <c r="AB152" s="17">
        <f t="shared" si="108"/>
        <v>0.27027027027027029</v>
      </c>
      <c r="AC152" s="33">
        <f t="shared" si="109"/>
        <v>0.7</v>
      </c>
      <c r="AD152" s="12">
        <v>46</v>
      </c>
      <c r="AE152" s="17">
        <f t="shared" si="110"/>
        <v>1.2432432432432432</v>
      </c>
      <c r="AF152" s="12">
        <v>11</v>
      </c>
      <c r="AG152" s="17">
        <f t="shared" si="111"/>
        <v>0.29729729729729731</v>
      </c>
      <c r="AH152" s="12">
        <v>35</v>
      </c>
      <c r="AI152" s="17">
        <f t="shared" si="112"/>
        <v>0.94594594594594594</v>
      </c>
      <c r="AJ152" s="12">
        <v>23</v>
      </c>
      <c r="AK152" s="17">
        <f t="shared" si="113"/>
        <v>0.6216216216216216</v>
      </c>
      <c r="AL152" s="12">
        <v>10</v>
      </c>
      <c r="AM152" s="17">
        <f t="shared" si="114"/>
        <v>0.27027027027027029</v>
      </c>
      <c r="AN152" s="12">
        <v>1</v>
      </c>
      <c r="AO152" s="17">
        <f t="shared" si="115"/>
        <v>2.7027027027027029E-2</v>
      </c>
      <c r="AP152" s="12">
        <v>17</v>
      </c>
      <c r="AQ152" s="17">
        <f t="shared" si="116"/>
        <v>0.45945945945945948</v>
      </c>
      <c r="AR152" s="12">
        <v>53</v>
      </c>
      <c r="AS152" s="17">
        <f t="shared" si="117"/>
        <v>1.4324324324324325</v>
      </c>
      <c r="AT152" s="13">
        <v>0.16379935180961608</v>
      </c>
      <c r="AU152" s="13">
        <v>1.3980030026425269E-2</v>
      </c>
      <c r="AV152" s="13">
        <v>0.20486557587373067</v>
      </c>
      <c r="AW152" s="13">
        <v>-4.106622406411458E-2</v>
      </c>
      <c r="AX152" s="13">
        <v>103.22929726815001</v>
      </c>
      <c r="AY152" s="13">
        <v>114.86002316043755</v>
      </c>
      <c r="AZ152" s="13">
        <v>3.385017207654732</v>
      </c>
      <c r="BA152" s="13">
        <v>3.4864864864864864</v>
      </c>
      <c r="BB152" s="13">
        <v>11.0099573257468</v>
      </c>
      <c r="BC152" s="14">
        <v>0.55996472663139329</v>
      </c>
      <c r="BD152" s="14">
        <v>0.55045871559633031</v>
      </c>
      <c r="BE152" s="13">
        <v>9.1963274870517964</v>
      </c>
      <c r="BF152" s="14">
        <v>0.5321100917431193</v>
      </c>
      <c r="BG152" s="14">
        <v>9.1743119266055051E-2</v>
      </c>
      <c r="BH152" s="13">
        <v>1.8457408132445885</v>
      </c>
      <c r="BI152" s="13">
        <v>5.8728116785055091</v>
      </c>
      <c r="BJ152" s="13">
        <v>3.6054395109142923</v>
      </c>
      <c r="BK152" s="13">
        <v>5.1186943620178047</v>
      </c>
      <c r="BL152" s="13">
        <v>1.2022890279698597</v>
      </c>
      <c r="BM152" s="13">
        <v>0.16219284729543426</v>
      </c>
      <c r="BN152" s="13">
        <v>13.036809815950919</v>
      </c>
      <c r="BO152" s="15" t="s">
        <v>187</v>
      </c>
      <c r="BP152" s="15"/>
      <c r="BQ152" s="12" t="s">
        <v>273</v>
      </c>
      <c r="BR152" s="26">
        <v>260.75</v>
      </c>
      <c r="BS152" s="27">
        <v>342.65</v>
      </c>
      <c r="BT152" s="27">
        <v>81.900000000000006</v>
      </c>
      <c r="BU152" s="26">
        <f t="shared" si="118"/>
        <v>7.0472972972972965</v>
      </c>
      <c r="BV152" s="26">
        <f t="shared" si="119"/>
        <v>9.2608108108108098</v>
      </c>
      <c r="BW152" s="26">
        <f t="shared" si="119"/>
        <v>2.2135135135135138</v>
      </c>
      <c r="BX152" s="31">
        <f t="shared" si="120"/>
        <v>22.258580828739106</v>
      </c>
      <c r="BY152" s="31">
        <f t="shared" si="121"/>
        <v>29.249866619242397</v>
      </c>
      <c r="BZ152" s="31">
        <f t="shared" si="122"/>
        <v>6.9912857905032899</v>
      </c>
      <c r="CA152" s="35">
        <v>11</v>
      </c>
      <c r="CB152" s="35">
        <v>26</v>
      </c>
    </row>
    <row r="153" spans="1:80" x14ac:dyDescent="0.4">
      <c r="A153" s="12" t="s">
        <v>191</v>
      </c>
      <c r="B153" s="12" t="s">
        <v>193</v>
      </c>
      <c r="C153" s="4" t="s">
        <v>155</v>
      </c>
      <c r="D153" s="5">
        <v>43</v>
      </c>
      <c r="E153" s="22">
        <v>26</v>
      </c>
      <c r="F153" s="22">
        <v>24</v>
      </c>
      <c r="G153" s="10">
        <v>68105</v>
      </c>
      <c r="H153" s="5">
        <v>249</v>
      </c>
      <c r="I153" s="17">
        <f t="shared" si="97"/>
        <v>5.7906976744186043</v>
      </c>
      <c r="J153" s="7">
        <v>90</v>
      </c>
      <c r="K153" s="7">
        <v>248</v>
      </c>
      <c r="L153" s="17">
        <f t="shared" si="98"/>
        <v>2.0930232558139537</v>
      </c>
      <c r="M153" s="17">
        <f t="shared" si="99"/>
        <v>5.7674418604651159</v>
      </c>
      <c r="N153" s="33">
        <f t="shared" si="100"/>
        <v>0.36290322580645162</v>
      </c>
      <c r="O153" s="12">
        <v>34</v>
      </c>
      <c r="P153" s="12">
        <v>67</v>
      </c>
      <c r="Q153" s="17">
        <f t="shared" si="101"/>
        <v>0.79069767441860461</v>
      </c>
      <c r="R153" s="17">
        <f t="shared" si="102"/>
        <v>1.558139534883721</v>
      </c>
      <c r="S153" s="33">
        <f t="shared" si="103"/>
        <v>0.5074626865671642</v>
      </c>
      <c r="T153" s="12">
        <v>56</v>
      </c>
      <c r="U153" s="12">
        <v>181</v>
      </c>
      <c r="V153" s="17">
        <f t="shared" si="104"/>
        <v>1.3023255813953489</v>
      </c>
      <c r="W153" s="17">
        <f t="shared" si="105"/>
        <v>4.2093023255813957</v>
      </c>
      <c r="X153" s="33">
        <f t="shared" si="106"/>
        <v>0.30939226519337015</v>
      </c>
      <c r="Y153" s="12">
        <v>13</v>
      </c>
      <c r="Z153" s="12">
        <v>19</v>
      </c>
      <c r="AA153" s="17">
        <f t="shared" si="107"/>
        <v>0.30232558139534882</v>
      </c>
      <c r="AB153" s="17">
        <f t="shared" si="108"/>
        <v>0.44186046511627908</v>
      </c>
      <c r="AC153" s="33">
        <f t="shared" si="109"/>
        <v>0.68421052631578949</v>
      </c>
      <c r="AD153" s="12">
        <v>148</v>
      </c>
      <c r="AE153" s="17">
        <f t="shared" si="110"/>
        <v>3.441860465116279</v>
      </c>
      <c r="AF153" s="12">
        <v>39</v>
      </c>
      <c r="AG153" s="17">
        <f t="shared" si="111"/>
        <v>0.90697674418604646</v>
      </c>
      <c r="AH153" s="12">
        <v>109</v>
      </c>
      <c r="AI153" s="17">
        <f t="shared" si="112"/>
        <v>2.5348837209302326</v>
      </c>
      <c r="AJ153" s="12">
        <v>28</v>
      </c>
      <c r="AK153" s="17">
        <f t="shared" si="113"/>
        <v>0.65116279069767447</v>
      </c>
      <c r="AL153" s="12">
        <v>43</v>
      </c>
      <c r="AM153" s="17">
        <f t="shared" si="114"/>
        <v>1</v>
      </c>
      <c r="AN153" s="12">
        <v>11</v>
      </c>
      <c r="AO153" s="17">
        <f t="shared" si="115"/>
        <v>0.2558139534883721</v>
      </c>
      <c r="AP153" s="12">
        <v>22</v>
      </c>
      <c r="AQ153" s="17">
        <f t="shared" si="116"/>
        <v>0.51162790697674421</v>
      </c>
      <c r="AR153" s="12">
        <v>123</v>
      </c>
      <c r="AS153" s="17">
        <f t="shared" si="117"/>
        <v>2.86046511627907</v>
      </c>
      <c r="AT153" s="13">
        <v>0.43553834117861573</v>
      </c>
      <c r="AU153" s="13">
        <v>1.5346664594031563E-2</v>
      </c>
      <c r="AV153" s="13">
        <v>0.11113153204481957</v>
      </c>
      <c r="AW153" s="13">
        <v>0.32440680913379616</v>
      </c>
      <c r="AX153" s="13">
        <v>98.723133212267157</v>
      </c>
      <c r="AY153" s="13">
        <v>111.4765261349294</v>
      </c>
      <c r="AZ153" s="13">
        <v>3.7150608612440488</v>
      </c>
      <c r="BA153" s="13">
        <v>6.8139534883720927</v>
      </c>
      <c r="BB153" s="13">
        <v>10.324171952078929</v>
      </c>
      <c r="BC153" s="14">
        <v>0.48564518645654547</v>
      </c>
      <c r="BD153" s="14">
        <v>0.47580645161290325</v>
      </c>
      <c r="BE153" s="13">
        <v>9.4189410722677351</v>
      </c>
      <c r="BF153" s="14">
        <v>0.72983870967741937</v>
      </c>
      <c r="BG153" s="14">
        <v>7.6612903225806453E-2</v>
      </c>
      <c r="BH153" s="13">
        <v>3.1397932566901749</v>
      </c>
      <c r="BI153" s="13">
        <v>8.7753196148520267</v>
      </c>
      <c r="BJ153" s="13">
        <v>5.5657092142572413</v>
      </c>
      <c r="BK153" s="13">
        <v>2.9387069689336691</v>
      </c>
      <c r="BL153" s="13">
        <v>2.1343666329868971</v>
      </c>
      <c r="BM153" s="13">
        <v>0.85601780517034765</v>
      </c>
      <c r="BN153" s="13">
        <v>7.9034344014944669</v>
      </c>
      <c r="BO153" s="15" t="s">
        <v>187</v>
      </c>
      <c r="BP153" s="15"/>
      <c r="BQ153" s="12" t="s">
        <v>273</v>
      </c>
      <c r="BR153" s="26">
        <v>623.47</v>
      </c>
      <c r="BS153" s="27">
        <v>806.77</v>
      </c>
      <c r="BT153" s="27">
        <v>183.3</v>
      </c>
      <c r="BU153" s="26">
        <f t="shared" si="118"/>
        <v>14.499302325581397</v>
      </c>
      <c r="BV153" s="26">
        <f t="shared" si="119"/>
        <v>18.762093023255815</v>
      </c>
      <c r="BW153" s="26">
        <f t="shared" si="119"/>
        <v>4.2627906976744185</v>
      </c>
      <c r="BX153" s="31">
        <f t="shared" si="120"/>
        <v>21.97089787827619</v>
      </c>
      <c r="BY153" s="31">
        <f t="shared" si="121"/>
        <v>28.430335511342779</v>
      </c>
      <c r="BZ153" s="31">
        <f t="shared" si="122"/>
        <v>6.4594376330665879</v>
      </c>
      <c r="CA153" s="35">
        <v>14</v>
      </c>
      <c r="CB153" s="35">
        <v>29</v>
      </c>
    </row>
    <row r="154" spans="1:80" x14ac:dyDescent="0.4">
      <c r="A154" s="12" t="s">
        <v>191</v>
      </c>
      <c r="B154" s="12" t="s">
        <v>193</v>
      </c>
      <c r="C154" s="4" t="s">
        <v>216</v>
      </c>
      <c r="D154" s="32">
        <v>33</v>
      </c>
      <c r="E154" s="24">
        <v>11</v>
      </c>
      <c r="F154" s="24">
        <v>49</v>
      </c>
      <c r="G154" s="10">
        <v>23410</v>
      </c>
      <c r="H154" s="5">
        <v>209</v>
      </c>
      <c r="I154" s="17">
        <f t="shared" si="97"/>
        <v>6.333333333333333</v>
      </c>
      <c r="J154" s="7">
        <v>84</v>
      </c>
      <c r="K154" s="7">
        <v>147</v>
      </c>
      <c r="L154" s="17">
        <f t="shared" si="98"/>
        <v>2.5454545454545454</v>
      </c>
      <c r="M154" s="17">
        <f t="shared" si="99"/>
        <v>4.4545454545454541</v>
      </c>
      <c r="N154" s="33">
        <f t="shared" si="100"/>
        <v>0.5714285714285714</v>
      </c>
      <c r="O154" s="12">
        <v>84</v>
      </c>
      <c r="P154" s="12">
        <v>146</v>
      </c>
      <c r="Q154" s="17">
        <f t="shared" si="101"/>
        <v>2.5454545454545454</v>
      </c>
      <c r="R154" s="17">
        <f t="shared" si="102"/>
        <v>4.4242424242424239</v>
      </c>
      <c r="S154" s="33">
        <f t="shared" si="103"/>
        <v>0.57534246575342463</v>
      </c>
      <c r="T154" s="12">
        <v>0</v>
      </c>
      <c r="U154" s="12">
        <v>1</v>
      </c>
      <c r="V154" s="17">
        <f t="shared" si="104"/>
        <v>0</v>
      </c>
      <c r="W154" s="17">
        <f t="shared" si="105"/>
        <v>3.0303030303030304E-2</v>
      </c>
      <c r="X154" s="33">
        <f t="shared" si="106"/>
        <v>0</v>
      </c>
      <c r="Y154" s="12">
        <v>41</v>
      </c>
      <c r="Z154" s="12">
        <v>71</v>
      </c>
      <c r="AA154" s="17">
        <f t="shared" si="107"/>
        <v>1.2424242424242424</v>
      </c>
      <c r="AB154" s="17">
        <f t="shared" si="108"/>
        <v>2.1515151515151514</v>
      </c>
      <c r="AC154" s="33">
        <f t="shared" si="109"/>
        <v>0.57746478873239437</v>
      </c>
      <c r="AD154" s="12">
        <v>124</v>
      </c>
      <c r="AE154" s="17">
        <f t="shared" si="110"/>
        <v>3.7575757575757578</v>
      </c>
      <c r="AF154" s="12">
        <v>32</v>
      </c>
      <c r="AG154" s="17">
        <f t="shared" si="111"/>
        <v>0.96969696969696972</v>
      </c>
      <c r="AH154" s="12">
        <v>92</v>
      </c>
      <c r="AI154" s="17">
        <f t="shared" si="112"/>
        <v>2.7878787878787881</v>
      </c>
      <c r="AJ154" s="12">
        <v>24</v>
      </c>
      <c r="AK154" s="17">
        <f t="shared" si="113"/>
        <v>0.72727272727272729</v>
      </c>
      <c r="AL154" s="12">
        <v>16</v>
      </c>
      <c r="AM154" s="17">
        <f t="shared" si="114"/>
        <v>0.48484848484848486</v>
      </c>
      <c r="AN154" s="12">
        <v>11</v>
      </c>
      <c r="AO154" s="17">
        <f t="shared" si="115"/>
        <v>0.33333333333333331</v>
      </c>
      <c r="AP154" s="12">
        <v>40</v>
      </c>
      <c r="AQ154" s="17">
        <f t="shared" si="116"/>
        <v>1.2121212121212122</v>
      </c>
      <c r="AR154" s="12">
        <v>48</v>
      </c>
      <c r="AS154" s="17">
        <f t="shared" si="117"/>
        <v>1.4545454545454546</v>
      </c>
      <c r="AT154" s="13">
        <v>0.58911905949254573</v>
      </c>
      <c r="AU154" s="13">
        <v>6.0430215103735939E-2</v>
      </c>
      <c r="AV154" s="13">
        <v>0.15616753824531632</v>
      </c>
      <c r="AW154" s="13">
        <v>0.43295152124722935</v>
      </c>
      <c r="AX154" s="13">
        <v>99.876938365051615</v>
      </c>
      <c r="AY154" s="13">
        <v>104.00531562564279</v>
      </c>
      <c r="AZ154" s="13">
        <v>8.0756222203830959</v>
      </c>
      <c r="BA154" s="13">
        <v>7.6060606060606064</v>
      </c>
      <c r="BB154" s="13">
        <v>25.746890627003467</v>
      </c>
      <c r="BC154" s="14">
        <v>0.58628815080789942</v>
      </c>
      <c r="BD154" s="14">
        <v>0.5714285714285714</v>
      </c>
      <c r="BE154" s="13">
        <v>16.498275331500125</v>
      </c>
      <c r="BF154" s="14">
        <v>6.8027210884353739E-3</v>
      </c>
      <c r="BG154" s="14">
        <v>0.48299319727891155</v>
      </c>
      <c r="BH154" s="13">
        <v>5.7556631078482363</v>
      </c>
      <c r="BI154" s="13">
        <v>16.547531435063679</v>
      </c>
      <c r="BJ154" s="13">
        <v>10.418121650474118</v>
      </c>
      <c r="BK154" s="13">
        <v>6.2702749776839175</v>
      </c>
      <c r="BL154" s="13">
        <v>2.3119796532213499</v>
      </c>
      <c r="BM154" s="13">
        <v>1.9124572685329064</v>
      </c>
      <c r="BN154" s="13">
        <v>18.328445747800586</v>
      </c>
      <c r="BO154" s="15" t="s">
        <v>190</v>
      </c>
      <c r="BP154" s="15">
        <v>70000</v>
      </c>
      <c r="BQ154" s="12" t="s">
        <v>272</v>
      </c>
      <c r="BR154" s="26">
        <v>362.64</v>
      </c>
      <c r="BS154" s="27">
        <v>509.54</v>
      </c>
      <c r="BT154" s="27">
        <v>146.9</v>
      </c>
      <c r="BU154" s="26">
        <f t="shared" si="118"/>
        <v>10.989090909090908</v>
      </c>
      <c r="BV154" s="26">
        <f t="shared" si="119"/>
        <v>15.440606060606061</v>
      </c>
      <c r="BW154" s="26">
        <f t="shared" si="119"/>
        <v>4.4515151515151521</v>
      </c>
      <c r="BX154" s="31">
        <f t="shared" si="120"/>
        <v>37.177958137548053</v>
      </c>
      <c r="BY154" s="31">
        <f t="shared" si="121"/>
        <v>52.23818880820162</v>
      </c>
      <c r="BZ154" s="31">
        <f t="shared" si="122"/>
        <v>15.060230670653567</v>
      </c>
      <c r="CA154" s="35">
        <v>11</v>
      </c>
      <c r="CB154" s="35">
        <v>22</v>
      </c>
    </row>
    <row r="155" spans="1:80" x14ac:dyDescent="0.4">
      <c r="A155" s="12" t="s">
        <v>191</v>
      </c>
      <c r="B155" s="12" t="s">
        <v>193</v>
      </c>
      <c r="C155" s="4" t="s">
        <v>231</v>
      </c>
      <c r="D155" s="32">
        <v>14</v>
      </c>
      <c r="E155" s="24">
        <v>9</v>
      </c>
      <c r="F155" s="24">
        <v>15</v>
      </c>
      <c r="G155" s="10">
        <v>7774</v>
      </c>
      <c r="H155" s="5">
        <v>49</v>
      </c>
      <c r="I155" s="17">
        <f t="shared" si="97"/>
        <v>3.5</v>
      </c>
      <c r="J155" s="7">
        <v>17</v>
      </c>
      <c r="K155" s="7">
        <v>51</v>
      </c>
      <c r="L155" s="17">
        <f t="shared" si="98"/>
        <v>1.2142857142857142</v>
      </c>
      <c r="M155" s="17">
        <f t="shared" si="99"/>
        <v>3.6428571428571428</v>
      </c>
      <c r="N155" s="33">
        <f t="shared" si="100"/>
        <v>0.33333333333333331</v>
      </c>
      <c r="O155" s="12">
        <v>13</v>
      </c>
      <c r="P155" s="12">
        <v>31</v>
      </c>
      <c r="Q155" s="17">
        <f t="shared" si="101"/>
        <v>0.9285714285714286</v>
      </c>
      <c r="R155" s="17">
        <f t="shared" si="102"/>
        <v>2.2142857142857144</v>
      </c>
      <c r="S155" s="33">
        <f t="shared" si="103"/>
        <v>0.41935483870967744</v>
      </c>
      <c r="T155" s="12">
        <v>4</v>
      </c>
      <c r="U155" s="12">
        <v>20</v>
      </c>
      <c r="V155" s="17">
        <f t="shared" si="104"/>
        <v>0.2857142857142857</v>
      </c>
      <c r="W155" s="17">
        <f t="shared" si="105"/>
        <v>1.4285714285714286</v>
      </c>
      <c r="X155" s="33">
        <f t="shared" si="106"/>
        <v>0.2</v>
      </c>
      <c r="Y155" s="12">
        <v>11</v>
      </c>
      <c r="Z155" s="12">
        <v>15</v>
      </c>
      <c r="AA155" s="17">
        <f t="shared" si="107"/>
        <v>0.7857142857142857</v>
      </c>
      <c r="AB155" s="17">
        <f t="shared" si="108"/>
        <v>1.0714285714285714</v>
      </c>
      <c r="AC155" s="33">
        <f t="shared" si="109"/>
        <v>0.73333333333333328</v>
      </c>
      <c r="AD155" s="12">
        <v>26</v>
      </c>
      <c r="AE155" s="17">
        <f t="shared" si="110"/>
        <v>1.8571428571428572</v>
      </c>
      <c r="AF155" s="12">
        <v>8</v>
      </c>
      <c r="AG155" s="17">
        <f t="shared" si="111"/>
        <v>0.5714285714285714</v>
      </c>
      <c r="AH155" s="12">
        <v>18</v>
      </c>
      <c r="AI155" s="17">
        <f t="shared" si="112"/>
        <v>1.2857142857142858</v>
      </c>
      <c r="AJ155" s="12">
        <v>10</v>
      </c>
      <c r="AK155" s="17">
        <f t="shared" si="113"/>
        <v>0.7142857142857143</v>
      </c>
      <c r="AL155" s="12">
        <v>5</v>
      </c>
      <c r="AM155" s="17">
        <f t="shared" si="114"/>
        <v>0.35714285714285715</v>
      </c>
      <c r="AN155" s="12">
        <v>0</v>
      </c>
      <c r="AO155" s="17">
        <f t="shared" si="115"/>
        <v>0</v>
      </c>
      <c r="AP155" s="12">
        <v>19</v>
      </c>
      <c r="AQ155" s="17">
        <f t="shared" si="116"/>
        <v>1.3571428571428572</v>
      </c>
      <c r="AR155" s="12">
        <v>13</v>
      </c>
      <c r="AS155" s="17">
        <f t="shared" si="117"/>
        <v>0.9285714285714286</v>
      </c>
      <c r="AT155" s="13">
        <v>-0.42149877539623443</v>
      </c>
      <c r="AU155" s="13">
        <v>-0.13019267193706083</v>
      </c>
      <c r="AV155" s="13">
        <v>-0.47806397904941217</v>
      </c>
      <c r="AW155" s="13">
        <v>5.6565203653177763E-2</v>
      </c>
      <c r="AX155" s="13">
        <v>74.430448505464099</v>
      </c>
      <c r="AY155" s="13">
        <v>110.10800681640728</v>
      </c>
      <c r="AZ155" s="13">
        <v>0.55716069599037699</v>
      </c>
      <c r="BA155" s="13">
        <v>2.3571428571428572</v>
      </c>
      <c r="BB155" s="13">
        <v>10.193050193050192</v>
      </c>
      <c r="BC155" s="14">
        <v>0.42534722222222221</v>
      </c>
      <c r="BD155" s="14">
        <v>0.37254901960784315</v>
      </c>
      <c r="BE155" s="13">
        <v>7.3975211543995929</v>
      </c>
      <c r="BF155" s="14">
        <v>0.39215686274509803</v>
      </c>
      <c r="BG155" s="14">
        <v>0.29411764705882354</v>
      </c>
      <c r="BH155" s="13">
        <v>1.8381824970560359</v>
      </c>
      <c r="BI155" s="13">
        <v>4.1359106183760801</v>
      </c>
      <c r="BJ155" s="13">
        <v>2.7905791122470198</v>
      </c>
      <c r="BK155" s="13">
        <v>2.8704700394689628</v>
      </c>
      <c r="BL155" s="13">
        <v>2.175570622040699</v>
      </c>
      <c r="BM155" s="13">
        <v>0</v>
      </c>
      <c r="BN155" s="13">
        <v>24.804177545691907</v>
      </c>
      <c r="BO155" s="15" t="s">
        <v>188</v>
      </c>
      <c r="BP155" s="15">
        <v>500000</v>
      </c>
      <c r="BQ155" s="12" t="s">
        <v>271</v>
      </c>
      <c r="BR155" s="26">
        <v>68.790000000000006</v>
      </c>
      <c r="BS155" s="27">
        <v>132.88999999999999</v>
      </c>
      <c r="BT155" s="27">
        <v>64.099999999999994</v>
      </c>
      <c r="BU155" s="26">
        <f t="shared" si="118"/>
        <v>4.9135714285714274</v>
      </c>
      <c r="BV155" s="26">
        <f t="shared" si="119"/>
        <v>9.4921428571428557</v>
      </c>
      <c r="BW155" s="26">
        <f t="shared" si="119"/>
        <v>4.5785714285714283</v>
      </c>
      <c r="BX155" s="31">
        <f t="shared" si="120"/>
        <v>21.236943658348331</v>
      </c>
      <c r="BY155" s="31">
        <f t="shared" si="121"/>
        <v>41.025984049395412</v>
      </c>
      <c r="BZ155" s="31">
        <f t="shared" si="122"/>
        <v>19.789040391047081</v>
      </c>
      <c r="CA155" s="34">
        <v>3</v>
      </c>
      <c r="CB155" s="34">
        <v>11</v>
      </c>
    </row>
    <row r="156" spans="1:80" x14ac:dyDescent="0.4">
      <c r="A156" s="12" t="s">
        <v>191</v>
      </c>
      <c r="B156" s="12" t="s">
        <v>193</v>
      </c>
      <c r="C156" s="4" t="s">
        <v>227</v>
      </c>
      <c r="D156" s="5">
        <v>27</v>
      </c>
      <c r="E156" s="22">
        <v>12</v>
      </c>
      <c r="F156" s="22">
        <v>2</v>
      </c>
      <c r="G156" s="10">
        <v>19488</v>
      </c>
      <c r="H156" s="5">
        <v>71</v>
      </c>
      <c r="I156" s="17">
        <f t="shared" si="97"/>
        <v>2.6296296296296298</v>
      </c>
      <c r="J156" s="7">
        <v>25</v>
      </c>
      <c r="K156" s="7">
        <v>77</v>
      </c>
      <c r="L156" s="17">
        <f t="shared" si="98"/>
        <v>0.92592592592592593</v>
      </c>
      <c r="M156" s="17">
        <f t="shared" si="99"/>
        <v>2.8518518518518516</v>
      </c>
      <c r="N156" s="33">
        <f t="shared" si="100"/>
        <v>0.32467532467532467</v>
      </c>
      <c r="O156" s="12">
        <v>10</v>
      </c>
      <c r="P156" s="12">
        <v>15</v>
      </c>
      <c r="Q156" s="17">
        <f t="shared" si="101"/>
        <v>0.37037037037037035</v>
      </c>
      <c r="R156" s="17">
        <f t="shared" si="102"/>
        <v>0.55555555555555558</v>
      </c>
      <c r="S156" s="33">
        <f t="shared" si="103"/>
        <v>0.66666666666666663</v>
      </c>
      <c r="T156" s="12">
        <v>15</v>
      </c>
      <c r="U156" s="12">
        <v>62</v>
      </c>
      <c r="V156" s="17">
        <f t="shared" si="104"/>
        <v>0.55555555555555558</v>
      </c>
      <c r="W156" s="17">
        <f t="shared" si="105"/>
        <v>2.2962962962962963</v>
      </c>
      <c r="X156" s="33">
        <f t="shared" si="106"/>
        <v>0.24193548387096775</v>
      </c>
      <c r="Y156" s="12">
        <v>6</v>
      </c>
      <c r="Z156" s="12">
        <v>12</v>
      </c>
      <c r="AA156" s="17">
        <f t="shared" si="107"/>
        <v>0.22222222222222221</v>
      </c>
      <c r="AB156" s="17">
        <f t="shared" si="108"/>
        <v>0.44444444444444442</v>
      </c>
      <c r="AC156" s="33">
        <f t="shared" si="109"/>
        <v>0.5</v>
      </c>
      <c r="AD156" s="12">
        <v>36</v>
      </c>
      <c r="AE156" s="17">
        <f t="shared" si="110"/>
        <v>1.3333333333333333</v>
      </c>
      <c r="AF156" s="12">
        <v>15</v>
      </c>
      <c r="AG156" s="17">
        <f t="shared" si="111"/>
        <v>0.55555555555555558</v>
      </c>
      <c r="AH156" s="12">
        <v>21</v>
      </c>
      <c r="AI156" s="17">
        <f t="shared" si="112"/>
        <v>0.77777777777777779</v>
      </c>
      <c r="AJ156" s="12">
        <v>13</v>
      </c>
      <c r="AK156" s="17">
        <f t="shared" si="113"/>
        <v>0.48148148148148145</v>
      </c>
      <c r="AL156" s="12">
        <v>16</v>
      </c>
      <c r="AM156" s="17">
        <f t="shared" si="114"/>
        <v>0.59259259259259256</v>
      </c>
      <c r="AN156" s="12">
        <v>3</v>
      </c>
      <c r="AO156" s="17">
        <f t="shared" si="115"/>
        <v>0.1111111111111111</v>
      </c>
      <c r="AP156" s="12">
        <v>7</v>
      </c>
      <c r="AQ156" s="17">
        <f t="shared" si="116"/>
        <v>0.25925925925925924</v>
      </c>
      <c r="AR156" s="12">
        <v>37</v>
      </c>
      <c r="AS156" s="17">
        <f t="shared" si="117"/>
        <v>1.3703703703703705</v>
      </c>
      <c r="AT156" s="13">
        <v>2.0571339794375879E-2</v>
      </c>
      <c r="AU156" s="13">
        <v>2.5326364782241773E-3</v>
      </c>
      <c r="AV156" s="13">
        <v>-7.440249454866478E-2</v>
      </c>
      <c r="AW156" s="13">
        <v>9.4973834343040658E-2</v>
      </c>
      <c r="AX156" s="13">
        <v>94.027727274327802</v>
      </c>
      <c r="AY156" s="13">
        <v>111.41720522384961</v>
      </c>
      <c r="AZ156" s="13">
        <v>2.1810501183276654</v>
      </c>
      <c r="BA156" s="13">
        <v>2.7407407407407409</v>
      </c>
      <c r="BB156" s="13">
        <v>9.1104955370883349</v>
      </c>
      <c r="BC156" s="14">
        <v>0.43145357316480309</v>
      </c>
      <c r="BD156" s="14">
        <v>0.42207792207792205</v>
      </c>
      <c r="BE156" s="13">
        <v>6.6277697614141458</v>
      </c>
      <c r="BF156" s="14">
        <v>0.80519480519480524</v>
      </c>
      <c r="BG156" s="14">
        <v>0.15584415584415584</v>
      </c>
      <c r="BH156" s="13">
        <v>2.6493887271453427</v>
      </c>
      <c r="BI156" s="13">
        <v>3.7091442180034795</v>
      </c>
      <c r="BJ156" s="13">
        <v>2.970156118830996</v>
      </c>
      <c r="BK156" s="13">
        <v>2.8868573966468043</v>
      </c>
      <c r="BL156" s="13">
        <v>2.7748737019811185</v>
      </c>
      <c r="BM156" s="13">
        <v>0.51218793882768721</v>
      </c>
      <c r="BN156" s="13">
        <v>7.8405017921146953</v>
      </c>
      <c r="BO156" s="15" t="s">
        <v>187</v>
      </c>
      <c r="BP156" s="15">
        <v>500000</v>
      </c>
      <c r="BQ156" s="12" t="s">
        <v>271</v>
      </c>
      <c r="BR156" s="26">
        <v>180.6</v>
      </c>
      <c r="BS156" s="27">
        <v>243.2</v>
      </c>
      <c r="BT156" s="27">
        <v>62.6</v>
      </c>
      <c r="BU156" s="26">
        <f t="shared" si="118"/>
        <v>6.6888888888888882</v>
      </c>
      <c r="BV156" s="26">
        <f t="shared" si="119"/>
        <v>9.0074074074074062</v>
      </c>
      <c r="BW156" s="26">
        <f t="shared" si="119"/>
        <v>2.3185185185185184</v>
      </c>
      <c r="BX156" s="31">
        <f t="shared" si="120"/>
        <v>22.241379310344826</v>
      </c>
      <c r="BY156" s="31">
        <f t="shared" si="121"/>
        <v>29.950738916256157</v>
      </c>
      <c r="BZ156" s="31">
        <f t="shared" si="122"/>
        <v>7.7093596059113301</v>
      </c>
      <c r="CA156" s="34">
        <v>7</v>
      </c>
      <c r="CB156" s="34">
        <v>20</v>
      </c>
    </row>
    <row r="157" spans="1:80" x14ac:dyDescent="0.4">
      <c r="A157" s="12" t="s">
        <v>191</v>
      </c>
      <c r="B157" s="12" t="s">
        <v>193</v>
      </c>
      <c r="C157" s="4" t="s">
        <v>84</v>
      </c>
      <c r="D157" s="5">
        <v>53</v>
      </c>
      <c r="E157" s="22">
        <v>12</v>
      </c>
      <c r="F157" s="22">
        <v>54</v>
      </c>
      <c r="G157" s="10">
        <v>41041</v>
      </c>
      <c r="H157" s="5">
        <v>216</v>
      </c>
      <c r="I157" s="17">
        <f t="shared" si="97"/>
        <v>4.0754716981132075</v>
      </c>
      <c r="J157" s="7">
        <v>89</v>
      </c>
      <c r="K157" s="7">
        <v>167</v>
      </c>
      <c r="L157" s="17">
        <f t="shared" si="98"/>
        <v>1.679245283018868</v>
      </c>
      <c r="M157" s="17">
        <f t="shared" si="99"/>
        <v>3.1509433962264151</v>
      </c>
      <c r="N157" s="33">
        <f t="shared" si="100"/>
        <v>0.53293413173652693</v>
      </c>
      <c r="O157" s="12">
        <v>81</v>
      </c>
      <c r="P157" s="12">
        <v>140</v>
      </c>
      <c r="Q157" s="17">
        <f t="shared" si="101"/>
        <v>1.5283018867924529</v>
      </c>
      <c r="R157" s="17">
        <f t="shared" si="102"/>
        <v>2.641509433962264</v>
      </c>
      <c r="S157" s="33">
        <f t="shared" si="103"/>
        <v>0.57857142857142863</v>
      </c>
      <c r="T157" s="12">
        <v>8</v>
      </c>
      <c r="U157" s="12">
        <v>27</v>
      </c>
      <c r="V157" s="17">
        <f t="shared" si="104"/>
        <v>0.15094339622641509</v>
      </c>
      <c r="W157" s="17">
        <f t="shared" si="105"/>
        <v>0.50943396226415094</v>
      </c>
      <c r="X157" s="33">
        <f t="shared" si="106"/>
        <v>0.29629629629629628</v>
      </c>
      <c r="Y157" s="12">
        <v>30</v>
      </c>
      <c r="Z157" s="12">
        <v>46</v>
      </c>
      <c r="AA157" s="17">
        <f t="shared" si="107"/>
        <v>0.56603773584905659</v>
      </c>
      <c r="AB157" s="17">
        <f t="shared" si="108"/>
        <v>0.86792452830188682</v>
      </c>
      <c r="AC157" s="33">
        <f t="shared" si="109"/>
        <v>0.65217391304347827</v>
      </c>
      <c r="AD157" s="12">
        <v>119</v>
      </c>
      <c r="AE157" s="17">
        <f t="shared" si="110"/>
        <v>2.2452830188679247</v>
      </c>
      <c r="AF157" s="12">
        <v>42</v>
      </c>
      <c r="AG157" s="17">
        <f t="shared" si="111"/>
        <v>0.79245283018867929</v>
      </c>
      <c r="AH157" s="12">
        <v>77</v>
      </c>
      <c r="AI157" s="17">
        <f t="shared" si="112"/>
        <v>1.4528301886792452</v>
      </c>
      <c r="AJ157" s="12">
        <v>95</v>
      </c>
      <c r="AK157" s="17">
        <f t="shared" si="113"/>
        <v>1.7924528301886793</v>
      </c>
      <c r="AL157" s="12">
        <v>20</v>
      </c>
      <c r="AM157" s="17">
        <f t="shared" si="114"/>
        <v>0.37735849056603776</v>
      </c>
      <c r="AN157" s="12">
        <v>13</v>
      </c>
      <c r="AO157" s="17">
        <f t="shared" si="115"/>
        <v>0.24528301886792453</v>
      </c>
      <c r="AP157" s="12">
        <v>40</v>
      </c>
      <c r="AQ157" s="17">
        <f t="shared" si="116"/>
        <v>0.75471698113207553</v>
      </c>
      <c r="AR157" s="12">
        <v>52</v>
      </c>
      <c r="AS157" s="17">
        <f t="shared" si="117"/>
        <v>0.98113207547169812</v>
      </c>
      <c r="AT157" s="13">
        <v>1.224652129802567</v>
      </c>
      <c r="AU157" s="13">
        <v>7.1648508398570537E-2</v>
      </c>
      <c r="AV157" s="13">
        <v>1.0241326014464389</v>
      </c>
      <c r="AW157" s="13">
        <v>0.20051952835612805</v>
      </c>
      <c r="AX157" s="13">
        <v>112.51015659998936</v>
      </c>
      <c r="AY157" s="13">
        <v>111.40842726720602</v>
      </c>
      <c r="AZ157" s="13">
        <v>10.828410216413788</v>
      </c>
      <c r="BA157" s="13">
        <v>6.2075471698113205</v>
      </c>
      <c r="BB157" s="13">
        <v>19.248208278484714</v>
      </c>
      <c r="BC157" s="14">
        <v>0.57679982909634686</v>
      </c>
      <c r="BD157" s="14">
        <v>0.55688622754491013</v>
      </c>
      <c r="BE157" s="13">
        <v>15.735996458916057</v>
      </c>
      <c r="BF157" s="14">
        <v>0.16167664670658682</v>
      </c>
      <c r="BG157" s="14">
        <v>0.27544910179640719</v>
      </c>
      <c r="BH157" s="13">
        <v>6.9199021328126928</v>
      </c>
      <c r="BI157" s="13">
        <v>12.686487243489939</v>
      </c>
      <c r="BJ157" s="13">
        <v>9.1584077453962642</v>
      </c>
      <c r="BK157" s="13">
        <v>22.589466175246699</v>
      </c>
      <c r="BL157" s="13">
        <v>1.6483042009903204</v>
      </c>
      <c r="BM157" s="13">
        <v>2.0703686450631662</v>
      </c>
      <c r="BN157" s="13">
        <v>17.602534765006162</v>
      </c>
      <c r="BO157" s="15" t="s">
        <v>187</v>
      </c>
      <c r="BP157" s="15"/>
      <c r="BQ157" s="12" t="s">
        <v>273</v>
      </c>
      <c r="BR157" s="26">
        <v>558.1</v>
      </c>
      <c r="BS157" s="27">
        <v>707</v>
      </c>
      <c r="BT157" s="27">
        <v>148.9</v>
      </c>
      <c r="BU157" s="26">
        <f t="shared" si="118"/>
        <v>10.530188679245283</v>
      </c>
      <c r="BV157" s="26">
        <f t="shared" si="119"/>
        <v>13.339622641509434</v>
      </c>
      <c r="BW157" s="26">
        <f t="shared" si="119"/>
        <v>2.8094339622641509</v>
      </c>
      <c r="BX157" s="31">
        <f t="shared" si="120"/>
        <v>32.636631661021902</v>
      </c>
      <c r="BY157" s="31">
        <f t="shared" si="121"/>
        <v>41.344021831826709</v>
      </c>
      <c r="BZ157" s="31">
        <f t="shared" si="122"/>
        <v>8.7073901708048052</v>
      </c>
      <c r="CA157" s="34">
        <v>17</v>
      </c>
      <c r="CB157" s="34">
        <v>36</v>
      </c>
    </row>
    <row r="158" spans="1:80" x14ac:dyDescent="0.4">
      <c r="A158" s="12" t="s">
        <v>191</v>
      </c>
      <c r="B158" s="12" t="s">
        <v>181</v>
      </c>
      <c r="C158" s="8" t="s">
        <v>93</v>
      </c>
      <c r="D158" s="22">
        <v>33</v>
      </c>
      <c r="E158" s="22">
        <v>30</v>
      </c>
      <c r="F158" s="22">
        <v>27</v>
      </c>
      <c r="G158" s="10">
        <v>60301</v>
      </c>
      <c r="H158" s="5">
        <v>282</v>
      </c>
      <c r="I158" s="17">
        <f t="shared" si="97"/>
        <v>8.545454545454545</v>
      </c>
      <c r="J158" s="7">
        <v>110</v>
      </c>
      <c r="K158" s="7">
        <v>225</v>
      </c>
      <c r="L158" s="17">
        <f t="shared" si="98"/>
        <v>3.3333333333333335</v>
      </c>
      <c r="M158" s="17">
        <f t="shared" si="99"/>
        <v>6.8181818181818183</v>
      </c>
      <c r="N158" s="33">
        <f t="shared" si="100"/>
        <v>0.48888888888888887</v>
      </c>
      <c r="O158" s="12">
        <v>76</v>
      </c>
      <c r="P158" s="12">
        <v>134</v>
      </c>
      <c r="Q158" s="17">
        <f t="shared" si="101"/>
        <v>2.3030303030303032</v>
      </c>
      <c r="R158" s="17">
        <f t="shared" si="102"/>
        <v>4.0606060606060606</v>
      </c>
      <c r="S158" s="33">
        <f t="shared" si="103"/>
        <v>0.56716417910447758</v>
      </c>
      <c r="T158" s="12">
        <v>34</v>
      </c>
      <c r="U158" s="12">
        <v>91</v>
      </c>
      <c r="V158" s="17">
        <f t="shared" si="104"/>
        <v>1.0303030303030303</v>
      </c>
      <c r="W158" s="17">
        <f t="shared" si="105"/>
        <v>2.7575757575757578</v>
      </c>
      <c r="X158" s="33">
        <f t="shared" si="106"/>
        <v>0.37362637362637363</v>
      </c>
      <c r="Y158" s="12">
        <v>28</v>
      </c>
      <c r="Z158" s="12">
        <v>40</v>
      </c>
      <c r="AA158" s="17">
        <f t="shared" si="107"/>
        <v>0.84848484848484851</v>
      </c>
      <c r="AB158" s="17">
        <f t="shared" si="108"/>
        <v>1.2121212121212122</v>
      </c>
      <c r="AC158" s="33">
        <f t="shared" si="109"/>
        <v>0.7</v>
      </c>
      <c r="AD158" s="12">
        <v>173</v>
      </c>
      <c r="AE158" s="17">
        <f t="shared" si="110"/>
        <v>5.2424242424242422</v>
      </c>
      <c r="AF158" s="12">
        <v>47</v>
      </c>
      <c r="AG158" s="17">
        <f t="shared" si="111"/>
        <v>1.4242424242424243</v>
      </c>
      <c r="AH158" s="12">
        <v>126</v>
      </c>
      <c r="AI158" s="17">
        <f t="shared" si="112"/>
        <v>3.8181818181818183</v>
      </c>
      <c r="AJ158" s="12">
        <v>63</v>
      </c>
      <c r="AK158" s="17">
        <f t="shared" si="113"/>
        <v>1.9090909090909092</v>
      </c>
      <c r="AL158" s="12">
        <v>28</v>
      </c>
      <c r="AM158" s="17">
        <f t="shared" si="114"/>
        <v>0.84848484848484851</v>
      </c>
      <c r="AN158" s="12">
        <v>18</v>
      </c>
      <c r="AO158" s="17">
        <f t="shared" si="115"/>
        <v>0.54545454545454541</v>
      </c>
      <c r="AP158" s="12">
        <v>42</v>
      </c>
      <c r="AQ158" s="17">
        <f t="shared" si="116"/>
        <v>1.2727272727272727</v>
      </c>
      <c r="AR158" s="12">
        <v>57</v>
      </c>
      <c r="AS158" s="17">
        <f t="shared" si="117"/>
        <v>1.7272727272727273</v>
      </c>
      <c r="AT158" s="13">
        <v>1.7502710868854536</v>
      </c>
      <c r="AU158" s="13">
        <v>6.9672929766052785E-2</v>
      </c>
      <c r="AV158" s="13">
        <v>1.2543438970563867</v>
      </c>
      <c r="AW158" s="13">
        <v>0.49592718982906686</v>
      </c>
      <c r="AX158" s="13">
        <v>111.29090322374222</v>
      </c>
      <c r="AY158" s="13">
        <v>110.23384527626203</v>
      </c>
      <c r="AZ158" s="13">
        <v>6.4714820559094486</v>
      </c>
      <c r="BA158" s="13">
        <v>11.969696969696969</v>
      </c>
      <c r="BB158" s="13">
        <v>15.723739861670897</v>
      </c>
      <c r="BC158" s="14">
        <v>0.58120362737015663</v>
      </c>
      <c r="BD158" s="14">
        <v>0.56444444444444442</v>
      </c>
      <c r="BE158" s="13">
        <v>8.3492367811867467</v>
      </c>
      <c r="BF158" s="14">
        <v>0.40444444444444444</v>
      </c>
      <c r="BG158" s="14">
        <v>0.17777777777777778</v>
      </c>
      <c r="BH158" s="13">
        <v>3.280582268452839</v>
      </c>
      <c r="BI158" s="13">
        <v>8.7947524643629293</v>
      </c>
      <c r="BJ158" s="13">
        <v>5.6405509970611263</v>
      </c>
      <c r="BK158" s="13">
        <v>5.7651392098098881</v>
      </c>
      <c r="BL158" s="13">
        <v>1.5701087874846142</v>
      </c>
      <c r="BM158" s="13">
        <v>1.2144489058574388</v>
      </c>
      <c r="BN158" s="13">
        <v>14.757554462403371</v>
      </c>
      <c r="BO158" s="15" t="s">
        <v>187</v>
      </c>
      <c r="BP158" s="15"/>
      <c r="BQ158" s="12" t="s">
        <v>273</v>
      </c>
      <c r="BR158" s="26">
        <v>697.35</v>
      </c>
      <c r="BS158" s="27">
        <v>879.25</v>
      </c>
      <c r="BT158" s="27">
        <v>181.9</v>
      </c>
      <c r="BU158" s="26">
        <f t="shared" si="118"/>
        <v>21.131818181818183</v>
      </c>
      <c r="BV158" s="26">
        <f t="shared" si="119"/>
        <v>26.643939393939394</v>
      </c>
      <c r="BW158" s="26">
        <f t="shared" si="119"/>
        <v>5.5121212121212126</v>
      </c>
      <c r="BX158" s="31">
        <f t="shared" si="120"/>
        <v>27.754763602593652</v>
      </c>
      <c r="BY158" s="31">
        <f t="shared" si="121"/>
        <v>34.994444536574846</v>
      </c>
      <c r="BZ158" s="31">
        <f t="shared" si="122"/>
        <v>7.2396809339811945</v>
      </c>
      <c r="CA158" s="35">
        <v>21</v>
      </c>
      <c r="CB158" s="35">
        <v>12</v>
      </c>
    </row>
    <row r="159" spans="1:80" x14ac:dyDescent="0.4">
      <c r="A159" s="12" t="s">
        <v>191</v>
      </c>
      <c r="B159" s="12" t="s">
        <v>181</v>
      </c>
      <c r="C159" s="4" t="s">
        <v>156</v>
      </c>
      <c r="D159" s="5">
        <v>45</v>
      </c>
      <c r="E159" s="22">
        <v>14</v>
      </c>
      <c r="F159" s="22">
        <v>54</v>
      </c>
      <c r="G159" s="10">
        <v>40250</v>
      </c>
      <c r="H159" s="5">
        <v>212</v>
      </c>
      <c r="I159" s="17">
        <f t="shared" si="97"/>
        <v>4.7111111111111112</v>
      </c>
      <c r="J159" s="7">
        <v>97</v>
      </c>
      <c r="K159" s="7">
        <v>157</v>
      </c>
      <c r="L159" s="17">
        <f t="shared" si="98"/>
        <v>2.1555555555555554</v>
      </c>
      <c r="M159" s="17">
        <f t="shared" si="99"/>
        <v>3.4888888888888889</v>
      </c>
      <c r="N159" s="33">
        <f t="shared" si="100"/>
        <v>0.61783439490445857</v>
      </c>
      <c r="O159" s="12">
        <v>96</v>
      </c>
      <c r="P159" s="12">
        <v>153</v>
      </c>
      <c r="Q159" s="17">
        <f t="shared" si="101"/>
        <v>2.1333333333333333</v>
      </c>
      <c r="R159" s="17">
        <f t="shared" si="102"/>
        <v>3.4</v>
      </c>
      <c r="S159" s="33">
        <f t="shared" si="103"/>
        <v>0.62745098039215685</v>
      </c>
      <c r="T159" s="12">
        <v>1</v>
      </c>
      <c r="U159" s="12">
        <v>4</v>
      </c>
      <c r="V159" s="17">
        <f t="shared" si="104"/>
        <v>2.2222222222222223E-2</v>
      </c>
      <c r="W159" s="17">
        <f t="shared" si="105"/>
        <v>8.8888888888888892E-2</v>
      </c>
      <c r="X159" s="33">
        <f t="shared" si="106"/>
        <v>0.25</v>
      </c>
      <c r="Y159" s="12">
        <v>17</v>
      </c>
      <c r="Z159" s="12">
        <v>29</v>
      </c>
      <c r="AA159" s="17">
        <f t="shared" si="107"/>
        <v>0.37777777777777777</v>
      </c>
      <c r="AB159" s="17">
        <f t="shared" si="108"/>
        <v>0.64444444444444449</v>
      </c>
      <c r="AC159" s="33">
        <f t="shared" si="109"/>
        <v>0.58620689655172409</v>
      </c>
      <c r="AD159" s="12">
        <v>149</v>
      </c>
      <c r="AE159" s="17">
        <f t="shared" si="110"/>
        <v>3.3111111111111109</v>
      </c>
      <c r="AF159" s="12">
        <v>65</v>
      </c>
      <c r="AG159" s="17">
        <f t="shared" si="111"/>
        <v>1.4444444444444444</v>
      </c>
      <c r="AH159" s="12">
        <v>84</v>
      </c>
      <c r="AI159" s="17">
        <f t="shared" si="112"/>
        <v>1.8666666666666667</v>
      </c>
      <c r="AJ159" s="12">
        <v>57</v>
      </c>
      <c r="AK159" s="17">
        <f t="shared" si="113"/>
        <v>1.2666666666666666</v>
      </c>
      <c r="AL159" s="12">
        <v>11</v>
      </c>
      <c r="AM159" s="17">
        <f t="shared" si="114"/>
        <v>0.24444444444444444</v>
      </c>
      <c r="AN159" s="12">
        <v>29</v>
      </c>
      <c r="AO159" s="17">
        <f t="shared" si="115"/>
        <v>0.64444444444444449</v>
      </c>
      <c r="AP159" s="12">
        <v>38</v>
      </c>
      <c r="AQ159" s="17">
        <f t="shared" si="116"/>
        <v>0.84444444444444444</v>
      </c>
      <c r="AR159" s="12">
        <v>98</v>
      </c>
      <c r="AS159" s="17">
        <f t="shared" si="117"/>
        <v>2.1777777777777776</v>
      </c>
      <c r="AT159" s="13">
        <v>1.7514173442465455</v>
      </c>
      <c r="AU159" s="13">
        <v>0.10448425618174767</v>
      </c>
      <c r="AV159" s="13">
        <v>1.3974267737948483</v>
      </c>
      <c r="AW159" s="13">
        <v>0.3539905704516973</v>
      </c>
      <c r="AX159" s="13">
        <v>117.34059719405971</v>
      </c>
      <c r="AY159" s="13">
        <v>109.96660794300095</v>
      </c>
      <c r="AZ159" s="13">
        <v>10.09229057047089</v>
      </c>
      <c r="BA159" s="13">
        <v>7.7333333333333334</v>
      </c>
      <c r="BB159" s="13">
        <v>20.760626398210288</v>
      </c>
      <c r="BC159" s="14">
        <v>0.62441093308199813</v>
      </c>
      <c r="BD159" s="14">
        <v>0.62101910828025475</v>
      </c>
      <c r="BE159" s="13">
        <v>12.455892375718058</v>
      </c>
      <c r="BF159" s="14">
        <v>2.5477707006369428E-2</v>
      </c>
      <c r="BG159" s="14">
        <v>0.18471337579617833</v>
      </c>
      <c r="BH159" s="13">
        <v>9.2718727043199785</v>
      </c>
      <c r="BI159" s="13">
        <v>11.982112417890436</v>
      </c>
      <c r="BJ159" s="13">
        <v>9.9280218416480519</v>
      </c>
      <c r="BK159" s="13">
        <v>11.595971925541654</v>
      </c>
      <c r="BL159" s="13">
        <v>0.92441472068515285</v>
      </c>
      <c r="BM159" s="13">
        <v>3.9985798147554492</v>
      </c>
      <c r="BN159" s="13">
        <v>18.2903350019253</v>
      </c>
      <c r="BO159" s="15" t="s">
        <v>187</v>
      </c>
      <c r="BP159" s="15">
        <v>165000</v>
      </c>
      <c r="BQ159" s="12" t="s">
        <v>273</v>
      </c>
      <c r="BR159" s="26">
        <v>561.91</v>
      </c>
      <c r="BS159" s="27">
        <v>688.21</v>
      </c>
      <c r="BT159" s="27">
        <v>126.3</v>
      </c>
      <c r="BU159" s="26">
        <f t="shared" si="118"/>
        <v>12.48688888888889</v>
      </c>
      <c r="BV159" s="26">
        <f t="shared" si="119"/>
        <v>15.293555555555557</v>
      </c>
      <c r="BW159" s="26">
        <f t="shared" si="119"/>
        <v>2.8066666666666666</v>
      </c>
      <c r="BX159" s="31">
        <f t="shared" si="120"/>
        <v>33.505192546583849</v>
      </c>
      <c r="BY159" s="31">
        <f t="shared" si="121"/>
        <v>41.036124223602485</v>
      </c>
      <c r="BZ159" s="31">
        <f t="shared" si="122"/>
        <v>7.5309316770186339</v>
      </c>
      <c r="CA159" s="35">
        <v>27</v>
      </c>
      <c r="CB159" s="35">
        <v>18</v>
      </c>
    </row>
    <row r="160" spans="1:80" x14ac:dyDescent="0.4">
      <c r="A160" s="12" t="s">
        <v>191</v>
      </c>
      <c r="B160" s="12" t="s">
        <v>181</v>
      </c>
      <c r="C160" s="4" t="s">
        <v>244</v>
      </c>
      <c r="D160" s="5">
        <v>13</v>
      </c>
      <c r="E160" s="22">
        <v>3</v>
      </c>
      <c r="F160" s="22">
        <v>0</v>
      </c>
      <c r="G160" s="10">
        <v>2345</v>
      </c>
      <c r="H160" s="5">
        <v>4</v>
      </c>
      <c r="I160" s="17">
        <f t="shared" si="97"/>
        <v>0.30769230769230771</v>
      </c>
      <c r="J160" s="7">
        <v>1</v>
      </c>
      <c r="K160" s="7">
        <v>8</v>
      </c>
      <c r="L160" s="17">
        <f t="shared" si="98"/>
        <v>7.6923076923076927E-2</v>
      </c>
      <c r="M160" s="17">
        <f t="shared" si="99"/>
        <v>0.61538461538461542</v>
      </c>
      <c r="N160" s="33">
        <f t="shared" si="100"/>
        <v>0.125</v>
      </c>
      <c r="O160" s="12">
        <v>0</v>
      </c>
      <c r="P160" s="12">
        <v>5</v>
      </c>
      <c r="Q160" s="17">
        <f t="shared" si="101"/>
        <v>0</v>
      </c>
      <c r="R160" s="17">
        <f t="shared" si="102"/>
        <v>0.38461538461538464</v>
      </c>
      <c r="S160" s="33">
        <f t="shared" si="103"/>
        <v>0</v>
      </c>
      <c r="T160" s="12">
        <v>1</v>
      </c>
      <c r="U160" s="12">
        <v>3</v>
      </c>
      <c r="V160" s="17">
        <f t="shared" si="104"/>
        <v>7.6923076923076927E-2</v>
      </c>
      <c r="W160" s="17">
        <f t="shared" si="105"/>
        <v>0.23076923076923078</v>
      </c>
      <c r="X160" s="33">
        <f t="shared" si="106"/>
        <v>0.33333333333333331</v>
      </c>
      <c r="Y160" s="12">
        <v>1</v>
      </c>
      <c r="Z160" s="12">
        <v>2</v>
      </c>
      <c r="AA160" s="17">
        <f t="shared" si="107"/>
        <v>7.6923076923076927E-2</v>
      </c>
      <c r="AB160" s="17">
        <f t="shared" si="108"/>
        <v>0.15384615384615385</v>
      </c>
      <c r="AC160" s="33">
        <f t="shared" si="109"/>
        <v>0.5</v>
      </c>
      <c r="AD160" s="12">
        <v>3</v>
      </c>
      <c r="AE160" s="17">
        <f t="shared" si="110"/>
        <v>0.23076923076923078</v>
      </c>
      <c r="AF160" s="12">
        <v>1</v>
      </c>
      <c r="AG160" s="17">
        <f t="shared" si="111"/>
        <v>7.6923076923076927E-2</v>
      </c>
      <c r="AH160" s="12">
        <v>2</v>
      </c>
      <c r="AI160" s="17">
        <f t="shared" si="112"/>
        <v>0.15384615384615385</v>
      </c>
      <c r="AJ160" s="12">
        <v>4</v>
      </c>
      <c r="AK160" s="17">
        <f t="shared" si="113"/>
        <v>0.30769230769230771</v>
      </c>
      <c r="AL160" s="12">
        <v>0</v>
      </c>
      <c r="AM160" s="17">
        <f t="shared" si="114"/>
        <v>0</v>
      </c>
      <c r="AN160" s="12">
        <v>0</v>
      </c>
      <c r="AO160" s="17">
        <f t="shared" si="115"/>
        <v>0</v>
      </c>
      <c r="AP160" s="12">
        <v>7</v>
      </c>
      <c r="AQ160" s="17">
        <f t="shared" si="116"/>
        <v>0.53846153846153844</v>
      </c>
      <c r="AR160" s="12">
        <v>4</v>
      </c>
      <c r="AS160" s="17">
        <f t="shared" si="117"/>
        <v>0.30769230769230771</v>
      </c>
      <c r="AT160" s="13">
        <v>-0.30617442611355911</v>
      </c>
      <c r="AU160" s="13">
        <v>-0.31402505242416323</v>
      </c>
      <c r="AV160" s="13">
        <v>-0.28847237526177533</v>
      </c>
      <c r="AW160" s="13">
        <v>-1.7702050851783783E-2</v>
      </c>
      <c r="AX160" s="13">
        <v>42.404047730197654</v>
      </c>
      <c r="AY160" s="13">
        <v>117.59045083291939</v>
      </c>
      <c r="AZ160" s="13">
        <v>-2.323740656367125</v>
      </c>
      <c r="BA160" s="13">
        <v>-0.30769230769230771</v>
      </c>
      <c r="BB160" s="13">
        <v>-4.1025641025641022</v>
      </c>
      <c r="BC160" s="14">
        <v>0.2252252252252252</v>
      </c>
      <c r="BD160" s="14">
        <v>0.1875</v>
      </c>
      <c r="BE160" s="13">
        <v>4.7285547535672592</v>
      </c>
      <c r="BF160" s="14">
        <v>0.375</v>
      </c>
      <c r="BG160" s="14">
        <v>0.25</v>
      </c>
      <c r="BH160" s="13">
        <v>0.70846617074034712</v>
      </c>
      <c r="BI160" s="13">
        <v>1.4169323414806942</v>
      </c>
      <c r="BJ160" s="13">
        <v>0.99280218416480515</v>
      </c>
      <c r="BK160" s="13">
        <v>3.4042553191489362</v>
      </c>
      <c r="BL160" s="13">
        <v>0</v>
      </c>
      <c r="BM160" s="13">
        <v>0</v>
      </c>
      <c r="BN160" s="13">
        <v>44.080604534005033</v>
      </c>
      <c r="BO160" s="15" t="s">
        <v>187</v>
      </c>
      <c r="BP160" s="15">
        <v>100000</v>
      </c>
      <c r="BQ160" s="12" t="s">
        <v>271</v>
      </c>
      <c r="BR160" s="26">
        <v>5.17</v>
      </c>
      <c r="BS160" s="27">
        <v>23.27</v>
      </c>
      <c r="BT160" s="27">
        <v>18.100000000000001</v>
      </c>
      <c r="BU160" s="26">
        <f t="shared" si="118"/>
        <v>0.39769230769230757</v>
      </c>
      <c r="BV160" s="26">
        <f t="shared" si="119"/>
        <v>1.79</v>
      </c>
      <c r="BW160" s="26">
        <f t="shared" si="119"/>
        <v>1.3923076923076925</v>
      </c>
      <c r="BX160" s="31">
        <f t="shared" si="120"/>
        <v>5.2912579957356094</v>
      </c>
      <c r="BY160" s="31">
        <f t="shared" si="121"/>
        <v>23.815778251599149</v>
      </c>
      <c r="BZ160" s="31">
        <f t="shared" si="122"/>
        <v>18.524520255863539</v>
      </c>
      <c r="CA160" s="35">
        <v>10</v>
      </c>
      <c r="CB160" s="35">
        <v>3</v>
      </c>
    </row>
    <row r="161" spans="1:80" x14ac:dyDescent="0.4">
      <c r="A161" s="12" t="s">
        <v>191</v>
      </c>
      <c r="B161" s="12" t="s">
        <v>181</v>
      </c>
      <c r="C161" s="4" t="s">
        <v>94</v>
      </c>
      <c r="D161" s="5">
        <v>51</v>
      </c>
      <c r="E161" s="22">
        <v>22</v>
      </c>
      <c r="F161" s="22">
        <v>20</v>
      </c>
      <c r="G161" s="10">
        <v>68320</v>
      </c>
      <c r="H161" s="5">
        <v>296</v>
      </c>
      <c r="I161" s="17">
        <f t="shared" si="97"/>
        <v>5.8039215686274508</v>
      </c>
      <c r="J161" s="7">
        <v>111</v>
      </c>
      <c r="K161" s="7">
        <v>267</v>
      </c>
      <c r="L161" s="17">
        <f t="shared" si="98"/>
        <v>2.1764705882352939</v>
      </c>
      <c r="M161" s="17">
        <f t="shared" si="99"/>
        <v>5.2352941176470589</v>
      </c>
      <c r="N161" s="33">
        <f t="shared" si="100"/>
        <v>0.4157303370786517</v>
      </c>
      <c r="O161" s="12">
        <v>69</v>
      </c>
      <c r="P161" s="12">
        <v>123</v>
      </c>
      <c r="Q161" s="17">
        <f t="shared" si="101"/>
        <v>1.3529411764705883</v>
      </c>
      <c r="R161" s="17">
        <f t="shared" si="102"/>
        <v>2.4117647058823528</v>
      </c>
      <c r="S161" s="33">
        <f t="shared" si="103"/>
        <v>0.56097560975609762</v>
      </c>
      <c r="T161" s="12">
        <v>42</v>
      </c>
      <c r="U161" s="12">
        <v>144</v>
      </c>
      <c r="V161" s="17">
        <f t="shared" si="104"/>
        <v>0.82352941176470584</v>
      </c>
      <c r="W161" s="17">
        <f t="shared" si="105"/>
        <v>2.8235294117647061</v>
      </c>
      <c r="X161" s="33">
        <f t="shared" si="106"/>
        <v>0.29166666666666669</v>
      </c>
      <c r="Y161" s="12">
        <v>32</v>
      </c>
      <c r="Z161" s="12">
        <v>41</v>
      </c>
      <c r="AA161" s="17">
        <f t="shared" si="107"/>
        <v>0.62745098039215685</v>
      </c>
      <c r="AB161" s="17">
        <f t="shared" si="108"/>
        <v>0.80392156862745101</v>
      </c>
      <c r="AC161" s="33">
        <f t="shared" si="109"/>
        <v>0.78048780487804881</v>
      </c>
      <c r="AD161" s="12">
        <v>155</v>
      </c>
      <c r="AE161" s="17">
        <f t="shared" si="110"/>
        <v>3.0392156862745097</v>
      </c>
      <c r="AF161" s="12">
        <v>56</v>
      </c>
      <c r="AG161" s="17">
        <f t="shared" si="111"/>
        <v>1.0980392156862746</v>
      </c>
      <c r="AH161" s="12">
        <v>99</v>
      </c>
      <c r="AI161" s="17">
        <f t="shared" si="112"/>
        <v>1.9411764705882353</v>
      </c>
      <c r="AJ161" s="12">
        <v>35</v>
      </c>
      <c r="AK161" s="17">
        <f t="shared" si="113"/>
        <v>0.68627450980392157</v>
      </c>
      <c r="AL161" s="12">
        <v>24</v>
      </c>
      <c r="AM161" s="17">
        <f t="shared" si="114"/>
        <v>0.47058823529411764</v>
      </c>
      <c r="AN161" s="12">
        <v>6</v>
      </c>
      <c r="AO161" s="17">
        <f t="shared" si="115"/>
        <v>0.11764705882352941</v>
      </c>
      <c r="AP161" s="12">
        <v>35</v>
      </c>
      <c r="AQ161" s="17">
        <f t="shared" si="116"/>
        <v>0.68627450980392157</v>
      </c>
      <c r="AR161" s="12">
        <v>95</v>
      </c>
      <c r="AS161" s="17">
        <f t="shared" si="117"/>
        <v>1.8627450980392157</v>
      </c>
      <c r="AT161" s="13">
        <v>0.81991524542278793</v>
      </c>
      <c r="AU161" s="13">
        <v>2.8794214062257698E-2</v>
      </c>
      <c r="AV161" s="13">
        <v>0.70534124277249088</v>
      </c>
      <c r="AW161" s="13">
        <v>0.11457400265029702</v>
      </c>
      <c r="AX161" s="13">
        <v>104.48620996137474</v>
      </c>
      <c r="AY161" s="13">
        <v>113.2849528576667</v>
      </c>
      <c r="AZ161" s="13">
        <v>6.2654162671960929</v>
      </c>
      <c r="BA161" s="13">
        <v>6.1960784313725492</v>
      </c>
      <c r="BB161" s="13">
        <v>11.097453906935907</v>
      </c>
      <c r="BC161" s="14">
        <v>0.51922537187763118</v>
      </c>
      <c r="BD161" s="14">
        <v>0.4943820224719101</v>
      </c>
      <c r="BE161" s="13">
        <v>12.801176707756861</v>
      </c>
      <c r="BF161" s="14">
        <v>0.5393258426966292</v>
      </c>
      <c r="BG161" s="14">
        <v>0.15355805243445692</v>
      </c>
      <c r="BH161" s="13">
        <v>5.3293574634796261</v>
      </c>
      <c r="BI161" s="13">
        <v>9.4215426586514823</v>
      </c>
      <c r="BJ161" s="13">
        <v>6.8903435169646929</v>
      </c>
      <c r="BK161" s="13">
        <v>4.5385779122541603</v>
      </c>
      <c r="BL161" s="13">
        <v>1.187299998823967</v>
      </c>
      <c r="BM161" s="13">
        <v>0.55193983855759721</v>
      </c>
      <c r="BN161" s="13">
        <v>10.936132983377076</v>
      </c>
      <c r="BO161" s="15" t="s">
        <v>187</v>
      </c>
      <c r="BP161" s="15">
        <v>150000</v>
      </c>
      <c r="BQ161" s="12" t="s">
        <v>273</v>
      </c>
      <c r="BR161" s="26">
        <v>652.66999999999996</v>
      </c>
      <c r="BS161" s="27">
        <v>858.17</v>
      </c>
      <c r="BT161" s="27">
        <v>205.5</v>
      </c>
      <c r="BU161" s="26">
        <f t="shared" si="118"/>
        <v>12.797450980392155</v>
      </c>
      <c r="BV161" s="26">
        <f t="shared" si="119"/>
        <v>16.826862745098037</v>
      </c>
      <c r="BW161" s="26">
        <f t="shared" si="119"/>
        <v>4.0294117647058822</v>
      </c>
      <c r="BX161" s="31">
        <f t="shared" si="120"/>
        <v>22.927517564402812</v>
      </c>
      <c r="BY161" s="31">
        <f t="shared" si="121"/>
        <v>30.146487119437939</v>
      </c>
      <c r="BZ161" s="31">
        <f t="shared" si="122"/>
        <v>7.2189695550351285</v>
      </c>
      <c r="CA161" s="35">
        <v>31</v>
      </c>
      <c r="CB161" s="35">
        <v>20</v>
      </c>
    </row>
    <row r="162" spans="1:80" x14ac:dyDescent="0.4">
      <c r="A162" s="12" t="s">
        <v>191</v>
      </c>
      <c r="B162" s="12" t="s">
        <v>181</v>
      </c>
      <c r="C162" s="4" t="s">
        <v>158</v>
      </c>
      <c r="D162" s="5">
        <v>2</v>
      </c>
      <c r="E162" s="22">
        <v>2</v>
      </c>
      <c r="F162" s="22">
        <v>7</v>
      </c>
      <c r="G162" s="10">
        <v>253</v>
      </c>
      <c r="H162" s="5">
        <v>0</v>
      </c>
      <c r="I162" s="17">
        <f t="shared" ref="I162:I193" si="123">H162/$D162</f>
        <v>0</v>
      </c>
      <c r="J162" s="7">
        <v>0</v>
      </c>
      <c r="K162" s="7">
        <v>1</v>
      </c>
      <c r="L162" s="17">
        <f t="shared" ref="L162:L194" si="124">J162/$D162</f>
        <v>0</v>
      </c>
      <c r="M162" s="17">
        <f t="shared" ref="M162:M194" si="125">K162/$D162</f>
        <v>0.5</v>
      </c>
      <c r="N162" s="33">
        <f t="shared" ref="N162:N194" si="126">J162/K162</f>
        <v>0</v>
      </c>
      <c r="O162" s="12">
        <v>0</v>
      </c>
      <c r="P162" s="12">
        <v>0</v>
      </c>
      <c r="Q162" s="17">
        <f t="shared" ref="Q162:Q194" si="127">O162/$D162</f>
        <v>0</v>
      </c>
      <c r="R162" s="17">
        <f t="shared" ref="R162:R194" si="128">P162/$D162</f>
        <v>0</v>
      </c>
      <c r="S162" s="33" t="e">
        <f t="shared" ref="S162:S194" si="129">O162/P162</f>
        <v>#DIV/0!</v>
      </c>
      <c r="T162" s="12">
        <v>0</v>
      </c>
      <c r="U162" s="12">
        <v>1</v>
      </c>
      <c r="V162" s="17">
        <f t="shared" ref="V162:V194" si="130">T162/$D162</f>
        <v>0</v>
      </c>
      <c r="W162" s="17">
        <f t="shared" ref="W162:W194" si="131">U162/$D162</f>
        <v>0.5</v>
      </c>
      <c r="X162" s="33">
        <f t="shared" ref="X162:X194" si="132">T162/U162</f>
        <v>0</v>
      </c>
      <c r="Y162" s="12">
        <v>0</v>
      </c>
      <c r="Z162" s="12">
        <v>0</v>
      </c>
      <c r="AA162" s="17">
        <f t="shared" ref="AA162:AA194" si="133">Y162/$D162</f>
        <v>0</v>
      </c>
      <c r="AB162" s="17">
        <f t="shared" ref="AB162:AB194" si="134">Z162/$D162</f>
        <v>0</v>
      </c>
      <c r="AC162" s="33" t="e">
        <f t="shared" ref="AC162:AC194" si="135">Y162/Z162</f>
        <v>#DIV/0!</v>
      </c>
      <c r="AD162" s="12">
        <v>0</v>
      </c>
      <c r="AE162" s="17">
        <f t="shared" ref="AE162:AE193" si="136">AD162/$D162</f>
        <v>0</v>
      </c>
      <c r="AF162" s="12">
        <v>0</v>
      </c>
      <c r="AG162" s="17">
        <f t="shared" ref="AG162:AG193" si="137">AF162/$D162</f>
        <v>0</v>
      </c>
      <c r="AH162" s="12">
        <v>0</v>
      </c>
      <c r="AI162" s="17">
        <f t="shared" ref="AI162:AI193" si="138">AH162/$D162</f>
        <v>0</v>
      </c>
      <c r="AJ162" s="12">
        <v>0</v>
      </c>
      <c r="AK162" s="17">
        <f t="shared" ref="AK162:AK193" si="139">AJ162/$D162</f>
        <v>0</v>
      </c>
      <c r="AL162" s="12">
        <v>0</v>
      </c>
      <c r="AM162" s="17">
        <f t="shared" ref="AM162:AM193" si="140">AL162/$D162</f>
        <v>0</v>
      </c>
      <c r="AN162" s="12">
        <v>0</v>
      </c>
      <c r="AO162" s="17">
        <f t="shared" ref="AO162:AO193" si="141">AN162/$D162</f>
        <v>0</v>
      </c>
      <c r="AP162" s="12">
        <v>0</v>
      </c>
      <c r="AQ162" s="17">
        <f t="shared" ref="AQ162:AQ193" si="142">AP162/$D162</f>
        <v>0</v>
      </c>
      <c r="AR162" s="12">
        <v>2</v>
      </c>
      <c r="AS162" s="17">
        <f t="shared" ref="AS162:AS193" si="143">AR162/$D162</f>
        <v>1</v>
      </c>
      <c r="AT162" s="13">
        <v>-2.7315967905889305E-2</v>
      </c>
      <c r="AU162" s="13">
        <v>-0.25810363375643436</v>
      </c>
      <c r="AV162" s="13">
        <v>-2.486746780694982E-2</v>
      </c>
      <c r="AW162" s="13">
        <v>-2.4485000989394861E-3</v>
      </c>
      <c r="AX162" s="13">
        <v>0</v>
      </c>
      <c r="AY162" s="13">
        <v>118.55706615266307</v>
      </c>
      <c r="AZ162" s="13">
        <v>-0.77222814463319522</v>
      </c>
      <c r="BA162" s="13">
        <v>-0.5</v>
      </c>
      <c r="BB162" s="13">
        <v>-9.4488188976377945</v>
      </c>
      <c r="BC162" s="14">
        <v>0</v>
      </c>
      <c r="BD162" s="14">
        <v>0</v>
      </c>
      <c r="BE162" s="13">
        <v>0.4220332888604032</v>
      </c>
      <c r="BF162" s="14">
        <v>1</v>
      </c>
      <c r="BG162" s="14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5" t="s">
        <v>187</v>
      </c>
      <c r="BP162" s="15"/>
      <c r="BQ162" s="12" t="s">
        <v>271</v>
      </c>
      <c r="BR162" s="26">
        <v>0.15</v>
      </c>
      <c r="BS162" s="27">
        <v>1.05</v>
      </c>
      <c r="BT162" s="27">
        <v>0.9</v>
      </c>
      <c r="BU162" s="26">
        <f t="shared" si="118"/>
        <v>7.5000000000000011E-2</v>
      </c>
      <c r="BV162" s="26">
        <f t="shared" si="119"/>
        <v>0.52500000000000002</v>
      </c>
      <c r="BW162" s="26">
        <f t="shared" si="119"/>
        <v>0.45</v>
      </c>
      <c r="BX162" s="31">
        <f t="shared" si="120"/>
        <v>1.4229249011857696</v>
      </c>
      <c r="BY162" s="31">
        <f t="shared" si="121"/>
        <v>9.9604743083003946</v>
      </c>
      <c r="BZ162" s="31">
        <f t="shared" si="122"/>
        <v>8.537549407114625</v>
      </c>
      <c r="CA162" s="34">
        <v>0</v>
      </c>
      <c r="CB162" s="34">
        <v>2</v>
      </c>
    </row>
    <row r="163" spans="1:80" x14ac:dyDescent="0.4">
      <c r="A163" s="12" t="s">
        <v>191</v>
      </c>
      <c r="B163" s="12" t="s">
        <v>181</v>
      </c>
      <c r="C163" s="4" t="s">
        <v>97</v>
      </c>
      <c r="D163" s="5">
        <v>37</v>
      </c>
      <c r="E163" s="22">
        <v>11</v>
      </c>
      <c r="F163" s="22">
        <v>12</v>
      </c>
      <c r="G163" s="10">
        <v>24862</v>
      </c>
      <c r="H163" s="5">
        <v>84</v>
      </c>
      <c r="I163" s="17">
        <f t="shared" si="123"/>
        <v>2.2702702702702702</v>
      </c>
      <c r="J163" s="7">
        <v>31</v>
      </c>
      <c r="K163" s="7">
        <v>77</v>
      </c>
      <c r="L163" s="17">
        <f t="shared" si="124"/>
        <v>0.83783783783783783</v>
      </c>
      <c r="M163" s="17">
        <f t="shared" si="125"/>
        <v>2.0810810810810811</v>
      </c>
      <c r="N163" s="33">
        <f t="shared" si="126"/>
        <v>0.40259740259740262</v>
      </c>
      <c r="O163" s="12">
        <v>12</v>
      </c>
      <c r="P163" s="12">
        <v>23</v>
      </c>
      <c r="Q163" s="17">
        <f t="shared" si="127"/>
        <v>0.32432432432432434</v>
      </c>
      <c r="R163" s="17">
        <f t="shared" si="128"/>
        <v>0.6216216216216216</v>
      </c>
      <c r="S163" s="33">
        <f t="shared" si="129"/>
        <v>0.52173913043478259</v>
      </c>
      <c r="T163" s="12">
        <v>19</v>
      </c>
      <c r="U163" s="12">
        <v>54</v>
      </c>
      <c r="V163" s="17">
        <f t="shared" si="130"/>
        <v>0.51351351351351349</v>
      </c>
      <c r="W163" s="17">
        <f t="shared" si="131"/>
        <v>1.4594594594594594</v>
      </c>
      <c r="X163" s="33">
        <f t="shared" si="132"/>
        <v>0.35185185185185186</v>
      </c>
      <c r="Y163" s="12">
        <v>3</v>
      </c>
      <c r="Z163" s="12">
        <v>5</v>
      </c>
      <c r="AA163" s="17">
        <f t="shared" si="133"/>
        <v>8.1081081081081086E-2</v>
      </c>
      <c r="AB163" s="17">
        <f t="shared" si="134"/>
        <v>0.13513513513513514</v>
      </c>
      <c r="AC163" s="33">
        <f t="shared" si="135"/>
        <v>0.6</v>
      </c>
      <c r="AD163" s="12">
        <v>58</v>
      </c>
      <c r="AE163" s="17">
        <f t="shared" si="136"/>
        <v>1.5675675675675675</v>
      </c>
      <c r="AF163" s="12">
        <v>18</v>
      </c>
      <c r="AG163" s="17">
        <f t="shared" si="137"/>
        <v>0.48648648648648651</v>
      </c>
      <c r="AH163" s="12">
        <v>40</v>
      </c>
      <c r="AI163" s="17">
        <f t="shared" si="138"/>
        <v>1.0810810810810811</v>
      </c>
      <c r="AJ163" s="12">
        <v>17</v>
      </c>
      <c r="AK163" s="17">
        <f t="shared" si="139"/>
        <v>0.45945945945945948</v>
      </c>
      <c r="AL163" s="12">
        <v>9</v>
      </c>
      <c r="AM163" s="17">
        <f t="shared" si="140"/>
        <v>0.24324324324324326</v>
      </c>
      <c r="AN163" s="12">
        <v>7</v>
      </c>
      <c r="AO163" s="17">
        <f t="shared" si="141"/>
        <v>0.1891891891891892</v>
      </c>
      <c r="AP163" s="12">
        <v>15</v>
      </c>
      <c r="AQ163" s="17">
        <f t="shared" si="142"/>
        <v>0.40540540540540543</v>
      </c>
      <c r="AR163" s="12">
        <v>55</v>
      </c>
      <c r="AS163" s="17">
        <f t="shared" si="143"/>
        <v>1.4864864864864864</v>
      </c>
      <c r="AT163" s="13">
        <v>0.25655345135699426</v>
      </c>
      <c r="AU163" s="13">
        <v>2.4763846656080529E-2</v>
      </c>
      <c r="AV163" s="13">
        <v>0.14671501530986192</v>
      </c>
      <c r="AW163" s="13">
        <v>0.10983843604713231</v>
      </c>
      <c r="AX163" s="13">
        <v>102.16310518161052</v>
      </c>
      <c r="AY163" s="13">
        <v>112.00793817913203</v>
      </c>
      <c r="AZ163" s="13">
        <v>3.2155707209038988</v>
      </c>
      <c r="BA163" s="13">
        <v>3.0270270270270272</v>
      </c>
      <c r="BB163" s="13">
        <v>10.810810810810811</v>
      </c>
      <c r="BC163" s="14">
        <v>0.53030303030303028</v>
      </c>
      <c r="BD163" s="14">
        <v>0.52597402597402598</v>
      </c>
      <c r="BE163" s="13">
        <v>7.5133229880246244</v>
      </c>
      <c r="BF163" s="14">
        <v>0.70129870129870131</v>
      </c>
      <c r="BG163" s="14">
        <v>6.4935064935064929E-2</v>
      </c>
      <c r="BH163" s="13">
        <v>3.4158190374981023</v>
      </c>
      <c r="BI163" s="13">
        <v>7.590708972218005</v>
      </c>
      <c r="BJ163" s="13">
        <v>5.1412970251391696</v>
      </c>
      <c r="BK163" s="13">
        <v>4.1322314049586772</v>
      </c>
      <c r="BL163" s="13">
        <v>1.2237584748978931</v>
      </c>
      <c r="BM163" s="13">
        <v>1.2840267077555214</v>
      </c>
      <c r="BN163" s="13">
        <v>15.923566878980891</v>
      </c>
      <c r="BO163" s="15" t="s">
        <v>187</v>
      </c>
      <c r="BP163" s="15"/>
      <c r="BQ163" s="12" t="s">
        <v>273</v>
      </c>
      <c r="BR163" s="26">
        <v>233.99</v>
      </c>
      <c r="BS163" s="27">
        <v>300.58999999999997</v>
      </c>
      <c r="BT163" s="27">
        <v>66.599999999999994</v>
      </c>
      <c r="BU163" s="26">
        <f t="shared" si="118"/>
        <v>6.3240540540540531</v>
      </c>
      <c r="BV163" s="26">
        <f t="shared" si="119"/>
        <v>8.1240540540540529</v>
      </c>
      <c r="BW163" s="26">
        <f t="shared" si="119"/>
        <v>1.7999999999999998</v>
      </c>
      <c r="BX163" s="31">
        <f t="shared" si="120"/>
        <v>22.58772423779261</v>
      </c>
      <c r="BY163" s="31">
        <f t="shared" si="121"/>
        <v>29.01681280669294</v>
      </c>
      <c r="BZ163" s="31">
        <f t="shared" si="122"/>
        <v>6.4290885689003296</v>
      </c>
      <c r="CA163" s="34">
        <v>22</v>
      </c>
      <c r="CB163" s="34">
        <v>15</v>
      </c>
    </row>
    <row r="164" spans="1:80" x14ac:dyDescent="0.4">
      <c r="A164" s="12" t="s">
        <v>191</v>
      </c>
      <c r="B164" s="12" t="s">
        <v>181</v>
      </c>
      <c r="C164" s="4" t="s">
        <v>205</v>
      </c>
      <c r="D164" s="5">
        <v>51</v>
      </c>
      <c r="E164" s="22">
        <v>11</v>
      </c>
      <c r="F164" s="22">
        <v>28</v>
      </c>
      <c r="G164" s="10">
        <v>35103</v>
      </c>
      <c r="H164" s="5">
        <v>312</v>
      </c>
      <c r="I164" s="17">
        <f t="shared" si="123"/>
        <v>6.117647058823529</v>
      </c>
      <c r="J164" s="7">
        <v>127</v>
      </c>
      <c r="K164" s="7">
        <v>253</v>
      </c>
      <c r="L164" s="17">
        <f t="shared" si="124"/>
        <v>2.4901960784313726</v>
      </c>
      <c r="M164" s="17">
        <f t="shared" si="125"/>
        <v>4.9607843137254903</v>
      </c>
      <c r="N164" s="33">
        <f t="shared" si="126"/>
        <v>0.50197628458498023</v>
      </c>
      <c r="O164" s="12">
        <v>125</v>
      </c>
      <c r="P164" s="12">
        <v>236</v>
      </c>
      <c r="Q164" s="17">
        <f t="shared" si="127"/>
        <v>2.4509803921568629</v>
      </c>
      <c r="R164" s="17">
        <f t="shared" si="128"/>
        <v>4.6274509803921573</v>
      </c>
      <c r="S164" s="33">
        <f t="shared" si="129"/>
        <v>0.52966101694915257</v>
      </c>
      <c r="T164" s="12">
        <v>2</v>
      </c>
      <c r="U164" s="12">
        <v>17</v>
      </c>
      <c r="V164" s="17">
        <f t="shared" si="130"/>
        <v>3.9215686274509803E-2</v>
      </c>
      <c r="W164" s="17">
        <f t="shared" si="131"/>
        <v>0.33333333333333331</v>
      </c>
      <c r="X164" s="33">
        <f t="shared" si="132"/>
        <v>0.11764705882352941</v>
      </c>
      <c r="Y164" s="12">
        <v>56</v>
      </c>
      <c r="Z164" s="12">
        <v>97</v>
      </c>
      <c r="AA164" s="17">
        <f t="shared" si="133"/>
        <v>1.0980392156862746</v>
      </c>
      <c r="AB164" s="17">
        <f t="shared" si="134"/>
        <v>1.9019607843137254</v>
      </c>
      <c r="AC164" s="33">
        <f t="shared" si="135"/>
        <v>0.57731958762886593</v>
      </c>
      <c r="AD164" s="12">
        <v>202</v>
      </c>
      <c r="AE164" s="17">
        <f t="shared" si="136"/>
        <v>3.9607843137254903</v>
      </c>
      <c r="AF164" s="12">
        <v>70</v>
      </c>
      <c r="AG164" s="17">
        <f t="shared" si="137"/>
        <v>1.3725490196078431</v>
      </c>
      <c r="AH164" s="12">
        <v>132</v>
      </c>
      <c r="AI164" s="17">
        <f t="shared" si="138"/>
        <v>2.5882352941176472</v>
      </c>
      <c r="AJ164" s="12">
        <v>41</v>
      </c>
      <c r="AK164" s="17">
        <f t="shared" si="139"/>
        <v>0.80392156862745101</v>
      </c>
      <c r="AL164" s="12">
        <v>10</v>
      </c>
      <c r="AM164" s="17">
        <f t="shared" si="140"/>
        <v>0.19607843137254902</v>
      </c>
      <c r="AN164" s="12">
        <v>18</v>
      </c>
      <c r="AO164" s="17">
        <f t="shared" si="141"/>
        <v>0.35294117647058826</v>
      </c>
      <c r="AP164" s="12">
        <v>33</v>
      </c>
      <c r="AQ164" s="17">
        <f t="shared" si="142"/>
        <v>0.6470588235294118</v>
      </c>
      <c r="AR164" s="12">
        <v>77</v>
      </c>
      <c r="AS164" s="17">
        <f t="shared" si="143"/>
        <v>1.5098039215686274</v>
      </c>
      <c r="AT164" s="13">
        <v>1.6785037120357142</v>
      </c>
      <c r="AU164" s="13">
        <v>0.1148087354333594</v>
      </c>
      <c r="AV164" s="13">
        <v>1.1037114338899099</v>
      </c>
      <c r="AW164" s="13">
        <v>0.57479227814580436</v>
      </c>
      <c r="AX164" s="13">
        <v>108.09138904661937</v>
      </c>
      <c r="AY164" s="13">
        <v>106.4341227752751</v>
      </c>
      <c r="AZ164" s="13">
        <v>15.581866056384204</v>
      </c>
      <c r="BA164" s="13">
        <v>7.5098039215686274</v>
      </c>
      <c r="BB164" s="13">
        <v>26.19699042407661</v>
      </c>
      <c r="BC164" s="14">
        <v>0.52759740259740262</v>
      </c>
      <c r="BD164" s="14">
        <v>0.50592885375494068</v>
      </c>
      <c r="BE164" s="13">
        <v>25.605618423829853</v>
      </c>
      <c r="BF164" s="14">
        <v>6.7193675889328064E-2</v>
      </c>
      <c r="BG164" s="14">
        <v>0.38339920948616601</v>
      </c>
      <c r="BH164" s="13">
        <v>12.974816499023801</v>
      </c>
      <c r="BI164" s="13">
        <v>24.466796826730594</v>
      </c>
      <c r="BJ164" s="13">
        <v>17.489480337321858</v>
      </c>
      <c r="BK164" s="13">
        <v>12.579259562282676</v>
      </c>
      <c r="BL164" s="13">
        <v>0.96353076454948838</v>
      </c>
      <c r="BM164" s="13">
        <v>3.2249973125022398</v>
      </c>
      <c r="BN164" s="13">
        <v>10.040160642570282</v>
      </c>
      <c r="BO164" s="15" t="s">
        <v>189</v>
      </c>
      <c r="BP164" s="15"/>
      <c r="BQ164" s="12" t="s">
        <v>272</v>
      </c>
      <c r="BR164" s="26">
        <v>579.46</v>
      </c>
      <c r="BS164" s="27">
        <v>786.26</v>
      </c>
      <c r="BT164" s="27">
        <v>206.8</v>
      </c>
      <c r="BU164" s="26">
        <f t="shared" si="118"/>
        <v>11.361960784313725</v>
      </c>
      <c r="BV164" s="26">
        <f t="shared" si="119"/>
        <v>15.416862745098038</v>
      </c>
      <c r="BW164" s="26">
        <f t="shared" si="119"/>
        <v>4.0549019607843135</v>
      </c>
      <c r="BX164" s="31">
        <f t="shared" si="120"/>
        <v>39.617810443551832</v>
      </c>
      <c r="BY164" s="31">
        <f t="shared" si="121"/>
        <v>53.75677292539099</v>
      </c>
      <c r="BZ164" s="31">
        <f t="shared" si="122"/>
        <v>14.138962481839158</v>
      </c>
      <c r="CA164" s="34">
        <v>32</v>
      </c>
      <c r="CB164" s="34">
        <v>19</v>
      </c>
    </row>
    <row r="165" spans="1:80" x14ac:dyDescent="0.4">
      <c r="A165" s="12" t="s">
        <v>191</v>
      </c>
      <c r="B165" s="12" t="s">
        <v>181</v>
      </c>
      <c r="C165" s="12" t="s">
        <v>96</v>
      </c>
      <c r="D165" s="12">
        <v>54</v>
      </c>
      <c r="E165" s="11">
        <v>34</v>
      </c>
      <c r="F165" s="11">
        <v>37</v>
      </c>
      <c r="G165" s="10">
        <v>112143</v>
      </c>
      <c r="H165" s="7">
        <v>952</v>
      </c>
      <c r="I165" s="17">
        <f t="shared" si="123"/>
        <v>17.62962962962963</v>
      </c>
      <c r="J165" s="7">
        <v>338</v>
      </c>
      <c r="K165" s="7">
        <v>762</v>
      </c>
      <c r="L165" s="17">
        <f t="shared" si="124"/>
        <v>6.2592592592592595</v>
      </c>
      <c r="M165" s="17">
        <f t="shared" si="125"/>
        <v>14.111111111111111</v>
      </c>
      <c r="N165" s="33">
        <f t="shared" si="126"/>
        <v>0.44356955380577429</v>
      </c>
      <c r="O165" s="5">
        <v>215</v>
      </c>
      <c r="P165" s="7">
        <v>426</v>
      </c>
      <c r="Q165" s="17">
        <f t="shared" si="127"/>
        <v>3.9814814814814814</v>
      </c>
      <c r="R165" s="17">
        <f t="shared" si="128"/>
        <v>7.8888888888888893</v>
      </c>
      <c r="S165" s="33">
        <f t="shared" si="129"/>
        <v>0.50469483568075113</v>
      </c>
      <c r="T165" s="7">
        <v>123</v>
      </c>
      <c r="U165" s="7">
        <v>336</v>
      </c>
      <c r="V165" s="17">
        <f t="shared" si="130"/>
        <v>2.2777777777777777</v>
      </c>
      <c r="W165" s="17">
        <f t="shared" si="131"/>
        <v>6.2222222222222223</v>
      </c>
      <c r="X165" s="33">
        <f t="shared" si="132"/>
        <v>0.36607142857142855</v>
      </c>
      <c r="Y165" s="5">
        <v>153</v>
      </c>
      <c r="Z165" s="5">
        <v>209</v>
      </c>
      <c r="AA165" s="17">
        <f t="shared" si="133"/>
        <v>2.8333333333333335</v>
      </c>
      <c r="AB165" s="17">
        <f t="shared" si="134"/>
        <v>3.8703703703703702</v>
      </c>
      <c r="AC165" s="33">
        <f t="shared" si="135"/>
        <v>0.73205741626794263</v>
      </c>
      <c r="AD165" s="12">
        <v>229</v>
      </c>
      <c r="AE165" s="17">
        <f t="shared" si="136"/>
        <v>4.2407407407407405</v>
      </c>
      <c r="AF165" s="12">
        <v>39</v>
      </c>
      <c r="AG165" s="17">
        <f t="shared" si="137"/>
        <v>0.72222222222222221</v>
      </c>
      <c r="AH165" s="7">
        <v>190</v>
      </c>
      <c r="AI165" s="17">
        <f t="shared" si="138"/>
        <v>3.5185185185185186</v>
      </c>
      <c r="AJ165" s="7">
        <v>363</v>
      </c>
      <c r="AK165" s="17">
        <f t="shared" si="139"/>
        <v>6.7222222222222223</v>
      </c>
      <c r="AL165" s="7">
        <v>103</v>
      </c>
      <c r="AM165" s="17">
        <f t="shared" si="140"/>
        <v>1.9074074074074074</v>
      </c>
      <c r="AN165" s="7">
        <v>11</v>
      </c>
      <c r="AO165" s="17">
        <f t="shared" si="141"/>
        <v>0.20370370370370369</v>
      </c>
      <c r="AP165" s="7">
        <v>144</v>
      </c>
      <c r="AQ165" s="17">
        <f t="shared" si="142"/>
        <v>2.6666666666666665</v>
      </c>
      <c r="AR165" s="7">
        <v>130</v>
      </c>
      <c r="AS165" s="17">
        <f t="shared" si="143"/>
        <v>2.4074074074074074</v>
      </c>
      <c r="AT165" s="13">
        <v>6.0703069755892001</v>
      </c>
      <c r="AU165" s="13">
        <v>0.12989476222306104</v>
      </c>
      <c r="AV165" s="13">
        <v>4.7294391413740371</v>
      </c>
      <c r="AW165" s="13">
        <v>1.3408678342151632</v>
      </c>
      <c r="AX165" s="13">
        <v>112.05850259396671</v>
      </c>
      <c r="AY165" s="13">
        <v>108.49626881533224</v>
      </c>
      <c r="AZ165" s="13">
        <v>16.803275162399668</v>
      </c>
      <c r="BA165" s="13">
        <v>19.148148148148149</v>
      </c>
      <c r="BB165" s="13">
        <v>22.12592949232333</v>
      </c>
      <c r="BC165" s="14">
        <v>0.55740315705653654</v>
      </c>
      <c r="BD165" s="14">
        <v>0.52427821522309714</v>
      </c>
      <c r="BE165" s="13">
        <v>25.752954887237966</v>
      </c>
      <c r="BF165" s="14">
        <v>0.44094488188976377</v>
      </c>
      <c r="BG165" s="14">
        <v>0.27427821522309709</v>
      </c>
      <c r="BH165" s="13">
        <v>2.3945269709182653</v>
      </c>
      <c r="BI165" s="13">
        <v>11.665644217294114</v>
      </c>
      <c r="BJ165" s="13">
        <v>6.5676947570652011</v>
      </c>
      <c r="BK165" s="13">
        <v>35.264687548067968</v>
      </c>
      <c r="BL165" s="13">
        <v>3.104782404332088</v>
      </c>
      <c r="BM165" s="13">
        <v>0.65283206711113662</v>
      </c>
      <c r="BN165" s="13">
        <v>14.429436049541064</v>
      </c>
      <c r="BO165" s="15" t="s">
        <v>188</v>
      </c>
      <c r="BP165" s="15">
        <v>70000</v>
      </c>
      <c r="BQ165" s="12" t="s">
        <v>271</v>
      </c>
      <c r="BR165" s="26">
        <v>1673.26</v>
      </c>
      <c r="BS165" s="27">
        <v>2336.7600000000002</v>
      </c>
      <c r="BT165" s="27">
        <v>663.5</v>
      </c>
      <c r="BU165" s="26">
        <f t="shared" si="118"/>
        <v>30.986296296296302</v>
      </c>
      <c r="BV165" s="26">
        <f t="shared" si="119"/>
        <v>43.273333333333341</v>
      </c>
      <c r="BW165" s="26">
        <f t="shared" si="119"/>
        <v>12.287037037037036</v>
      </c>
      <c r="BX165" s="31">
        <f t="shared" si="120"/>
        <v>35.809849923758065</v>
      </c>
      <c r="BY165" s="31">
        <f t="shared" si="121"/>
        <v>50.009577057863631</v>
      </c>
      <c r="BZ165" s="31">
        <f t="shared" si="122"/>
        <v>14.199727134105562</v>
      </c>
      <c r="CA165" s="34">
        <v>33</v>
      </c>
      <c r="CB165" s="34">
        <v>21</v>
      </c>
    </row>
    <row r="166" spans="1:80" x14ac:dyDescent="0.4">
      <c r="A166" s="12" t="s">
        <v>191</v>
      </c>
      <c r="B166" s="12" t="s">
        <v>181</v>
      </c>
      <c r="C166" s="8" t="s">
        <v>99</v>
      </c>
      <c r="D166" s="32">
        <v>49</v>
      </c>
      <c r="E166" s="24">
        <v>16</v>
      </c>
      <c r="F166" s="24">
        <v>14</v>
      </c>
      <c r="G166" s="10">
        <v>47749</v>
      </c>
      <c r="H166" s="5">
        <v>203</v>
      </c>
      <c r="I166" s="17">
        <f t="shared" si="123"/>
        <v>4.1428571428571432</v>
      </c>
      <c r="J166" s="7">
        <v>67</v>
      </c>
      <c r="K166" s="7">
        <v>198</v>
      </c>
      <c r="L166" s="17">
        <f t="shared" si="124"/>
        <v>1.3673469387755102</v>
      </c>
      <c r="M166" s="17">
        <f t="shared" si="125"/>
        <v>4.0408163265306118</v>
      </c>
      <c r="N166" s="33">
        <f t="shared" si="126"/>
        <v>0.3383838383838384</v>
      </c>
      <c r="O166" s="12">
        <v>20</v>
      </c>
      <c r="P166" s="12">
        <v>43</v>
      </c>
      <c r="Q166" s="17">
        <f t="shared" si="127"/>
        <v>0.40816326530612246</v>
      </c>
      <c r="R166" s="17">
        <f t="shared" si="128"/>
        <v>0.87755102040816324</v>
      </c>
      <c r="S166" s="33">
        <f t="shared" si="129"/>
        <v>0.46511627906976744</v>
      </c>
      <c r="T166" s="12">
        <v>47</v>
      </c>
      <c r="U166" s="12">
        <v>155</v>
      </c>
      <c r="V166" s="17">
        <f t="shared" si="130"/>
        <v>0.95918367346938771</v>
      </c>
      <c r="W166" s="17">
        <f t="shared" si="131"/>
        <v>3.1632653061224492</v>
      </c>
      <c r="X166" s="33">
        <f t="shared" si="132"/>
        <v>0.3032258064516129</v>
      </c>
      <c r="Y166" s="12">
        <v>22</v>
      </c>
      <c r="Z166" s="12">
        <v>24</v>
      </c>
      <c r="AA166" s="17">
        <f t="shared" si="133"/>
        <v>0.44897959183673469</v>
      </c>
      <c r="AB166" s="17">
        <f t="shared" si="134"/>
        <v>0.48979591836734693</v>
      </c>
      <c r="AC166" s="33">
        <f t="shared" si="135"/>
        <v>0.91666666666666663</v>
      </c>
      <c r="AD166" s="12">
        <v>76</v>
      </c>
      <c r="AE166" s="17">
        <f t="shared" si="136"/>
        <v>1.5510204081632653</v>
      </c>
      <c r="AF166" s="12">
        <v>31</v>
      </c>
      <c r="AG166" s="17">
        <f t="shared" si="137"/>
        <v>0.63265306122448983</v>
      </c>
      <c r="AH166" s="12">
        <v>45</v>
      </c>
      <c r="AI166" s="17">
        <f t="shared" si="138"/>
        <v>0.91836734693877553</v>
      </c>
      <c r="AJ166" s="12">
        <v>36</v>
      </c>
      <c r="AK166" s="17">
        <f t="shared" si="139"/>
        <v>0.73469387755102045</v>
      </c>
      <c r="AL166" s="12">
        <v>32</v>
      </c>
      <c r="AM166" s="17">
        <f t="shared" si="140"/>
        <v>0.65306122448979587</v>
      </c>
      <c r="AN166" s="12">
        <v>0</v>
      </c>
      <c r="AO166" s="17">
        <f t="shared" si="141"/>
        <v>0</v>
      </c>
      <c r="AP166" s="12">
        <v>13</v>
      </c>
      <c r="AQ166" s="17">
        <f t="shared" si="142"/>
        <v>0.26530612244897961</v>
      </c>
      <c r="AR166" s="12">
        <v>69</v>
      </c>
      <c r="AS166" s="17">
        <f t="shared" si="143"/>
        <v>1.4081632653061225</v>
      </c>
      <c r="AT166" s="13">
        <v>0.83374340446248996</v>
      </c>
      <c r="AU166" s="13">
        <v>4.1926500664417221E-2</v>
      </c>
      <c r="AV166" s="13">
        <v>0.67046581093601976</v>
      </c>
      <c r="AW166" s="13">
        <v>0.1632775935264702</v>
      </c>
      <c r="AX166" s="13">
        <v>107.32788730022153</v>
      </c>
      <c r="AY166" s="13">
        <v>112.47215885162387</v>
      </c>
      <c r="AZ166" s="13">
        <v>6.1924825539232922</v>
      </c>
      <c r="BA166" s="13">
        <v>4.1020408163265305</v>
      </c>
      <c r="BB166" s="13">
        <v>10.10769811004484</v>
      </c>
      <c r="BC166" s="14">
        <v>0.4866705024932873</v>
      </c>
      <c r="BD166" s="14">
        <v>0.45707070707070707</v>
      </c>
      <c r="BE166" s="13">
        <v>12.192221073869289</v>
      </c>
      <c r="BF166" s="14">
        <v>0.78282828282828287</v>
      </c>
      <c r="BG166" s="14">
        <v>0.12121212121212122</v>
      </c>
      <c r="BH166" s="13">
        <v>4.0587692327835079</v>
      </c>
      <c r="BI166" s="13">
        <v>5.8917617895244474</v>
      </c>
      <c r="BJ166" s="13">
        <v>4.6480266527633587</v>
      </c>
      <c r="BK166" s="13">
        <v>6.2694105012625894</v>
      </c>
      <c r="BL166" s="13">
        <v>2.2668309913430806</v>
      </c>
      <c r="BM166" s="13">
        <v>0</v>
      </c>
      <c r="BN166" s="13">
        <v>5.8674851056147315</v>
      </c>
      <c r="BO166" s="15" t="s">
        <v>187</v>
      </c>
      <c r="BP166" s="15"/>
      <c r="BQ166" s="12" t="s">
        <v>271</v>
      </c>
      <c r="BR166" s="26">
        <v>442.65</v>
      </c>
      <c r="BS166" s="27">
        <v>583.95000000000005</v>
      </c>
      <c r="BT166" s="27">
        <v>141.30000000000001</v>
      </c>
      <c r="BU166" s="26">
        <f t="shared" si="118"/>
        <v>9.0336734693877556</v>
      </c>
      <c r="BV166" s="26">
        <f t="shared" si="119"/>
        <v>11.917346938775511</v>
      </c>
      <c r="BW166" s="26">
        <f t="shared" si="119"/>
        <v>2.8836734693877553</v>
      </c>
      <c r="BX166" s="31">
        <f t="shared" si="120"/>
        <v>22.248842907704876</v>
      </c>
      <c r="BY166" s="31">
        <f t="shared" si="121"/>
        <v>29.350981172380575</v>
      </c>
      <c r="BZ166" s="31">
        <f t="shared" si="122"/>
        <v>7.1021382646757001</v>
      </c>
      <c r="CA166" s="34">
        <v>32</v>
      </c>
      <c r="CB166" s="34">
        <v>17</v>
      </c>
    </row>
    <row r="167" spans="1:80" x14ac:dyDescent="0.4">
      <c r="A167" s="12" t="s">
        <v>191</v>
      </c>
      <c r="B167" s="12" t="s">
        <v>181</v>
      </c>
      <c r="C167" s="4" t="s">
        <v>222</v>
      </c>
      <c r="D167" s="5">
        <v>26</v>
      </c>
      <c r="E167" s="22">
        <v>13</v>
      </c>
      <c r="F167" s="22">
        <v>47</v>
      </c>
      <c r="G167" s="10">
        <v>21510</v>
      </c>
      <c r="H167" s="5">
        <v>97</v>
      </c>
      <c r="I167" s="17">
        <f t="shared" si="123"/>
        <v>3.7307692307692308</v>
      </c>
      <c r="J167" s="7">
        <v>37</v>
      </c>
      <c r="K167" s="7">
        <v>105</v>
      </c>
      <c r="L167" s="17">
        <f t="shared" si="124"/>
        <v>1.4230769230769231</v>
      </c>
      <c r="M167" s="17">
        <f t="shared" si="125"/>
        <v>4.0384615384615383</v>
      </c>
      <c r="N167" s="33">
        <f t="shared" si="126"/>
        <v>0.35238095238095241</v>
      </c>
      <c r="O167" s="12">
        <v>21</v>
      </c>
      <c r="P167" s="12">
        <v>48</v>
      </c>
      <c r="Q167" s="17">
        <f t="shared" si="127"/>
        <v>0.80769230769230771</v>
      </c>
      <c r="R167" s="17">
        <f t="shared" si="128"/>
        <v>1.8461538461538463</v>
      </c>
      <c r="S167" s="33">
        <f t="shared" si="129"/>
        <v>0.4375</v>
      </c>
      <c r="T167" s="12">
        <v>16</v>
      </c>
      <c r="U167" s="12">
        <v>57</v>
      </c>
      <c r="V167" s="17">
        <f t="shared" si="130"/>
        <v>0.61538461538461542</v>
      </c>
      <c r="W167" s="17">
        <f t="shared" si="131"/>
        <v>2.1923076923076925</v>
      </c>
      <c r="X167" s="33">
        <f t="shared" si="132"/>
        <v>0.2807017543859649</v>
      </c>
      <c r="Y167" s="12">
        <v>7</v>
      </c>
      <c r="Z167" s="12">
        <v>8</v>
      </c>
      <c r="AA167" s="17">
        <f t="shared" si="133"/>
        <v>0.26923076923076922</v>
      </c>
      <c r="AB167" s="17">
        <f t="shared" si="134"/>
        <v>0.30769230769230771</v>
      </c>
      <c r="AC167" s="33">
        <f t="shared" si="135"/>
        <v>0.875</v>
      </c>
      <c r="AD167" s="12">
        <v>60</v>
      </c>
      <c r="AE167" s="17">
        <f t="shared" si="136"/>
        <v>2.3076923076923075</v>
      </c>
      <c r="AF167" s="12">
        <v>15</v>
      </c>
      <c r="AG167" s="17">
        <f t="shared" si="137"/>
        <v>0.57692307692307687</v>
      </c>
      <c r="AH167" s="12">
        <v>45</v>
      </c>
      <c r="AI167" s="17">
        <f t="shared" si="138"/>
        <v>1.7307692307692308</v>
      </c>
      <c r="AJ167" s="12">
        <v>13</v>
      </c>
      <c r="AK167" s="17">
        <f t="shared" si="139"/>
        <v>0.5</v>
      </c>
      <c r="AL167" s="12">
        <v>9</v>
      </c>
      <c r="AM167" s="17">
        <f t="shared" si="140"/>
        <v>0.34615384615384615</v>
      </c>
      <c r="AN167" s="12">
        <v>3</v>
      </c>
      <c r="AO167" s="17">
        <f t="shared" si="141"/>
        <v>0.11538461538461539</v>
      </c>
      <c r="AP167" s="12">
        <v>13</v>
      </c>
      <c r="AQ167" s="17">
        <f t="shared" si="142"/>
        <v>0.5</v>
      </c>
      <c r="AR167" s="12">
        <v>40</v>
      </c>
      <c r="AS167" s="17">
        <f t="shared" si="143"/>
        <v>1.5384615384615385</v>
      </c>
      <c r="AT167" s="13">
        <v>-4.2250871082099128E-2</v>
      </c>
      <c r="AU167" s="13">
        <v>-4.7159376149678127E-3</v>
      </c>
      <c r="AV167" s="13">
        <v>-0.18753362794425585</v>
      </c>
      <c r="AW167" s="13">
        <v>0.14528275686215672</v>
      </c>
      <c r="AX167" s="13">
        <v>91.952361448725</v>
      </c>
      <c r="AY167" s="13">
        <v>110.91816340646987</v>
      </c>
      <c r="AZ167" s="13">
        <v>2.4727528145560269</v>
      </c>
      <c r="BA167" s="13">
        <v>3.8461538461538463</v>
      </c>
      <c r="BB167" s="13">
        <v>11.161752395126035</v>
      </c>
      <c r="BC167" s="14">
        <v>0.44692222631772949</v>
      </c>
      <c r="BD167" s="14">
        <v>0.42857142857142855</v>
      </c>
      <c r="BE167" s="13">
        <v>7.8757637585419067</v>
      </c>
      <c r="BF167" s="14">
        <v>0.54285714285714282</v>
      </c>
      <c r="BG167" s="14">
        <v>7.6190476190476197E-2</v>
      </c>
      <c r="BH167" s="13">
        <v>2.3130092636021007</v>
      </c>
      <c r="BI167" s="13">
        <v>6.9390277908063025</v>
      </c>
      <c r="BJ167" s="13">
        <v>4.3217507412252703</v>
      </c>
      <c r="BK167" s="13">
        <v>2.5618708225904454</v>
      </c>
      <c r="BL167" s="13">
        <v>1.4151023495424244</v>
      </c>
      <c r="BM167" s="13">
        <v>0.4471580312377148</v>
      </c>
      <c r="BN167" s="13">
        <v>10.697827518104017</v>
      </c>
      <c r="BO167" s="15" t="s">
        <v>187</v>
      </c>
      <c r="BP167" s="15">
        <v>50000</v>
      </c>
      <c r="BQ167" s="12" t="s">
        <v>273</v>
      </c>
      <c r="BR167" s="26">
        <v>201.43</v>
      </c>
      <c r="BS167" s="27">
        <v>285.63</v>
      </c>
      <c r="BT167" s="27">
        <v>84.2</v>
      </c>
      <c r="BU167" s="26">
        <f t="shared" si="118"/>
        <v>7.7473076923076922</v>
      </c>
      <c r="BV167" s="26">
        <f t="shared" si="119"/>
        <v>10.985769230769231</v>
      </c>
      <c r="BW167" s="26">
        <f t="shared" si="119"/>
        <v>3.2384615384615385</v>
      </c>
      <c r="BX167" s="31">
        <f t="shared" si="120"/>
        <v>22.474755927475591</v>
      </c>
      <c r="BY167" s="31">
        <f t="shared" si="121"/>
        <v>31.869456066945606</v>
      </c>
      <c r="BZ167" s="31">
        <f t="shared" si="122"/>
        <v>9.3947001394700145</v>
      </c>
      <c r="CA167" s="34">
        <v>17</v>
      </c>
      <c r="CB167" s="34">
        <v>9</v>
      </c>
    </row>
    <row r="168" spans="1:80" x14ac:dyDescent="0.4">
      <c r="A168" s="12" t="s">
        <v>191</v>
      </c>
      <c r="B168" s="12" t="s">
        <v>181</v>
      </c>
      <c r="C168" s="4" t="s">
        <v>102</v>
      </c>
      <c r="D168" s="5">
        <v>1</v>
      </c>
      <c r="E168" s="22">
        <v>1</v>
      </c>
      <c r="F168" s="22">
        <v>47</v>
      </c>
      <c r="G168" s="10">
        <v>107</v>
      </c>
      <c r="H168" s="5">
        <v>0</v>
      </c>
      <c r="I168" s="17">
        <f t="shared" si="123"/>
        <v>0</v>
      </c>
      <c r="J168" s="7">
        <v>0</v>
      </c>
      <c r="K168" s="7">
        <v>1</v>
      </c>
      <c r="L168" s="17">
        <f t="shared" si="124"/>
        <v>0</v>
      </c>
      <c r="M168" s="17">
        <f t="shared" si="125"/>
        <v>1</v>
      </c>
      <c r="N168" s="33">
        <f t="shared" si="126"/>
        <v>0</v>
      </c>
      <c r="O168" s="12">
        <v>0</v>
      </c>
      <c r="P168" s="12">
        <v>1</v>
      </c>
      <c r="Q168" s="17">
        <f t="shared" si="127"/>
        <v>0</v>
      </c>
      <c r="R168" s="17">
        <f t="shared" si="128"/>
        <v>1</v>
      </c>
      <c r="S168" s="33">
        <f t="shared" si="129"/>
        <v>0</v>
      </c>
      <c r="T168" s="12">
        <v>0</v>
      </c>
      <c r="U168" s="12">
        <v>0</v>
      </c>
      <c r="V168" s="17">
        <f t="shared" si="130"/>
        <v>0</v>
      </c>
      <c r="W168" s="17">
        <f t="shared" si="131"/>
        <v>0</v>
      </c>
      <c r="X168" s="33" t="e">
        <f t="shared" si="132"/>
        <v>#DIV/0!</v>
      </c>
      <c r="Y168" s="12">
        <v>0</v>
      </c>
      <c r="Z168" s="12">
        <v>0</v>
      </c>
      <c r="AA168" s="17">
        <f t="shared" si="133"/>
        <v>0</v>
      </c>
      <c r="AB168" s="17">
        <f t="shared" si="134"/>
        <v>0</v>
      </c>
      <c r="AC168" s="33" t="e">
        <f t="shared" si="135"/>
        <v>#DIV/0!</v>
      </c>
      <c r="AD168" s="12">
        <v>0</v>
      </c>
      <c r="AE168" s="17">
        <f t="shared" si="136"/>
        <v>0</v>
      </c>
      <c r="AF168" s="12">
        <v>0</v>
      </c>
      <c r="AG168" s="17">
        <f t="shared" si="137"/>
        <v>0</v>
      </c>
      <c r="AH168" s="12">
        <v>0</v>
      </c>
      <c r="AI168" s="17">
        <f t="shared" si="138"/>
        <v>0</v>
      </c>
      <c r="AJ168" s="12">
        <v>0</v>
      </c>
      <c r="AK168" s="17">
        <f t="shared" si="139"/>
        <v>0</v>
      </c>
      <c r="AL168" s="12">
        <v>0</v>
      </c>
      <c r="AM168" s="17">
        <f t="shared" si="140"/>
        <v>0</v>
      </c>
      <c r="AN168" s="12">
        <v>0</v>
      </c>
      <c r="AO168" s="17">
        <f t="shared" si="141"/>
        <v>0</v>
      </c>
      <c r="AP168" s="12">
        <v>0</v>
      </c>
      <c r="AQ168" s="17">
        <f t="shared" si="142"/>
        <v>0</v>
      </c>
      <c r="AR168" s="12">
        <v>0</v>
      </c>
      <c r="AS168" s="17">
        <f t="shared" si="143"/>
        <v>0</v>
      </c>
      <c r="AT168" s="13">
        <v>-2.6241654999072685E-2</v>
      </c>
      <c r="AU168" s="13">
        <v>-0.58859786913807888</v>
      </c>
      <c r="AV168" s="13">
        <v>-2.486746780694982E-2</v>
      </c>
      <c r="AW168" s="13">
        <v>-1.3741871921228654E-3</v>
      </c>
      <c r="AX168" s="13">
        <v>0</v>
      </c>
      <c r="AY168" s="13">
        <v>120.04935177840001</v>
      </c>
      <c r="AZ168" s="13">
        <v>-0.35148296345405872</v>
      </c>
      <c r="BA168" s="13">
        <v>-1</v>
      </c>
      <c r="BB168" s="13">
        <v>-22.429906542056074</v>
      </c>
      <c r="BC168" s="14">
        <v>0</v>
      </c>
      <c r="BD168" s="14">
        <v>0</v>
      </c>
      <c r="BE168" s="13">
        <v>0.50091801575019823</v>
      </c>
      <c r="BF168" s="14">
        <v>0</v>
      </c>
      <c r="BG168" s="14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5" t="s">
        <v>187</v>
      </c>
      <c r="BP168" s="15">
        <v>150000</v>
      </c>
      <c r="BQ168" s="12" t="s">
        <v>272</v>
      </c>
      <c r="BR168" s="26">
        <v>-0.55000000000000004</v>
      </c>
      <c r="BS168" s="27">
        <v>0.45</v>
      </c>
      <c r="BT168" s="27">
        <v>1</v>
      </c>
      <c r="BU168" s="26">
        <f t="shared" si="118"/>
        <v>-0.55000000000000004</v>
      </c>
      <c r="BV168" s="26">
        <f t="shared" si="119"/>
        <v>0.45</v>
      </c>
      <c r="BW168" s="26">
        <f t="shared" si="119"/>
        <v>1</v>
      </c>
      <c r="BX168" s="31">
        <f t="shared" si="120"/>
        <v>-12.33644859813084</v>
      </c>
      <c r="BY168" s="31">
        <f t="shared" si="121"/>
        <v>10.093457943925234</v>
      </c>
      <c r="BZ168" s="31">
        <f t="shared" si="122"/>
        <v>22.429906542056074</v>
      </c>
      <c r="CA168" s="35">
        <v>0</v>
      </c>
      <c r="CB168" s="35">
        <v>1</v>
      </c>
    </row>
    <row r="169" spans="1:80" x14ac:dyDescent="0.4">
      <c r="A169" s="12" t="s">
        <v>191</v>
      </c>
      <c r="B169" s="12" t="s">
        <v>181</v>
      </c>
      <c r="C169" s="4" t="s">
        <v>270</v>
      </c>
      <c r="D169" s="32">
        <v>54</v>
      </c>
      <c r="E169" s="24">
        <v>12</v>
      </c>
      <c r="F169" s="24">
        <v>24</v>
      </c>
      <c r="G169" s="10">
        <v>40165</v>
      </c>
      <c r="H169" s="5">
        <v>150</v>
      </c>
      <c r="I169" s="17">
        <f t="shared" si="123"/>
        <v>2.7777777777777777</v>
      </c>
      <c r="J169" s="7">
        <v>51</v>
      </c>
      <c r="K169" s="7">
        <v>154</v>
      </c>
      <c r="L169" s="17">
        <f t="shared" si="124"/>
        <v>0.94444444444444442</v>
      </c>
      <c r="M169" s="17">
        <f t="shared" si="125"/>
        <v>2.8518518518518516</v>
      </c>
      <c r="N169" s="33">
        <f t="shared" si="126"/>
        <v>0.33116883116883117</v>
      </c>
      <c r="O169" s="12">
        <v>21</v>
      </c>
      <c r="P169" s="12">
        <v>51</v>
      </c>
      <c r="Q169" s="17">
        <f t="shared" si="127"/>
        <v>0.3888888888888889</v>
      </c>
      <c r="R169" s="17">
        <f t="shared" si="128"/>
        <v>0.94444444444444442</v>
      </c>
      <c r="S169" s="33">
        <f t="shared" si="129"/>
        <v>0.41176470588235292</v>
      </c>
      <c r="T169" s="12">
        <v>30</v>
      </c>
      <c r="U169" s="12">
        <v>103</v>
      </c>
      <c r="V169" s="17">
        <f t="shared" si="130"/>
        <v>0.55555555555555558</v>
      </c>
      <c r="W169" s="17">
        <f t="shared" si="131"/>
        <v>1.9074074074074074</v>
      </c>
      <c r="X169" s="33">
        <f t="shared" si="132"/>
        <v>0.29126213592233008</v>
      </c>
      <c r="Y169" s="12">
        <v>18</v>
      </c>
      <c r="Z169" s="12">
        <v>31</v>
      </c>
      <c r="AA169" s="17">
        <f t="shared" si="133"/>
        <v>0.33333333333333331</v>
      </c>
      <c r="AB169" s="17">
        <f t="shared" si="134"/>
        <v>0.57407407407407407</v>
      </c>
      <c r="AC169" s="33">
        <f t="shared" si="135"/>
        <v>0.58064516129032262</v>
      </c>
      <c r="AD169" s="12">
        <v>76</v>
      </c>
      <c r="AE169" s="17">
        <f t="shared" si="136"/>
        <v>1.4074074074074074</v>
      </c>
      <c r="AF169" s="12">
        <v>4</v>
      </c>
      <c r="AG169" s="17">
        <f t="shared" si="137"/>
        <v>7.407407407407407E-2</v>
      </c>
      <c r="AH169" s="12">
        <v>72</v>
      </c>
      <c r="AI169" s="17">
        <f t="shared" si="138"/>
        <v>1.3333333333333333</v>
      </c>
      <c r="AJ169" s="12">
        <v>75</v>
      </c>
      <c r="AK169" s="17">
        <f t="shared" si="139"/>
        <v>1.3888888888888888</v>
      </c>
      <c r="AL169" s="12">
        <v>25</v>
      </c>
      <c r="AM169" s="17">
        <f t="shared" si="140"/>
        <v>0.46296296296296297</v>
      </c>
      <c r="AN169" s="12">
        <v>7</v>
      </c>
      <c r="AO169" s="17">
        <f t="shared" si="141"/>
        <v>0.12962962962962962</v>
      </c>
      <c r="AP169" s="12">
        <v>47</v>
      </c>
      <c r="AQ169" s="17">
        <f t="shared" si="142"/>
        <v>0.87037037037037035</v>
      </c>
      <c r="AR169" s="12">
        <v>61</v>
      </c>
      <c r="AS169" s="17">
        <f t="shared" si="143"/>
        <v>1.1296296296296295</v>
      </c>
      <c r="AT169" s="13">
        <v>-0.40866021947835052</v>
      </c>
      <c r="AU169" s="13">
        <v>-2.4412199490940891E-2</v>
      </c>
      <c r="AV169" s="13">
        <v>-0.74929786924963371</v>
      </c>
      <c r="AW169" s="13">
        <v>0.34063764977128319</v>
      </c>
      <c r="AX169" s="13">
        <v>86.195290874787972</v>
      </c>
      <c r="AY169" s="13">
        <v>110.11594045035298</v>
      </c>
      <c r="AZ169" s="13">
        <v>4.6605174089506329</v>
      </c>
      <c r="BA169" s="13">
        <v>3.1481481481481484</v>
      </c>
      <c r="BB169" s="13">
        <v>10.15531660692951</v>
      </c>
      <c r="BC169" s="14">
        <v>0.44738725841088051</v>
      </c>
      <c r="BD169" s="14">
        <v>0.42857142857142855</v>
      </c>
      <c r="BE169" s="13">
        <v>15.462800524686305</v>
      </c>
      <c r="BF169" s="14">
        <v>0.66883116883116878</v>
      </c>
      <c r="BG169" s="14">
        <v>0.20129870129870131</v>
      </c>
      <c r="BH169" s="13">
        <v>0.68561242329711014</v>
      </c>
      <c r="BI169" s="13">
        <v>12.341023619347983</v>
      </c>
      <c r="BJ169" s="13">
        <v>6.0849166126229992</v>
      </c>
      <c r="BK169" s="13">
        <v>17.092069279854147</v>
      </c>
      <c r="BL169" s="13">
        <v>2.1037663945211351</v>
      </c>
      <c r="BM169" s="13">
        <v>1.1597660586178904</v>
      </c>
      <c r="BN169" s="13">
        <v>21.897130078270592</v>
      </c>
      <c r="BO169" s="15" t="s">
        <v>187</v>
      </c>
      <c r="BP169" s="15">
        <v>45000</v>
      </c>
      <c r="BQ169" s="12" t="s">
        <v>271</v>
      </c>
      <c r="BR169" s="26">
        <v>366.25</v>
      </c>
      <c r="BS169" s="27">
        <v>542.85</v>
      </c>
      <c r="BT169" s="27">
        <v>176.6</v>
      </c>
      <c r="BU169" s="26">
        <f t="shared" si="118"/>
        <v>6.7824074074074083</v>
      </c>
      <c r="BV169" s="26">
        <f t="shared" si="119"/>
        <v>10.052777777777779</v>
      </c>
      <c r="BW169" s="26">
        <f t="shared" si="119"/>
        <v>3.2703703703703701</v>
      </c>
      <c r="BX169" s="31">
        <f t="shared" si="120"/>
        <v>21.884725507282461</v>
      </c>
      <c r="BY169" s="31">
        <f t="shared" si="121"/>
        <v>32.437196564172787</v>
      </c>
      <c r="BZ169" s="31">
        <f t="shared" si="122"/>
        <v>10.552471056890328</v>
      </c>
      <c r="CA169" s="35">
        <v>33</v>
      </c>
      <c r="CB169" s="35">
        <v>21</v>
      </c>
    </row>
    <row r="170" spans="1:80" x14ac:dyDescent="0.4">
      <c r="A170" s="12" t="s">
        <v>191</v>
      </c>
      <c r="B170" s="12" t="s">
        <v>181</v>
      </c>
      <c r="C170" s="4" t="s">
        <v>245</v>
      </c>
      <c r="D170" s="5">
        <v>3</v>
      </c>
      <c r="E170" s="22">
        <v>4</v>
      </c>
      <c r="F170" s="22">
        <v>52</v>
      </c>
      <c r="G170" s="10">
        <v>877</v>
      </c>
      <c r="H170" s="5">
        <v>3</v>
      </c>
      <c r="I170" s="17">
        <f t="shared" si="123"/>
        <v>1</v>
      </c>
      <c r="J170" s="7">
        <v>1</v>
      </c>
      <c r="K170" s="7">
        <v>3</v>
      </c>
      <c r="L170" s="17">
        <f t="shared" si="124"/>
        <v>0.33333333333333331</v>
      </c>
      <c r="M170" s="17">
        <f t="shared" si="125"/>
        <v>1</v>
      </c>
      <c r="N170" s="33">
        <f t="shared" si="126"/>
        <v>0.33333333333333331</v>
      </c>
      <c r="O170" s="12">
        <v>0</v>
      </c>
      <c r="P170" s="12">
        <v>0</v>
      </c>
      <c r="Q170" s="17">
        <f t="shared" si="127"/>
        <v>0</v>
      </c>
      <c r="R170" s="17">
        <f t="shared" si="128"/>
        <v>0</v>
      </c>
      <c r="S170" s="33" t="e">
        <f t="shared" si="129"/>
        <v>#DIV/0!</v>
      </c>
      <c r="T170" s="12">
        <v>1</v>
      </c>
      <c r="U170" s="12">
        <v>3</v>
      </c>
      <c r="V170" s="17">
        <f t="shared" si="130"/>
        <v>0.33333333333333331</v>
      </c>
      <c r="W170" s="17">
        <f t="shared" si="131"/>
        <v>1</v>
      </c>
      <c r="X170" s="33">
        <f t="shared" si="132"/>
        <v>0.33333333333333331</v>
      </c>
      <c r="Y170" s="12">
        <v>0</v>
      </c>
      <c r="Z170" s="12">
        <v>0</v>
      </c>
      <c r="AA170" s="17">
        <f t="shared" si="133"/>
        <v>0</v>
      </c>
      <c r="AB170" s="17">
        <f t="shared" si="134"/>
        <v>0</v>
      </c>
      <c r="AC170" s="33" t="e">
        <f t="shared" si="135"/>
        <v>#DIV/0!</v>
      </c>
      <c r="AD170" s="12">
        <v>0</v>
      </c>
      <c r="AE170" s="17">
        <f t="shared" si="136"/>
        <v>0</v>
      </c>
      <c r="AF170" s="12">
        <v>0</v>
      </c>
      <c r="AG170" s="17">
        <f t="shared" si="137"/>
        <v>0</v>
      </c>
      <c r="AH170" s="12">
        <v>0</v>
      </c>
      <c r="AI170" s="17">
        <f t="shared" si="138"/>
        <v>0</v>
      </c>
      <c r="AJ170" s="12">
        <v>0</v>
      </c>
      <c r="AK170" s="17">
        <f t="shared" si="139"/>
        <v>0</v>
      </c>
      <c r="AL170" s="12">
        <v>0</v>
      </c>
      <c r="AM170" s="17">
        <f t="shared" si="140"/>
        <v>0</v>
      </c>
      <c r="AN170" s="12">
        <v>0</v>
      </c>
      <c r="AO170" s="17">
        <f t="shared" si="141"/>
        <v>0</v>
      </c>
      <c r="AP170" s="12">
        <v>0</v>
      </c>
      <c r="AQ170" s="17">
        <f t="shared" si="142"/>
        <v>0</v>
      </c>
      <c r="AR170" s="12">
        <v>3</v>
      </c>
      <c r="AS170" s="17">
        <f t="shared" si="143"/>
        <v>1</v>
      </c>
      <c r="AT170" s="13">
        <v>-5.014959645060736E-3</v>
      </c>
      <c r="AU170" s="13">
        <v>-1.3739615465919825E-2</v>
      </c>
      <c r="AV170" s="13">
        <v>5.0150116257860538E-3</v>
      </c>
      <c r="AW170" s="13">
        <v>-1.002997127084679E-2</v>
      </c>
      <c r="AX170" s="13">
        <v>103.58226027831938</v>
      </c>
      <c r="AY170" s="13">
        <v>119.40030974254867</v>
      </c>
      <c r="AZ170" s="13">
        <v>-9.9372315455160135E-2</v>
      </c>
      <c r="BA170" s="13">
        <v>0.33333333333333331</v>
      </c>
      <c r="BB170" s="13">
        <v>2.7397260273972601</v>
      </c>
      <c r="BC170" s="14">
        <v>0.5</v>
      </c>
      <c r="BD170" s="14">
        <v>0.5</v>
      </c>
      <c r="BE170" s="13">
        <v>0.55066672279388218</v>
      </c>
      <c r="BF170" s="14">
        <v>1</v>
      </c>
      <c r="BG170" s="14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5" t="s">
        <v>187</v>
      </c>
      <c r="BP170" s="15">
        <v>40000</v>
      </c>
      <c r="BQ170" s="12" t="s">
        <v>273</v>
      </c>
      <c r="BR170" s="26">
        <v>4.8499999999999996</v>
      </c>
      <c r="BS170" s="27">
        <v>6.65</v>
      </c>
      <c r="BT170" s="27">
        <v>1.8</v>
      </c>
      <c r="BU170" s="26">
        <f t="shared" si="118"/>
        <v>1.6166666666666667</v>
      </c>
      <c r="BV170" s="26">
        <f t="shared" si="119"/>
        <v>2.2166666666666668</v>
      </c>
      <c r="BW170" s="26">
        <f t="shared" si="119"/>
        <v>0.6</v>
      </c>
      <c r="BX170" s="31">
        <f t="shared" si="120"/>
        <v>13.272519954389963</v>
      </c>
      <c r="BY170" s="31">
        <f t="shared" si="121"/>
        <v>18.198403648802735</v>
      </c>
      <c r="BZ170" s="31">
        <f t="shared" si="122"/>
        <v>4.9258836944127706</v>
      </c>
      <c r="CA170" s="34">
        <v>2</v>
      </c>
      <c r="CB170" s="34">
        <v>1</v>
      </c>
    </row>
    <row r="171" spans="1:80" x14ac:dyDescent="0.4">
      <c r="A171" s="12" t="s">
        <v>191</v>
      </c>
      <c r="B171" s="12" t="s">
        <v>181</v>
      </c>
      <c r="C171" s="4" t="s">
        <v>157</v>
      </c>
      <c r="D171" s="5">
        <v>43</v>
      </c>
      <c r="E171" s="22">
        <v>7</v>
      </c>
      <c r="F171" s="22">
        <v>39</v>
      </c>
      <c r="G171" s="10">
        <v>19722</v>
      </c>
      <c r="H171" s="5">
        <v>98</v>
      </c>
      <c r="I171" s="17">
        <f t="shared" si="123"/>
        <v>2.2790697674418605</v>
      </c>
      <c r="J171" s="7">
        <v>38</v>
      </c>
      <c r="K171" s="7">
        <v>93</v>
      </c>
      <c r="L171" s="17">
        <f t="shared" si="124"/>
        <v>0.88372093023255816</v>
      </c>
      <c r="M171" s="17">
        <f t="shared" si="125"/>
        <v>2.1627906976744184</v>
      </c>
      <c r="N171" s="33">
        <f t="shared" si="126"/>
        <v>0.40860215053763443</v>
      </c>
      <c r="O171" s="12">
        <v>29</v>
      </c>
      <c r="P171" s="12">
        <v>59</v>
      </c>
      <c r="Q171" s="17">
        <f t="shared" si="127"/>
        <v>0.67441860465116277</v>
      </c>
      <c r="R171" s="17">
        <f t="shared" si="128"/>
        <v>1.3720930232558139</v>
      </c>
      <c r="S171" s="33">
        <f t="shared" si="129"/>
        <v>0.49152542372881358</v>
      </c>
      <c r="T171" s="12">
        <v>9</v>
      </c>
      <c r="U171" s="12">
        <v>34</v>
      </c>
      <c r="V171" s="17">
        <f t="shared" si="130"/>
        <v>0.20930232558139536</v>
      </c>
      <c r="W171" s="17">
        <f t="shared" si="131"/>
        <v>0.79069767441860461</v>
      </c>
      <c r="X171" s="33">
        <f t="shared" si="132"/>
        <v>0.26470588235294118</v>
      </c>
      <c r="Y171" s="12">
        <v>13</v>
      </c>
      <c r="Z171" s="12">
        <v>19</v>
      </c>
      <c r="AA171" s="17">
        <f t="shared" si="133"/>
        <v>0.30232558139534882</v>
      </c>
      <c r="AB171" s="17">
        <f t="shared" si="134"/>
        <v>0.44186046511627908</v>
      </c>
      <c r="AC171" s="33">
        <f t="shared" si="135"/>
        <v>0.68421052631578949</v>
      </c>
      <c r="AD171" s="12">
        <v>29</v>
      </c>
      <c r="AE171" s="17">
        <f t="shared" si="136"/>
        <v>0.67441860465116277</v>
      </c>
      <c r="AF171" s="12">
        <v>8</v>
      </c>
      <c r="AG171" s="17">
        <f t="shared" si="137"/>
        <v>0.18604651162790697</v>
      </c>
      <c r="AH171" s="12">
        <v>21</v>
      </c>
      <c r="AI171" s="17">
        <f t="shared" si="138"/>
        <v>0.48837209302325579</v>
      </c>
      <c r="AJ171" s="12">
        <v>31</v>
      </c>
      <c r="AK171" s="17">
        <f t="shared" si="139"/>
        <v>0.72093023255813948</v>
      </c>
      <c r="AL171" s="12">
        <v>11</v>
      </c>
      <c r="AM171" s="17">
        <f t="shared" si="140"/>
        <v>0.2558139534883721</v>
      </c>
      <c r="AN171" s="12">
        <v>3</v>
      </c>
      <c r="AO171" s="17">
        <f t="shared" si="141"/>
        <v>6.9767441860465115E-2</v>
      </c>
      <c r="AP171" s="12">
        <v>24</v>
      </c>
      <c r="AQ171" s="17">
        <f t="shared" si="142"/>
        <v>0.55813953488372092</v>
      </c>
      <c r="AR171" s="12">
        <v>35</v>
      </c>
      <c r="AS171" s="17">
        <f t="shared" si="143"/>
        <v>0.81395348837209303</v>
      </c>
      <c r="AT171" s="13">
        <v>-0.15394622842408462</v>
      </c>
      <c r="AU171" s="13">
        <v>-1.8719711618675743E-2</v>
      </c>
      <c r="AV171" s="13">
        <v>-0.22286549542877596</v>
      </c>
      <c r="AW171" s="13">
        <v>6.8919267004691323E-2</v>
      </c>
      <c r="AX171" s="13">
        <v>91.467430939630319</v>
      </c>
      <c r="AY171" s="13">
        <v>112.43920386259363</v>
      </c>
      <c r="AZ171" s="13">
        <v>4.3785837656103661</v>
      </c>
      <c r="BA171" s="13">
        <v>2.0232558139534884</v>
      </c>
      <c r="BB171" s="13">
        <v>10.579115367077064</v>
      </c>
      <c r="BC171" s="14">
        <v>0.48342541436464087</v>
      </c>
      <c r="BD171" s="14">
        <v>0.45698924731182794</v>
      </c>
      <c r="BE171" s="13">
        <v>14.638505060186487</v>
      </c>
      <c r="BF171" s="14">
        <v>0.36559139784946237</v>
      </c>
      <c r="BG171" s="14">
        <v>0.20430107526881722</v>
      </c>
      <c r="BH171" s="13">
        <v>2.2226389670285398</v>
      </c>
      <c r="BI171" s="13">
        <v>5.834427288449918</v>
      </c>
      <c r="BJ171" s="13">
        <v>3.7635638353959933</v>
      </c>
      <c r="BK171" s="13">
        <v>11.73464559477619</v>
      </c>
      <c r="BL171" s="13">
        <v>1.8842379395634445</v>
      </c>
      <c r="BM171" s="13">
        <v>0.80566381663091535</v>
      </c>
      <c r="BN171" s="13">
        <v>19.144862795149969</v>
      </c>
      <c r="BO171" s="15" t="s">
        <v>187</v>
      </c>
      <c r="BP171" s="15">
        <v>130000</v>
      </c>
      <c r="BQ171" s="12" t="s">
        <v>271</v>
      </c>
      <c r="BR171" s="26">
        <v>183.37</v>
      </c>
      <c r="BS171" s="27">
        <v>276.67</v>
      </c>
      <c r="BT171" s="27">
        <v>93.3</v>
      </c>
      <c r="BU171" s="26">
        <f t="shared" si="118"/>
        <v>4.264418604651163</v>
      </c>
      <c r="BV171" s="26">
        <f t="shared" si="119"/>
        <v>6.4341860465116278</v>
      </c>
      <c r="BW171" s="26">
        <f t="shared" si="119"/>
        <v>2.1697674418604649</v>
      </c>
      <c r="BX171" s="31">
        <f t="shared" si="120"/>
        <v>22.314572558564038</v>
      </c>
      <c r="BY171" s="31">
        <f t="shared" si="121"/>
        <v>33.668390629753574</v>
      </c>
      <c r="BZ171" s="31">
        <f t="shared" si="122"/>
        <v>11.353818071189535</v>
      </c>
      <c r="CA171" s="35">
        <v>25</v>
      </c>
      <c r="CB171" s="35">
        <v>18</v>
      </c>
    </row>
    <row r="172" spans="1:80" x14ac:dyDescent="0.4">
      <c r="A172" s="12" t="s">
        <v>191</v>
      </c>
      <c r="B172" s="12" t="s">
        <v>181</v>
      </c>
      <c r="C172" s="4" t="s">
        <v>139</v>
      </c>
      <c r="D172" s="5">
        <v>38</v>
      </c>
      <c r="E172" s="22">
        <v>25</v>
      </c>
      <c r="F172" s="22">
        <v>50</v>
      </c>
      <c r="G172" s="10">
        <v>58884</v>
      </c>
      <c r="H172" s="5">
        <v>361</v>
      </c>
      <c r="I172" s="17">
        <f t="shared" si="123"/>
        <v>9.5</v>
      </c>
      <c r="J172" s="7">
        <v>133</v>
      </c>
      <c r="K172" s="7">
        <v>294</v>
      </c>
      <c r="L172" s="17">
        <f t="shared" si="124"/>
        <v>3.5</v>
      </c>
      <c r="M172" s="17">
        <f t="shared" si="125"/>
        <v>7.7368421052631575</v>
      </c>
      <c r="N172" s="33">
        <f t="shared" si="126"/>
        <v>0.45238095238095238</v>
      </c>
      <c r="O172" s="12">
        <v>93</v>
      </c>
      <c r="P172" s="12">
        <v>171</v>
      </c>
      <c r="Q172" s="17">
        <f t="shared" si="127"/>
        <v>2.4473684210526314</v>
      </c>
      <c r="R172" s="17">
        <f t="shared" si="128"/>
        <v>4.5</v>
      </c>
      <c r="S172" s="33">
        <f t="shared" si="129"/>
        <v>0.54385964912280704</v>
      </c>
      <c r="T172" s="12">
        <v>40</v>
      </c>
      <c r="U172" s="12">
        <v>123</v>
      </c>
      <c r="V172" s="17">
        <f t="shared" si="130"/>
        <v>1.0526315789473684</v>
      </c>
      <c r="W172" s="17">
        <f t="shared" si="131"/>
        <v>3.236842105263158</v>
      </c>
      <c r="X172" s="33">
        <f t="shared" si="132"/>
        <v>0.32520325203252032</v>
      </c>
      <c r="Y172" s="12">
        <v>55</v>
      </c>
      <c r="Z172" s="12">
        <v>89</v>
      </c>
      <c r="AA172" s="17">
        <f t="shared" si="133"/>
        <v>1.4473684210526316</v>
      </c>
      <c r="AB172" s="17">
        <f t="shared" si="134"/>
        <v>2.3421052631578947</v>
      </c>
      <c r="AC172" s="33">
        <f t="shared" si="135"/>
        <v>0.6179775280898876</v>
      </c>
      <c r="AD172" s="12">
        <v>208</v>
      </c>
      <c r="AE172" s="17">
        <f t="shared" si="136"/>
        <v>5.4736842105263159</v>
      </c>
      <c r="AF172" s="12">
        <v>69</v>
      </c>
      <c r="AG172" s="17">
        <f t="shared" si="137"/>
        <v>1.8157894736842106</v>
      </c>
      <c r="AH172" s="12">
        <v>139</v>
      </c>
      <c r="AI172" s="17">
        <f t="shared" si="138"/>
        <v>3.6578947368421053</v>
      </c>
      <c r="AJ172" s="12">
        <v>83</v>
      </c>
      <c r="AK172" s="17">
        <f t="shared" si="139"/>
        <v>2.1842105263157894</v>
      </c>
      <c r="AL172" s="12">
        <v>24</v>
      </c>
      <c r="AM172" s="17">
        <f t="shared" si="140"/>
        <v>0.63157894736842102</v>
      </c>
      <c r="AN172" s="12">
        <v>36</v>
      </c>
      <c r="AO172" s="17">
        <f t="shared" si="141"/>
        <v>0.94736842105263153</v>
      </c>
      <c r="AP172" s="12">
        <v>45</v>
      </c>
      <c r="AQ172" s="17">
        <f t="shared" si="142"/>
        <v>1.1842105263157894</v>
      </c>
      <c r="AR172" s="12">
        <v>100</v>
      </c>
      <c r="AS172" s="17">
        <f t="shared" si="143"/>
        <v>2.6315789473684212</v>
      </c>
      <c r="AT172" s="13">
        <v>2.2861079077037827</v>
      </c>
      <c r="AU172" s="13">
        <v>9.3152104897947008E-2</v>
      </c>
      <c r="AV172" s="13">
        <v>1.6205073374125674</v>
      </c>
      <c r="AW172" s="13">
        <v>0.66560057029121511</v>
      </c>
      <c r="AX172" s="13">
        <v>110.79443685643744</v>
      </c>
      <c r="AY172" s="13">
        <v>108.80126164905289</v>
      </c>
      <c r="AZ172" s="13">
        <v>8.80396899786302</v>
      </c>
      <c r="BA172" s="13">
        <v>12.421052631578947</v>
      </c>
      <c r="BB172" s="13">
        <v>19.232597623089983</v>
      </c>
      <c r="BC172" s="14">
        <v>0.54178172649777878</v>
      </c>
      <c r="BD172" s="14">
        <v>0.52040816326530615</v>
      </c>
      <c r="BE172" s="13">
        <v>13.076584375136878</v>
      </c>
      <c r="BF172" s="14">
        <v>0.41836734693877553</v>
      </c>
      <c r="BG172" s="14">
        <v>0.30272108843537415</v>
      </c>
      <c r="BH172" s="13">
        <v>5.6768708649000725</v>
      </c>
      <c r="BI172" s="13">
        <v>11.436015220595797</v>
      </c>
      <c r="BJ172" s="13">
        <v>7.993658876372109</v>
      </c>
      <c r="BK172" s="13">
        <v>9.352990891163488</v>
      </c>
      <c r="BL172" s="13">
        <v>1.3775905249512714</v>
      </c>
      <c r="BM172" s="13">
        <v>2.8629653561310207</v>
      </c>
      <c r="BN172" s="13">
        <v>11.8997249841337</v>
      </c>
      <c r="BO172" s="15" t="s">
        <v>187</v>
      </c>
      <c r="BP172" s="15">
        <v>200000</v>
      </c>
      <c r="BQ172" s="12" t="s">
        <v>273</v>
      </c>
      <c r="BR172" s="26">
        <v>790.45</v>
      </c>
      <c r="BS172" s="27">
        <v>1037.8499999999999</v>
      </c>
      <c r="BT172" s="27">
        <v>247.4</v>
      </c>
      <c r="BU172" s="26">
        <f t="shared" si="118"/>
        <v>20.801315789473684</v>
      </c>
      <c r="BV172" s="26">
        <f t="shared" si="119"/>
        <v>27.311842105263157</v>
      </c>
      <c r="BW172" s="26">
        <f t="shared" si="119"/>
        <v>6.5105263157894742</v>
      </c>
      <c r="BX172" s="31">
        <f t="shared" si="120"/>
        <v>32.217240676584474</v>
      </c>
      <c r="BY172" s="31">
        <f t="shared" si="121"/>
        <v>42.300794782963116</v>
      </c>
      <c r="BZ172" s="31">
        <f t="shared" si="122"/>
        <v>10.083554106378642</v>
      </c>
      <c r="CA172" s="35">
        <v>24</v>
      </c>
      <c r="CB172" s="35">
        <v>14</v>
      </c>
    </row>
    <row r="173" spans="1:80" x14ac:dyDescent="0.4">
      <c r="A173" s="12" t="s">
        <v>191</v>
      </c>
      <c r="B173" s="12" t="s">
        <v>181</v>
      </c>
      <c r="C173" s="4" t="s">
        <v>141</v>
      </c>
      <c r="D173" s="22">
        <v>26</v>
      </c>
      <c r="E173" s="22">
        <v>16</v>
      </c>
      <c r="F173" s="22">
        <v>41</v>
      </c>
      <c r="G173" s="10">
        <v>26033</v>
      </c>
      <c r="H173" s="5">
        <v>123</v>
      </c>
      <c r="I173" s="17">
        <f t="shared" si="123"/>
        <v>4.7307692307692308</v>
      </c>
      <c r="J173" s="7">
        <v>43</v>
      </c>
      <c r="K173" s="7">
        <v>85</v>
      </c>
      <c r="L173" s="17">
        <f t="shared" si="124"/>
        <v>1.6538461538461537</v>
      </c>
      <c r="M173" s="17">
        <f t="shared" si="125"/>
        <v>3.2692307692307692</v>
      </c>
      <c r="N173" s="33">
        <f t="shared" si="126"/>
        <v>0.50588235294117645</v>
      </c>
      <c r="O173" s="12">
        <v>16</v>
      </c>
      <c r="P173" s="12">
        <v>28</v>
      </c>
      <c r="Q173" s="17">
        <f t="shared" si="127"/>
        <v>0.61538461538461542</v>
      </c>
      <c r="R173" s="17">
        <f t="shared" si="128"/>
        <v>1.0769230769230769</v>
      </c>
      <c r="S173" s="33">
        <f t="shared" si="129"/>
        <v>0.5714285714285714</v>
      </c>
      <c r="T173" s="12">
        <v>27</v>
      </c>
      <c r="U173" s="12">
        <v>57</v>
      </c>
      <c r="V173" s="17">
        <f t="shared" si="130"/>
        <v>1.0384615384615385</v>
      </c>
      <c r="W173" s="17">
        <f t="shared" si="131"/>
        <v>2.1923076923076925</v>
      </c>
      <c r="X173" s="33">
        <f t="shared" si="132"/>
        <v>0.47368421052631576</v>
      </c>
      <c r="Y173" s="12">
        <v>10</v>
      </c>
      <c r="Z173" s="12">
        <v>14</v>
      </c>
      <c r="AA173" s="17">
        <f t="shared" si="133"/>
        <v>0.38461538461538464</v>
      </c>
      <c r="AB173" s="17">
        <f t="shared" si="134"/>
        <v>0.53846153846153844</v>
      </c>
      <c r="AC173" s="33">
        <f t="shared" si="135"/>
        <v>0.7142857142857143</v>
      </c>
      <c r="AD173" s="12">
        <v>26</v>
      </c>
      <c r="AE173" s="17">
        <f t="shared" si="136"/>
        <v>1</v>
      </c>
      <c r="AF173" s="12">
        <v>8</v>
      </c>
      <c r="AG173" s="17">
        <f t="shared" si="137"/>
        <v>0.30769230769230771</v>
      </c>
      <c r="AH173" s="12">
        <v>18</v>
      </c>
      <c r="AI173" s="17">
        <f t="shared" si="138"/>
        <v>0.69230769230769229</v>
      </c>
      <c r="AJ173" s="12">
        <v>29</v>
      </c>
      <c r="AK173" s="17">
        <f t="shared" si="139"/>
        <v>1.1153846153846154</v>
      </c>
      <c r="AL173" s="12">
        <v>10</v>
      </c>
      <c r="AM173" s="17">
        <f t="shared" si="140"/>
        <v>0.38461538461538464</v>
      </c>
      <c r="AN173" s="12">
        <v>0</v>
      </c>
      <c r="AO173" s="17">
        <f t="shared" si="141"/>
        <v>0</v>
      </c>
      <c r="AP173" s="12">
        <v>14</v>
      </c>
      <c r="AQ173" s="17">
        <f t="shared" si="142"/>
        <v>0.53846153846153844</v>
      </c>
      <c r="AR173" s="12">
        <v>34</v>
      </c>
      <c r="AS173" s="17">
        <f t="shared" si="143"/>
        <v>1.3076923076923077</v>
      </c>
      <c r="AT173" s="13">
        <v>0.80401953719692121</v>
      </c>
      <c r="AU173" s="13">
        <v>7.4143045003942629E-2</v>
      </c>
      <c r="AV173" s="13">
        <v>0.86952986648716224</v>
      </c>
      <c r="AW173" s="13">
        <v>-6.5510329290241032E-2</v>
      </c>
      <c r="AX173" s="13">
        <v>124.48483599770199</v>
      </c>
      <c r="AY173" s="13">
        <v>115.23871501889948</v>
      </c>
      <c r="AZ173" s="13">
        <v>4.1253174417843876</v>
      </c>
      <c r="BA173" s="13">
        <v>4.9230769230769234</v>
      </c>
      <c r="BB173" s="13">
        <v>11.803581034350266</v>
      </c>
      <c r="BC173" s="14">
        <v>0.67463799912242217</v>
      </c>
      <c r="BD173" s="14">
        <v>0.66470588235294115</v>
      </c>
      <c r="BE173" s="13">
        <v>5.6307588645186017</v>
      </c>
      <c r="BF173" s="14">
        <v>0.6705882352941176</v>
      </c>
      <c r="BG173" s="14">
        <v>0.16470588235294117</v>
      </c>
      <c r="BH173" s="13">
        <v>1.0191721137523475</v>
      </c>
      <c r="BI173" s="13">
        <v>2.2931372559427818</v>
      </c>
      <c r="BJ173" s="13">
        <v>1.5472241831139821</v>
      </c>
      <c r="BK173" s="13">
        <v>4.7078558963189439</v>
      </c>
      <c r="BL173" s="13">
        <v>1.2990228028322619</v>
      </c>
      <c r="BM173" s="13">
        <v>0</v>
      </c>
      <c r="BN173" s="13">
        <v>13.313046785850133</v>
      </c>
      <c r="BO173" s="15" t="s">
        <v>187</v>
      </c>
      <c r="BP173" s="15"/>
      <c r="BQ173" s="12" t="s">
        <v>271</v>
      </c>
      <c r="BR173" s="26">
        <v>254.77</v>
      </c>
      <c r="BS173" s="27">
        <v>317.97000000000003</v>
      </c>
      <c r="BT173" s="27">
        <v>63.2</v>
      </c>
      <c r="BU173" s="26">
        <f t="shared" si="118"/>
        <v>9.7988461538461546</v>
      </c>
      <c r="BV173" s="26">
        <f t="shared" si="119"/>
        <v>12.229615384615386</v>
      </c>
      <c r="BW173" s="26">
        <f t="shared" si="119"/>
        <v>2.430769230769231</v>
      </c>
      <c r="BX173" s="31">
        <f t="shared" si="120"/>
        <v>23.487419813313878</v>
      </c>
      <c r="BY173" s="31">
        <f t="shared" si="121"/>
        <v>29.313870856220955</v>
      </c>
      <c r="BZ173" s="31">
        <f t="shared" si="122"/>
        <v>5.8264510429070793</v>
      </c>
      <c r="CA173" s="34">
        <v>13</v>
      </c>
      <c r="CB173" s="34">
        <v>13</v>
      </c>
    </row>
    <row r="174" spans="1:80" x14ac:dyDescent="0.4">
      <c r="A174" s="12" t="s">
        <v>191</v>
      </c>
      <c r="B174" s="12" t="s">
        <v>181</v>
      </c>
      <c r="C174" s="4" t="s">
        <v>103</v>
      </c>
      <c r="D174" s="22">
        <v>1</v>
      </c>
      <c r="E174" s="22">
        <v>0</v>
      </c>
      <c r="F174" s="22">
        <v>47</v>
      </c>
      <c r="G174" s="10">
        <v>47</v>
      </c>
      <c r="H174" s="5">
        <v>0</v>
      </c>
      <c r="I174" s="17">
        <f t="shared" si="123"/>
        <v>0</v>
      </c>
      <c r="J174" s="7">
        <v>0</v>
      </c>
      <c r="K174" s="7">
        <v>0</v>
      </c>
      <c r="L174" s="17">
        <f t="shared" si="124"/>
        <v>0</v>
      </c>
      <c r="M174" s="17">
        <f t="shared" si="125"/>
        <v>0</v>
      </c>
      <c r="N174" s="33" t="e">
        <f t="shared" si="126"/>
        <v>#DIV/0!</v>
      </c>
      <c r="O174" s="12">
        <v>0</v>
      </c>
      <c r="P174" s="12">
        <v>0</v>
      </c>
      <c r="Q174" s="17">
        <f t="shared" si="127"/>
        <v>0</v>
      </c>
      <c r="R174" s="17">
        <f t="shared" si="128"/>
        <v>0</v>
      </c>
      <c r="S174" s="33" t="e">
        <f t="shared" si="129"/>
        <v>#DIV/0!</v>
      </c>
      <c r="T174" s="12">
        <v>0</v>
      </c>
      <c r="U174" s="12">
        <v>0</v>
      </c>
      <c r="V174" s="17">
        <f t="shared" si="130"/>
        <v>0</v>
      </c>
      <c r="W174" s="17">
        <f t="shared" si="131"/>
        <v>0</v>
      </c>
      <c r="X174" s="33" t="e">
        <f t="shared" si="132"/>
        <v>#DIV/0!</v>
      </c>
      <c r="Y174" s="12">
        <v>0</v>
      </c>
      <c r="Z174" s="12">
        <v>0</v>
      </c>
      <c r="AA174" s="17">
        <f t="shared" si="133"/>
        <v>0</v>
      </c>
      <c r="AB174" s="17">
        <f t="shared" si="134"/>
        <v>0</v>
      </c>
      <c r="AC174" s="33" t="e">
        <f t="shared" si="135"/>
        <v>#DIV/0!</v>
      </c>
      <c r="AD174" s="12">
        <v>0</v>
      </c>
      <c r="AE174" s="17">
        <f t="shared" si="136"/>
        <v>0</v>
      </c>
      <c r="AF174" s="12">
        <v>0</v>
      </c>
      <c r="AG174" s="17">
        <f t="shared" si="137"/>
        <v>0</v>
      </c>
      <c r="AH174" s="12">
        <v>0</v>
      </c>
      <c r="AI174" s="17">
        <f t="shared" si="138"/>
        <v>0</v>
      </c>
      <c r="AJ174" s="12">
        <v>0</v>
      </c>
      <c r="AK174" s="17">
        <f t="shared" si="139"/>
        <v>0</v>
      </c>
      <c r="AL174" s="12">
        <v>0</v>
      </c>
      <c r="AM174" s="17">
        <f t="shared" si="140"/>
        <v>0</v>
      </c>
      <c r="AN174" s="12">
        <v>0</v>
      </c>
      <c r="AO174" s="17">
        <f t="shared" si="141"/>
        <v>0</v>
      </c>
      <c r="AP174" s="12">
        <v>0</v>
      </c>
      <c r="AQ174" s="17">
        <f t="shared" si="142"/>
        <v>0</v>
      </c>
      <c r="AR174" s="12">
        <v>2</v>
      </c>
      <c r="AS174" s="17">
        <f t="shared" si="143"/>
        <v>2</v>
      </c>
      <c r="AT174" s="13">
        <v>2.0997418862530744E-4</v>
      </c>
      <c r="AU174" s="13">
        <v>1.0722086227675273E-2</v>
      </c>
      <c r="AV174" s="13">
        <v>0</v>
      </c>
      <c r="AW174" s="13">
        <v>2.0997418862530744E-4</v>
      </c>
      <c r="AX174" s="13">
        <v>0</v>
      </c>
      <c r="AY174" s="13">
        <v>111.9846592478216</v>
      </c>
      <c r="AZ174" s="13">
        <v>-1.2455062703663375</v>
      </c>
      <c r="BA174" s="13">
        <v>0</v>
      </c>
      <c r="BB174" s="13">
        <v>0</v>
      </c>
      <c r="BC174" s="14"/>
      <c r="BD174" s="14"/>
      <c r="BE174" s="13">
        <v>0</v>
      </c>
      <c r="BF174" s="14"/>
      <c r="BG174" s="14"/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/>
      <c r="BO174" s="15" t="s">
        <v>187</v>
      </c>
      <c r="BP174" s="15">
        <v>50000</v>
      </c>
      <c r="BQ174" s="12" t="s">
        <v>273</v>
      </c>
      <c r="BR174" s="26">
        <v>0.2</v>
      </c>
      <c r="BS174" s="27">
        <v>0.2</v>
      </c>
      <c r="BT174" s="27">
        <v>0</v>
      </c>
      <c r="BU174" s="26">
        <f t="shared" si="118"/>
        <v>0.2</v>
      </c>
      <c r="BV174" s="26">
        <f t="shared" si="119"/>
        <v>0.2</v>
      </c>
      <c r="BW174" s="26">
        <f t="shared" si="119"/>
        <v>0</v>
      </c>
      <c r="BX174" s="31">
        <f t="shared" si="120"/>
        <v>10.212765957446809</v>
      </c>
      <c r="BY174" s="31">
        <f t="shared" si="121"/>
        <v>10.212765957446809</v>
      </c>
      <c r="BZ174" s="31">
        <f t="shared" si="122"/>
        <v>0</v>
      </c>
      <c r="CA174" s="35">
        <v>1</v>
      </c>
      <c r="CB174" s="35">
        <v>0</v>
      </c>
    </row>
    <row r="175" spans="1:80" x14ac:dyDescent="0.4">
      <c r="A175" s="12" t="s">
        <v>191</v>
      </c>
      <c r="B175" s="12" t="s">
        <v>181</v>
      </c>
      <c r="C175" s="12" t="s">
        <v>192</v>
      </c>
      <c r="D175" s="11">
        <v>53</v>
      </c>
      <c r="E175" s="11">
        <v>29</v>
      </c>
      <c r="F175" s="11">
        <v>30</v>
      </c>
      <c r="G175" s="10">
        <v>93829</v>
      </c>
      <c r="H175" s="7">
        <v>1156</v>
      </c>
      <c r="I175" s="17">
        <f t="shared" si="123"/>
        <v>21.811320754716981</v>
      </c>
      <c r="J175" s="7">
        <v>419</v>
      </c>
      <c r="K175" s="7">
        <v>902</v>
      </c>
      <c r="L175" s="17">
        <f t="shared" si="124"/>
        <v>7.9056603773584904</v>
      </c>
      <c r="M175" s="17">
        <f t="shared" si="125"/>
        <v>17.018867924528301</v>
      </c>
      <c r="N175" s="33">
        <f t="shared" si="126"/>
        <v>0.46452328159645234</v>
      </c>
      <c r="O175" s="5">
        <v>333</v>
      </c>
      <c r="P175" s="7">
        <v>622</v>
      </c>
      <c r="Q175" s="17">
        <f t="shared" si="127"/>
        <v>6.283018867924528</v>
      </c>
      <c r="R175" s="17">
        <f t="shared" si="128"/>
        <v>11.735849056603774</v>
      </c>
      <c r="S175" s="33">
        <f t="shared" si="129"/>
        <v>0.53536977491961413</v>
      </c>
      <c r="T175" s="7">
        <v>86</v>
      </c>
      <c r="U175" s="7">
        <v>280</v>
      </c>
      <c r="V175" s="17">
        <f t="shared" si="130"/>
        <v>1.6226415094339623</v>
      </c>
      <c r="W175" s="17">
        <f t="shared" si="131"/>
        <v>5.283018867924528</v>
      </c>
      <c r="X175" s="33">
        <f t="shared" si="132"/>
        <v>0.30714285714285716</v>
      </c>
      <c r="Y175" s="5">
        <v>232</v>
      </c>
      <c r="Z175" s="5">
        <v>298</v>
      </c>
      <c r="AA175" s="17">
        <f t="shared" si="133"/>
        <v>4.3773584905660377</v>
      </c>
      <c r="AB175" s="17">
        <f t="shared" si="134"/>
        <v>5.6226415094339623</v>
      </c>
      <c r="AC175" s="33">
        <f t="shared" si="135"/>
        <v>0.77852348993288589</v>
      </c>
      <c r="AD175" s="12">
        <v>487</v>
      </c>
      <c r="AE175" s="17">
        <f t="shared" si="136"/>
        <v>9.1886792452830193</v>
      </c>
      <c r="AF175" s="12">
        <v>96</v>
      </c>
      <c r="AG175" s="17">
        <f t="shared" si="137"/>
        <v>1.8113207547169812</v>
      </c>
      <c r="AH175" s="7">
        <v>391</v>
      </c>
      <c r="AI175" s="17">
        <f t="shared" si="138"/>
        <v>7.3773584905660377</v>
      </c>
      <c r="AJ175" s="7">
        <v>129</v>
      </c>
      <c r="AK175" s="17">
        <f t="shared" si="139"/>
        <v>2.4339622641509435</v>
      </c>
      <c r="AL175" s="7">
        <v>34</v>
      </c>
      <c r="AM175" s="17">
        <f t="shared" si="140"/>
        <v>0.64150943396226412</v>
      </c>
      <c r="AN175" s="7">
        <v>39</v>
      </c>
      <c r="AO175" s="17">
        <f t="shared" si="141"/>
        <v>0.73584905660377353</v>
      </c>
      <c r="AP175" s="7">
        <v>130</v>
      </c>
      <c r="AQ175" s="17">
        <f t="shared" si="142"/>
        <v>2.4528301886792452</v>
      </c>
      <c r="AR175" s="7">
        <v>102</v>
      </c>
      <c r="AS175" s="17">
        <f t="shared" si="143"/>
        <v>1.9245283018867925</v>
      </c>
      <c r="AT175" s="13">
        <v>5.5715809823903006</v>
      </c>
      <c r="AU175" s="13">
        <v>0.14254124675127089</v>
      </c>
      <c r="AV175" s="13">
        <v>3.8226734161438567</v>
      </c>
      <c r="AW175" s="13">
        <v>1.7489075662464439</v>
      </c>
      <c r="AX175" s="13">
        <v>108.34282879311507</v>
      </c>
      <c r="AY175" s="13">
        <v>105.38045721692548</v>
      </c>
      <c r="AZ175" s="13">
        <v>20.590240982537246</v>
      </c>
      <c r="BA175" s="13">
        <v>22</v>
      </c>
      <c r="BB175" s="13">
        <v>29.83050847457627</v>
      </c>
      <c r="BC175" s="14">
        <v>0.55947034226420944</v>
      </c>
      <c r="BD175" s="14">
        <v>0.51219512195121952</v>
      </c>
      <c r="BE175" s="13">
        <v>35.22100033067381</v>
      </c>
      <c r="BF175" s="14">
        <v>0.31042128603104213</v>
      </c>
      <c r="BG175" s="14">
        <v>0.3303769401330377</v>
      </c>
      <c r="BH175" s="13">
        <v>6.9165510906176255</v>
      </c>
      <c r="BI175" s="13">
        <v>28.17053621282804</v>
      </c>
      <c r="BJ175" s="13">
        <v>16.389649616551189</v>
      </c>
      <c r="BK175" s="13">
        <v>17.286432160804019</v>
      </c>
      <c r="BL175" s="13">
        <v>1.2253325806006006</v>
      </c>
      <c r="BM175" s="13">
        <v>2.7160429343710013</v>
      </c>
      <c r="BN175" s="13">
        <v>11.176834720407182</v>
      </c>
      <c r="BO175" s="15" t="s">
        <v>189</v>
      </c>
      <c r="BP175" s="15">
        <v>220000</v>
      </c>
      <c r="BQ175" s="12" t="s">
        <v>273</v>
      </c>
      <c r="BR175" s="26">
        <v>1643.05</v>
      </c>
      <c r="BS175" s="27">
        <v>2354.4499999999998</v>
      </c>
      <c r="BT175" s="27">
        <v>711.4</v>
      </c>
      <c r="BU175" s="26">
        <f t="shared" si="118"/>
        <v>31.000943396226415</v>
      </c>
      <c r="BV175" s="26">
        <f t="shared" si="119"/>
        <v>44.423584905660377</v>
      </c>
      <c r="BW175" s="26">
        <f t="shared" si="119"/>
        <v>13.422641509433962</v>
      </c>
      <c r="BX175" s="31">
        <f t="shared" si="120"/>
        <v>42.026665529846852</v>
      </c>
      <c r="BY175" s="31">
        <f t="shared" si="121"/>
        <v>60.22317194044485</v>
      </c>
      <c r="BZ175" s="31">
        <f t="shared" si="122"/>
        <v>18.196506410598001</v>
      </c>
      <c r="CA175" s="34">
        <v>32</v>
      </c>
      <c r="CB175" s="34">
        <v>21</v>
      </c>
    </row>
    <row r="176" spans="1:80" x14ac:dyDescent="0.4">
      <c r="A176" s="12" t="s">
        <v>191</v>
      </c>
      <c r="B176" s="12" t="s">
        <v>184</v>
      </c>
      <c r="C176" s="4" t="s">
        <v>243</v>
      </c>
      <c r="D176" s="5">
        <v>3</v>
      </c>
      <c r="E176" s="22">
        <v>3</v>
      </c>
      <c r="F176" s="22">
        <v>20</v>
      </c>
      <c r="G176" s="10">
        <v>600</v>
      </c>
      <c r="H176" s="5">
        <v>5</v>
      </c>
      <c r="I176" s="17">
        <f t="shared" si="123"/>
        <v>1.6666666666666667</v>
      </c>
      <c r="J176" s="7">
        <v>2</v>
      </c>
      <c r="K176" s="7">
        <v>3</v>
      </c>
      <c r="L176" s="17">
        <f t="shared" si="124"/>
        <v>0.66666666666666663</v>
      </c>
      <c r="M176" s="17">
        <f t="shared" si="125"/>
        <v>1</v>
      </c>
      <c r="N176" s="33">
        <f t="shared" si="126"/>
        <v>0.66666666666666663</v>
      </c>
      <c r="O176" s="12">
        <v>1</v>
      </c>
      <c r="P176" s="12">
        <v>1</v>
      </c>
      <c r="Q176" s="17">
        <f t="shared" si="127"/>
        <v>0.33333333333333331</v>
      </c>
      <c r="R176" s="17">
        <f t="shared" si="128"/>
        <v>0.33333333333333331</v>
      </c>
      <c r="S176" s="33">
        <f t="shared" si="129"/>
        <v>1</v>
      </c>
      <c r="T176" s="12">
        <v>1</v>
      </c>
      <c r="U176" s="12">
        <v>2</v>
      </c>
      <c r="V176" s="17">
        <f t="shared" si="130"/>
        <v>0.33333333333333331</v>
      </c>
      <c r="W176" s="17">
        <f t="shared" si="131"/>
        <v>0.66666666666666663</v>
      </c>
      <c r="X176" s="33">
        <f t="shared" si="132"/>
        <v>0.5</v>
      </c>
      <c r="Y176" s="12">
        <v>0</v>
      </c>
      <c r="Z176" s="12">
        <v>0</v>
      </c>
      <c r="AA176" s="17">
        <f t="shared" si="133"/>
        <v>0</v>
      </c>
      <c r="AB176" s="17">
        <f t="shared" si="134"/>
        <v>0</v>
      </c>
      <c r="AC176" s="33" t="e">
        <f t="shared" si="135"/>
        <v>#DIV/0!</v>
      </c>
      <c r="AD176" s="12">
        <v>0</v>
      </c>
      <c r="AE176" s="17">
        <f t="shared" si="136"/>
        <v>0</v>
      </c>
      <c r="AF176" s="12">
        <v>0</v>
      </c>
      <c r="AG176" s="17">
        <f t="shared" si="137"/>
        <v>0</v>
      </c>
      <c r="AH176" s="12">
        <v>0</v>
      </c>
      <c r="AI176" s="17">
        <f t="shared" si="138"/>
        <v>0</v>
      </c>
      <c r="AJ176" s="12">
        <v>1</v>
      </c>
      <c r="AK176" s="17">
        <f t="shared" si="139"/>
        <v>0.33333333333333331</v>
      </c>
      <c r="AL176" s="12">
        <v>0</v>
      </c>
      <c r="AM176" s="17">
        <f t="shared" si="140"/>
        <v>0</v>
      </c>
      <c r="AN176" s="12">
        <v>0</v>
      </c>
      <c r="AO176" s="17">
        <f t="shared" si="141"/>
        <v>0</v>
      </c>
      <c r="AP176" s="12">
        <v>3</v>
      </c>
      <c r="AQ176" s="17">
        <f t="shared" si="142"/>
        <v>1</v>
      </c>
      <c r="AR176" s="12">
        <v>3</v>
      </c>
      <c r="AS176" s="17">
        <f t="shared" si="143"/>
        <v>1</v>
      </c>
      <c r="AT176" s="13">
        <v>-3.6248274694844144E-2</v>
      </c>
      <c r="AU176" s="13">
        <v>-0.14499309877937658</v>
      </c>
      <c r="AV176" s="13">
        <v>4.1075674859092064E-3</v>
      </c>
      <c r="AW176" s="13">
        <v>5.8734069244036069E-3</v>
      </c>
      <c r="AX176" s="13">
        <v>72.31361746388815</v>
      </c>
      <c r="AY176" s="13">
        <v>110.34488186808007</v>
      </c>
      <c r="AZ176" s="13">
        <v>-0.16167438552312821</v>
      </c>
      <c r="BA176" s="13">
        <v>0.66666666666666663</v>
      </c>
      <c r="BB176" s="13">
        <v>8</v>
      </c>
      <c r="BC176" s="14">
        <v>0.83333333333333337</v>
      </c>
      <c r="BD176" s="14">
        <v>0.83333333333333337</v>
      </c>
      <c r="BE176" s="13">
        <v>1.6079468305581361</v>
      </c>
      <c r="BF176" s="14">
        <v>0.66666666666666663</v>
      </c>
      <c r="BG176" s="14">
        <v>0</v>
      </c>
      <c r="BH176" s="13">
        <v>0</v>
      </c>
      <c r="BI176" s="13">
        <v>0</v>
      </c>
      <c r="BJ176" s="13">
        <v>0</v>
      </c>
      <c r="BK176" s="13">
        <v>0.77120822622107976</v>
      </c>
      <c r="BL176" s="13">
        <v>0</v>
      </c>
      <c r="BM176" s="13">
        <v>0</v>
      </c>
      <c r="BN176" s="13">
        <v>50</v>
      </c>
      <c r="BO176" s="15" t="s">
        <v>187</v>
      </c>
      <c r="BP176" s="15">
        <v>119772</v>
      </c>
      <c r="BQ176" s="12" t="s">
        <v>271</v>
      </c>
      <c r="BR176" s="26">
        <v>3.6</v>
      </c>
      <c r="BS176" s="27">
        <v>9</v>
      </c>
      <c r="BT176" s="27">
        <v>5.4</v>
      </c>
      <c r="BU176" s="26">
        <f t="shared" si="118"/>
        <v>1.2</v>
      </c>
      <c r="BV176" s="26">
        <f t="shared" si="119"/>
        <v>3</v>
      </c>
      <c r="BW176" s="26">
        <f t="shared" si="119"/>
        <v>1.8</v>
      </c>
      <c r="BX176" s="31">
        <f t="shared" si="120"/>
        <v>14.399999999999999</v>
      </c>
      <c r="BY176" s="31">
        <f t="shared" si="121"/>
        <v>36</v>
      </c>
      <c r="BZ176" s="31">
        <f t="shared" si="122"/>
        <v>21.6</v>
      </c>
      <c r="CA176" s="34">
        <v>2</v>
      </c>
      <c r="CB176" s="34">
        <v>1</v>
      </c>
    </row>
    <row r="177" spans="1:80" x14ac:dyDescent="0.4">
      <c r="A177" s="12" t="s">
        <v>191</v>
      </c>
      <c r="B177" s="12" t="s">
        <v>184</v>
      </c>
      <c r="C177" s="4" t="s">
        <v>248</v>
      </c>
      <c r="D177" s="5">
        <v>2</v>
      </c>
      <c r="E177" s="22">
        <v>4</v>
      </c>
      <c r="F177" s="22">
        <v>25</v>
      </c>
      <c r="G177" s="10">
        <v>529</v>
      </c>
      <c r="H177" s="5">
        <v>1</v>
      </c>
      <c r="I177" s="17">
        <f t="shared" si="123"/>
        <v>0.5</v>
      </c>
      <c r="J177" s="7">
        <v>0</v>
      </c>
      <c r="K177" s="7">
        <v>1</v>
      </c>
      <c r="L177" s="17">
        <f t="shared" si="124"/>
        <v>0</v>
      </c>
      <c r="M177" s="17">
        <f t="shared" si="125"/>
        <v>0.5</v>
      </c>
      <c r="N177" s="33">
        <f t="shared" si="126"/>
        <v>0</v>
      </c>
      <c r="O177" s="12">
        <v>0</v>
      </c>
      <c r="P177" s="12">
        <v>1</v>
      </c>
      <c r="Q177" s="17">
        <f t="shared" si="127"/>
        <v>0</v>
      </c>
      <c r="R177" s="17">
        <f t="shared" si="128"/>
        <v>0.5</v>
      </c>
      <c r="S177" s="33">
        <f t="shared" si="129"/>
        <v>0</v>
      </c>
      <c r="T177" s="12">
        <v>0</v>
      </c>
      <c r="U177" s="12">
        <v>0</v>
      </c>
      <c r="V177" s="17">
        <f t="shared" si="130"/>
        <v>0</v>
      </c>
      <c r="W177" s="17">
        <f t="shared" si="131"/>
        <v>0</v>
      </c>
      <c r="X177" s="33" t="e">
        <f t="shared" si="132"/>
        <v>#DIV/0!</v>
      </c>
      <c r="Y177" s="12">
        <v>1</v>
      </c>
      <c r="Z177" s="12">
        <v>2</v>
      </c>
      <c r="AA177" s="17">
        <f t="shared" si="133"/>
        <v>0.5</v>
      </c>
      <c r="AB177" s="17">
        <f t="shared" si="134"/>
        <v>1</v>
      </c>
      <c r="AC177" s="33">
        <f t="shared" si="135"/>
        <v>0.5</v>
      </c>
      <c r="AD177" s="12">
        <v>1</v>
      </c>
      <c r="AE177" s="17">
        <f t="shared" si="136"/>
        <v>0.5</v>
      </c>
      <c r="AF177" s="12">
        <v>1</v>
      </c>
      <c r="AG177" s="17">
        <f t="shared" si="137"/>
        <v>0.5</v>
      </c>
      <c r="AH177" s="12">
        <v>0</v>
      </c>
      <c r="AI177" s="17">
        <f t="shared" si="138"/>
        <v>0</v>
      </c>
      <c r="AJ177" s="12">
        <v>1</v>
      </c>
      <c r="AK177" s="17">
        <f t="shared" si="139"/>
        <v>0.5</v>
      </c>
      <c r="AL177" s="12">
        <v>1</v>
      </c>
      <c r="AM177" s="17">
        <f t="shared" si="140"/>
        <v>0.5</v>
      </c>
      <c r="AN177" s="12">
        <v>0</v>
      </c>
      <c r="AO177" s="17">
        <f t="shared" si="141"/>
        <v>0</v>
      </c>
      <c r="AP177" s="12">
        <v>1</v>
      </c>
      <c r="AQ177" s="17">
        <f t="shared" si="142"/>
        <v>0.5</v>
      </c>
      <c r="AR177" s="12">
        <v>2</v>
      </c>
      <c r="AS177" s="17">
        <f t="shared" si="143"/>
        <v>1</v>
      </c>
      <c r="AT177" s="13">
        <v>1.3450571613480565E-2</v>
      </c>
      <c r="AU177" s="13">
        <v>6.0908248815761047E-2</v>
      </c>
      <c r="AV177" s="13">
        <v>1.7187223695506133E-2</v>
      </c>
      <c r="AW177" s="13">
        <v>0.13635940470598421</v>
      </c>
      <c r="AX177" s="13">
        <v>91.672774819070838</v>
      </c>
      <c r="AY177" s="13">
        <v>96.439249999543733</v>
      </c>
      <c r="AZ177" s="13">
        <v>-2.2717800642487962E-2</v>
      </c>
      <c r="BA177" s="13">
        <v>0.5</v>
      </c>
      <c r="BB177" s="13">
        <v>4.5283018867924527</v>
      </c>
      <c r="BC177" s="14">
        <v>0.26595744680851063</v>
      </c>
      <c r="BD177" s="14">
        <v>0</v>
      </c>
      <c r="BE177" s="13">
        <v>0.58250149333426815</v>
      </c>
      <c r="BF177" s="14">
        <v>0</v>
      </c>
      <c r="BG177" s="14">
        <v>2</v>
      </c>
      <c r="BH177" s="13">
        <v>0.48122230465382071</v>
      </c>
      <c r="BI177" s="13">
        <v>0</v>
      </c>
      <c r="BJ177" s="13">
        <v>0.22478540018825777</v>
      </c>
      <c r="BK177" s="13">
        <v>0.57320277048005741</v>
      </c>
      <c r="BL177" s="13">
        <v>6.3789372578325381</v>
      </c>
      <c r="BM177" s="13">
        <v>0</v>
      </c>
      <c r="BN177" s="13">
        <v>34.722222222222221</v>
      </c>
      <c r="BO177" s="15" t="s">
        <v>187</v>
      </c>
      <c r="BP177" s="15">
        <v>360000</v>
      </c>
      <c r="BQ177" s="12" t="s">
        <v>271</v>
      </c>
      <c r="BR177" s="26">
        <v>3.9</v>
      </c>
      <c r="BS177" s="27">
        <v>7.2</v>
      </c>
      <c r="BT177" s="27">
        <v>3.3</v>
      </c>
      <c r="BU177" s="26">
        <f t="shared" si="118"/>
        <v>1.9500000000000002</v>
      </c>
      <c r="BV177" s="26">
        <f t="shared" si="119"/>
        <v>3.6</v>
      </c>
      <c r="BW177" s="26">
        <f t="shared" si="119"/>
        <v>1.65</v>
      </c>
      <c r="BX177" s="31">
        <f t="shared" si="120"/>
        <v>17.6937618147448</v>
      </c>
      <c r="BY177" s="31">
        <f t="shared" si="121"/>
        <v>32.665406427221171</v>
      </c>
      <c r="BZ177" s="31">
        <f t="shared" si="122"/>
        <v>14.971644612476371</v>
      </c>
      <c r="CA177" s="34">
        <v>1</v>
      </c>
      <c r="CB177" s="34">
        <v>1</v>
      </c>
    </row>
    <row r="178" spans="1:80" x14ac:dyDescent="0.4">
      <c r="A178" s="12" t="s">
        <v>191</v>
      </c>
      <c r="B178" s="12" t="s">
        <v>184</v>
      </c>
      <c r="C178" s="4" t="s">
        <v>144</v>
      </c>
      <c r="D178" s="5">
        <v>4</v>
      </c>
      <c r="E178" s="22">
        <v>3</v>
      </c>
      <c r="F178" s="22">
        <v>17</v>
      </c>
      <c r="G178" s="10">
        <v>787</v>
      </c>
      <c r="H178" s="5">
        <v>5</v>
      </c>
      <c r="I178" s="17">
        <f t="shared" si="123"/>
        <v>1.25</v>
      </c>
      <c r="J178" s="7">
        <v>2</v>
      </c>
      <c r="K178" s="7">
        <v>3</v>
      </c>
      <c r="L178" s="17">
        <f t="shared" si="124"/>
        <v>0.5</v>
      </c>
      <c r="M178" s="17">
        <f t="shared" si="125"/>
        <v>0.75</v>
      </c>
      <c r="N178" s="33">
        <f t="shared" si="126"/>
        <v>0.66666666666666663</v>
      </c>
      <c r="O178" s="12">
        <v>1</v>
      </c>
      <c r="P178" s="12">
        <v>1</v>
      </c>
      <c r="Q178" s="17">
        <f t="shared" si="127"/>
        <v>0.25</v>
      </c>
      <c r="R178" s="17">
        <f t="shared" si="128"/>
        <v>0.25</v>
      </c>
      <c r="S178" s="33">
        <f t="shared" si="129"/>
        <v>1</v>
      </c>
      <c r="T178" s="12">
        <v>1</v>
      </c>
      <c r="U178" s="12">
        <v>2</v>
      </c>
      <c r="V178" s="17">
        <f t="shared" si="130"/>
        <v>0.25</v>
      </c>
      <c r="W178" s="17">
        <f t="shared" si="131"/>
        <v>0.5</v>
      </c>
      <c r="X178" s="33">
        <f t="shared" si="132"/>
        <v>0.5</v>
      </c>
      <c r="Y178" s="12">
        <v>0</v>
      </c>
      <c r="Z178" s="12">
        <v>0</v>
      </c>
      <c r="AA178" s="17">
        <f t="shared" si="133"/>
        <v>0</v>
      </c>
      <c r="AB178" s="17">
        <f t="shared" si="134"/>
        <v>0</v>
      </c>
      <c r="AC178" s="33" t="e">
        <f t="shared" si="135"/>
        <v>#DIV/0!</v>
      </c>
      <c r="AD178" s="12">
        <v>0</v>
      </c>
      <c r="AE178" s="17">
        <f t="shared" si="136"/>
        <v>0</v>
      </c>
      <c r="AF178" s="12">
        <v>0</v>
      </c>
      <c r="AG178" s="17">
        <f t="shared" si="137"/>
        <v>0</v>
      </c>
      <c r="AH178" s="12">
        <v>0</v>
      </c>
      <c r="AI178" s="17">
        <f t="shared" si="138"/>
        <v>0</v>
      </c>
      <c r="AJ178" s="12">
        <v>0</v>
      </c>
      <c r="AK178" s="17">
        <f t="shared" si="139"/>
        <v>0</v>
      </c>
      <c r="AL178" s="12">
        <v>1</v>
      </c>
      <c r="AM178" s="17">
        <f t="shared" si="140"/>
        <v>0.25</v>
      </c>
      <c r="AN178" s="12">
        <v>0</v>
      </c>
      <c r="AO178" s="17">
        <f t="shared" si="141"/>
        <v>0</v>
      </c>
      <c r="AP178" s="12">
        <v>0</v>
      </c>
      <c r="AQ178" s="17">
        <f t="shared" si="142"/>
        <v>0</v>
      </c>
      <c r="AR178" s="12">
        <v>5</v>
      </c>
      <c r="AS178" s="17">
        <f t="shared" si="143"/>
        <v>1.25</v>
      </c>
      <c r="AT178" s="13">
        <v>-1.4727339011138957E-3</v>
      </c>
      <c r="AU178" s="13">
        <v>-4.4854839627834382E-3</v>
      </c>
      <c r="AV178" s="13">
        <v>1.9467572433556835E-2</v>
      </c>
      <c r="AW178" s="13">
        <v>0.64010386029351662</v>
      </c>
      <c r="AX178" s="13">
        <v>0</v>
      </c>
      <c r="AY178" s="13">
        <v>100.63749184038981</v>
      </c>
      <c r="AZ178" s="13">
        <v>0.40677221063023944</v>
      </c>
      <c r="BA178" s="13">
        <v>1.25</v>
      </c>
      <c r="BB178" s="13">
        <v>15.228426395939088</v>
      </c>
      <c r="BC178" s="14">
        <v>0.83333333333333337</v>
      </c>
      <c r="BD178" s="14">
        <v>0.83333333333333337</v>
      </c>
      <c r="BE178" s="13">
        <v>0.81621666525793712</v>
      </c>
      <c r="BF178" s="14">
        <v>0.66666666666666663</v>
      </c>
      <c r="BG178" s="14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4.2904019627553875</v>
      </c>
      <c r="BM178" s="13">
        <v>0</v>
      </c>
      <c r="BN178" s="13">
        <v>0</v>
      </c>
      <c r="BO178" s="15" t="s">
        <v>187</v>
      </c>
      <c r="BP178" s="15">
        <v>16866</v>
      </c>
      <c r="BQ178" s="12" t="s">
        <v>273</v>
      </c>
      <c r="BR178" s="26">
        <v>8.3800000000000008</v>
      </c>
      <c r="BS178" s="27">
        <v>9.2799999999999994</v>
      </c>
      <c r="BT178" s="27">
        <v>0.9</v>
      </c>
      <c r="BU178" s="26">
        <f t="shared" si="118"/>
        <v>2.0949999999999998</v>
      </c>
      <c r="BV178" s="26">
        <f t="shared" si="119"/>
        <v>2.3199999999999998</v>
      </c>
      <c r="BW178" s="26">
        <f t="shared" si="119"/>
        <v>0.22500000000000001</v>
      </c>
      <c r="BX178" s="31">
        <f t="shared" si="120"/>
        <v>25.555273189326556</v>
      </c>
      <c r="BY178" s="31">
        <f t="shared" si="121"/>
        <v>28.299872935196952</v>
      </c>
      <c r="BZ178" s="31">
        <f t="shared" si="122"/>
        <v>2.7445997458703939</v>
      </c>
      <c r="CA178" s="34">
        <v>4</v>
      </c>
      <c r="CB178" s="34">
        <v>0</v>
      </c>
    </row>
    <row r="179" spans="1:80" x14ac:dyDescent="0.4">
      <c r="A179" s="12" t="s">
        <v>191</v>
      </c>
      <c r="B179" s="12" t="s">
        <v>184</v>
      </c>
      <c r="C179" s="4" t="s">
        <v>208</v>
      </c>
      <c r="D179" s="5">
        <v>48</v>
      </c>
      <c r="E179" s="22">
        <v>11</v>
      </c>
      <c r="F179" s="22">
        <v>23</v>
      </c>
      <c r="G179" s="10">
        <v>32787</v>
      </c>
      <c r="H179" s="5">
        <v>275</v>
      </c>
      <c r="I179" s="17">
        <f t="shared" si="123"/>
        <v>5.729166666666667</v>
      </c>
      <c r="J179" s="7">
        <v>122</v>
      </c>
      <c r="K179" s="7">
        <v>200</v>
      </c>
      <c r="L179" s="17">
        <f t="shared" si="124"/>
        <v>2.5416666666666665</v>
      </c>
      <c r="M179" s="17">
        <f t="shared" si="125"/>
        <v>4.166666666666667</v>
      </c>
      <c r="N179" s="33">
        <f t="shared" si="126"/>
        <v>0.61</v>
      </c>
      <c r="O179" s="12">
        <v>121</v>
      </c>
      <c r="P179" s="12">
        <v>198</v>
      </c>
      <c r="Q179" s="17">
        <f t="shared" si="127"/>
        <v>2.5208333333333335</v>
      </c>
      <c r="R179" s="17">
        <f t="shared" si="128"/>
        <v>4.125</v>
      </c>
      <c r="S179" s="33">
        <f t="shared" si="129"/>
        <v>0.61111111111111116</v>
      </c>
      <c r="T179" s="12">
        <v>1</v>
      </c>
      <c r="U179" s="12">
        <v>2</v>
      </c>
      <c r="V179" s="17">
        <f t="shared" si="130"/>
        <v>2.0833333333333332E-2</v>
      </c>
      <c r="W179" s="17">
        <f t="shared" si="131"/>
        <v>4.1666666666666664E-2</v>
      </c>
      <c r="X179" s="33">
        <f t="shared" si="132"/>
        <v>0.5</v>
      </c>
      <c r="Y179" s="12">
        <v>30</v>
      </c>
      <c r="Z179" s="12">
        <v>62</v>
      </c>
      <c r="AA179" s="17">
        <f t="shared" si="133"/>
        <v>0.625</v>
      </c>
      <c r="AB179" s="17">
        <f t="shared" si="134"/>
        <v>1.2916666666666667</v>
      </c>
      <c r="AC179" s="33">
        <f t="shared" si="135"/>
        <v>0.4838709677419355</v>
      </c>
      <c r="AD179" s="12">
        <v>199</v>
      </c>
      <c r="AE179" s="17">
        <f t="shared" si="136"/>
        <v>4.145833333333333</v>
      </c>
      <c r="AF179" s="12">
        <v>55</v>
      </c>
      <c r="AG179" s="17">
        <f t="shared" si="137"/>
        <v>1.1458333333333333</v>
      </c>
      <c r="AH179" s="12">
        <v>144</v>
      </c>
      <c r="AI179" s="17">
        <f t="shared" si="138"/>
        <v>3</v>
      </c>
      <c r="AJ179" s="12">
        <v>28</v>
      </c>
      <c r="AK179" s="17">
        <f t="shared" si="139"/>
        <v>0.58333333333333337</v>
      </c>
      <c r="AL179" s="12">
        <v>9</v>
      </c>
      <c r="AM179" s="17">
        <f t="shared" si="140"/>
        <v>0.1875</v>
      </c>
      <c r="AN179" s="12">
        <v>23</v>
      </c>
      <c r="AO179" s="17">
        <f t="shared" si="141"/>
        <v>0.47916666666666669</v>
      </c>
      <c r="AP179" s="12">
        <v>59</v>
      </c>
      <c r="AQ179" s="17">
        <f t="shared" si="142"/>
        <v>1.2291666666666667</v>
      </c>
      <c r="AR179" s="12">
        <v>73</v>
      </c>
      <c r="AS179" s="17">
        <f t="shared" si="143"/>
        <v>1.5208333333333333</v>
      </c>
      <c r="AT179" s="13">
        <v>1.3064038355544874</v>
      </c>
      <c r="AU179" s="13">
        <v>9.5637176834149892E-2</v>
      </c>
      <c r="AV179" s="13">
        <v>1.0675487945002902</v>
      </c>
      <c r="AW179" s="13">
        <v>1.7965317845787898</v>
      </c>
      <c r="AX179" s="13">
        <v>100.34773491067861</v>
      </c>
      <c r="AY179" s="13">
        <v>96.366207249520002</v>
      </c>
      <c r="AZ179" s="13">
        <v>11.825954560232343</v>
      </c>
      <c r="BA179" s="13">
        <v>7.604166666666667</v>
      </c>
      <c r="BB179" s="13">
        <v>26.720351390922403</v>
      </c>
      <c r="BC179" s="14">
        <v>0.60498064061950019</v>
      </c>
      <c r="BD179" s="14">
        <v>0.61250000000000004</v>
      </c>
      <c r="BE179" s="13">
        <v>22.46574029537253</v>
      </c>
      <c r="BF179" s="14">
        <v>0.01</v>
      </c>
      <c r="BG179" s="14">
        <v>0.31</v>
      </c>
      <c r="BH179" s="13">
        <v>10.269128975592148</v>
      </c>
      <c r="BI179" s="13">
        <v>26.886446772459443</v>
      </c>
      <c r="BJ179" s="13">
        <v>17.355868343964531</v>
      </c>
      <c r="BK179" s="13">
        <v>8.5459216115166452</v>
      </c>
      <c r="BL179" s="13">
        <v>0.92812136163559089</v>
      </c>
      <c r="BM179" s="13">
        <v>4.1509970288787574</v>
      </c>
      <c r="BN179" s="13">
        <v>20.60919379628336</v>
      </c>
      <c r="BO179" s="15" t="s">
        <v>189</v>
      </c>
      <c r="BP179" s="15">
        <v>40000</v>
      </c>
      <c r="BQ179" s="12" t="s">
        <v>272</v>
      </c>
      <c r="BR179" s="26">
        <v>523.11</v>
      </c>
      <c r="BS179" s="27">
        <v>715.11</v>
      </c>
      <c r="BT179" s="27">
        <v>192</v>
      </c>
      <c r="BU179" s="26">
        <f t="shared" si="118"/>
        <v>10.898125</v>
      </c>
      <c r="BV179" s="26">
        <f t="shared" si="119"/>
        <v>14.898125</v>
      </c>
      <c r="BW179" s="26">
        <f t="shared" si="119"/>
        <v>4</v>
      </c>
      <c r="BX179" s="31">
        <f t="shared" si="120"/>
        <v>38.291517979687072</v>
      </c>
      <c r="BY179" s="31">
        <f t="shared" si="121"/>
        <v>52.345868789459239</v>
      </c>
      <c r="BZ179" s="31">
        <f t="shared" si="122"/>
        <v>14.054350809772165</v>
      </c>
      <c r="CA179" s="35">
        <v>33</v>
      </c>
      <c r="CB179" s="35">
        <v>15</v>
      </c>
    </row>
    <row r="180" spans="1:80" x14ac:dyDescent="0.4">
      <c r="A180" s="12" t="s">
        <v>191</v>
      </c>
      <c r="B180" s="12" t="s">
        <v>184</v>
      </c>
      <c r="C180" s="4" t="s">
        <v>121</v>
      </c>
      <c r="D180" s="5">
        <v>26</v>
      </c>
      <c r="E180" s="22">
        <v>4</v>
      </c>
      <c r="F180" s="22">
        <v>54</v>
      </c>
      <c r="G180" s="10">
        <v>7631</v>
      </c>
      <c r="H180" s="5">
        <v>30</v>
      </c>
      <c r="I180" s="17">
        <f t="shared" si="123"/>
        <v>1.1538461538461537</v>
      </c>
      <c r="J180" s="7">
        <v>12</v>
      </c>
      <c r="K180" s="7">
        <v>47</v>
      </c>
      <c r="L180" s="17">
        <f t="shared" si="124"/>
        <v>0.46153846153846156</v>
      </c>
      <c r="M180" s="17">
        <f t="shared" si="125"/>
        <v>1.8076923076923077</v>
      </c>
      <c r="N180" s="33">
        <f t="shared" si="126"/>
        <v>0.25531914893617019</v>
      </c>
      <c r="O180" s="12">
        <v>10</v>
      </c>
      <c r="P180" s="12">
        <v>39</v>
      </c>
      <c r="Q180" s="17">
        <f t="shared" si="127"/>
        <v>0.38461538461538464</v>
      </c>
      <c r="R180" s="17">
        <f t="shared" si="128"/>
        <v>1.5</v>
      </c>
      <c r="S180" s="33">
        <f t="shared" si="129"/>
        <v>0.25641025641025639</v>
      </c>
      <c r="T180" s="12">
        <v>2</v>
      </c>
      <c r="U180" s="12">
        <v>8</v>
      </c>
      <c r="V180" s="17">
        <f t="shared" si="130"/>
        <v>7.6923076923076927E-2</v>
      </c>
      <c r="W180" s="17">
        <f t="shared" si="131"/>
        <v>0.30769230769230771</v>
      </c>
      <c r="X180" s="33">
        <f t="shared" si="132"/>
        <v>0.25</v>
      </c>
      <c r="Y180" s="12">
        <v>4</v>
      </c>
      <c r="Z180" s="12">
        <v>5</v>
      </c>
      <c r="AA180" s="17">
        <f t="shared" si="133"/>
        <v>0.15384615384615385</v>
      </c>
      <c r="AB180" s="17">
        <f t="shared" si="134"/>
        <v>0.19230769230769232</v>
      </c>
      <c r="AC180" s="33">
        <f t="shared" si="135"/>
        <v>0.8</v>
      </c>
      <c r="AD180" s="12">
        <v>28</v>
      </c>
      <c r="AE180" s="17">
        <f t="shared" si="136"/>
        <v>1.0769230769230769</v>
      </c>
      <c r="AF180" s="12">
        <v>9</v>
      </c>
      <c r="AG180" s="17">
        <f t="shared" si="137"/>
        <v>0.34615384615384615</v>
      </c>
      <c r="AH180" s="12">
        <v>19</v>
      </c>
      <c r="AI180" s="17">
        <f t="shared" si="138"/>
        <v>0.73076923076923073</v>
      </c>
      <c r="AJ180" s="12">
        <v>5</v>
      </c>
      <c r="AK180" s="17">
        <f t="shared" si="139"/>
        <v>0.19230769230769232</v>
      </c>
      <c r="AL180" s="12">
        <v>6</v>
      </c>
      <c r="AM180" s="17">
        <f t="shared" si="140"/>
        <v>0.23076923076923078</v>
      </c>
      <c r="AN180" s="12">
        <v>1</v>
      </c>
      <c r="AO180" s="17">
        <f t="shared" si="141"/>
        <v>3.8461538461538464E-2</v>
      </c>
      <c r="AP180" s="12">
        <v>13</v>
      </c>
      <c r="AQ180" s="17">
        <f t="shared" si="142"/>
        <v>0.5</v>
      </c>
      <c r="AR180" s="12">
        <v>27</v>
      </c>
      <c r="AS180" s="17">
        <f t="shared" si="143"/>
        <v>1.0384615384615385</v>
      </c>
      <c r="AT180" s="13">
        <v>-0.34954452147362436</v>
      </c>
      <c r="AU180" s="13">
        <v>-0.10974710250349273</v>
      </c>
      <c r="AV180" s="13">
        <v>0.21561105036020201</v>
      </c>
      <c r="AW180" s="13">
        <v>7.2853296331616239E-3</v>
      </c>
      <c r="AX180" s="13">
        <v>62.595579856711801</v>
      </c>
      <c r="AY180" s="13">
        <v>98.734218316824354</v>
      </c>
      <c r="AZ180" s="13">
        <v>-1.3855969246443771</v>
      </c>
      <c r="BA180" s="13">
        <v>0.80769230769230771</v>
      </c>
      <c r="BB180" s="13">
        <v>6.5934065934065931</v>
      </c>
      <c r="BC180" s="14">
        <v>0.3048780487804878</v>
      </c>
      <c r="BD180" s="14">
        <v>0.27659574468085107</v>
      </c>
      <c r="BE180" s="13">
        <v>11.339488986475743</v>
      </c>
      <c r="BF180" s="14">
        <v>0.1702127659574468</v>
      </c>
      <c r="BG180" s="14">
        <v>0.10638297872340426</v>
      </c>
      <c r="BH180" s="13">
        <v>3.9037931857121171</v>
      </c>
      <c r="BI180" s="13">
        <v>8.2413411698366907</v>
      </c>
      <c r="BJ180" s="13">
        <v>5.6731553380846007</v>
      </c>
      <c r="BK180" s="13">
        <v>2.7540622418066651</v>
      </c>
      <c r="BL180" s="13">
        <v>2.6537180115001933</v>
      </c>
      <c r="BM180" s="13">
        <v>0.419274027022211</v>
      </c>
      <c r="BN180" s="13">
        <v>20.90032154340836</v>
      </c>
      <c r="BO180" s="15" t="s">
        <v>187</v>
      </c>
      <c r="BP180" s="15"/>
      <c r="BQ180" s="12" t="s">
        <v>272</v>
      </c>
      <c r="BR180" s="26">
        <v>54.1</v>
      </c>
      <c r="BS180" s="27">
        <v>108.8</v>
      </c>
      <c r="BT180" s="27">
        <v>54.7</v>
      </c>
      <c r="BU180" s="26">
        <f t="shared" si="118"/>
        <v>2.0807692307692309</v>
      </c>
      <c r="BV180" s="26">
        <f t="shared" si="119"/>
        <v>4.1846153846153848</v>
      </c>
      <c r="BW180" s="26">
        <f t="shared" si="119"/>
        <v>2.1038461538461539</v>
      </c>
      <c r="BX180" s="31">
        <f t="shared" si="120"/>
        <v>17.01480801991875</v>
      </c>
      <c r="BY180" s="31">
        <f t="shared" si="121"/>
        <v>34.218320010483552</v>
      </c>
      <c r="BZ180" s="31">
        <f t="shared" si="122"/>
        <v>17.203511990564802</v>
      </c>
      <c r="CA180" s="35">
        <v>17</v>
      </c>
      <c r="CB180" s="35">
        <v>9</v>
      </c>
    </row>
    <row r="181" spans="1:80" x14ac:dyDescent="0.4">
      <c r="A181" s="12" t="s">
        <v>191</v>
      </c>
      <c r="B181" s="12" t="s">
        <v>184</v>
      </c>
      <c r="C181" s="4" t="s">
        <v>142</v>
      </c>
      <c r="D181" s="5">
        <v>13</v>
      </c>
      <c r="E181" s="22">
        <v>8</v>
      </c>
      <c r="F181" s="22">
        <v>29</v>
      </c>
      <c r="G181" s="10">
        <v>6615</v>
      </c>
      <c r="H181" s="5">
        <v>29</v>
      </c>
      <c r="I181" s="17">
        <f t="shared" si="123"/>
        <v>2.2307692307692308</v>
      </c>
      <c r="J181" s="7">
        <v>9</v>
      </c>
      <c r="K181" s="7">
        <v>36</v>
      </c>
      <c r="L181" s="17">
        <f t="shared" si="124"/>
        <v>0.69230769230769229</v>
      </c>
      <c r="M181" s="17">
        <f t="shared" si="125"/>
        <v>2.7692307692307692</v>
      </c>
      <c r="N181" s="33">
        <f t="shared" si="126"/>
        <v>0.25</v>
      </c>
      <c r="O181" s="12">
        <v>2</v>
      </c>
      <c r="P181" s="12">
        <v>12</v>
      </c>
      <c r="Q181" s="17">
        <f t="shared" si="127"/>
        <v>0.15384615384615385</v>
      </c>
      <c r="R181" s="17">
        <f t="shared" si="128"/>
        <v>0.92307692307692313</v>
      </c>
      <c r="S181" s="33">
        <f t="shared" si="129"/>
        <v>0.16666666666666666</v>
      </c>
      <c r="T181" s="12">
        <v>7</v>
      </c>
      <c r="U181" s="12">
        <v>24</v>
      </c>
      <c r="V181" s="17">
        <f t="shared" si="130"/>
        <v>0.53846153846153844</v>
      </c>
      <c r="W181" s="17">
        <f t="shared" si="131"/>
        <v>1.8461538461538463</v>
      </c>
      <c r="X181" s="33">
        <f t="shared" si="132"/>
        <v>0.29166666666666669</v>
      </c>
      <c r="Y181" s="12">
        <v>4</v>
      </c>
      <c r="Z181" s="12">
        <v>7</v>
      </c>
      <c r="AA181" s="17">
        <f t="shared" si="133"/>
        <v>0.30769230769230771</v>
      </c>
      <c r="AB181" s="17">
        <f t="shared" si="134"/>
        <v>0.53846153846153844</v>
      </c>
      <c r="AC181" s="33">
        <f t="shared" si="135"/>
        <v>0.5714285714285714</v>
      </c>
      <c r="AD181" s="12">
        <v>15</v>
      </c>
      <c r="AE181" s="17">
        <f t="shared" si="136"/>
        <v>1.1538461538461537</v>
      </c>
      <c r="AF181" s="12">
        <v>2</v>
      </c>
      <c r="AG181" s="17">
        <f t="shared" si="137"/>
        <v>0.15384615384615385</v>
      </c>
      <c r="AH181" s="12">
        <v>13</v>
      </c>
      <c r="AI181" s="17">
        <f t="shared" si="138"/>
        <v>1</v>
      </c>
      <c r="AJ181" s="12">
        <v>3</v>
      </c>
      <c r="AK181" s="17">
        <f t="shared" si="139"/>
        <v>0.23076923076923078</v>
      </c>
      <c r="AL181" s="12">
        <v>1</v>
      </c>
      <c r="AM181" s="17">
        <f t="shared" si="140"/>
        <v>7.6923076923076927E-2</v>
      </c>
      <c r="AN181" s="12">
        <v>0</v>
      </c>
      <c r="AO181" s="17">
        <f t="shared" si="141"/>
        <v>0</v>
      </c>
      <c r="AP181" s="12">
        <v>6</v>
      </c>
      <c r="AQ181" s="17">
        <f t="shared" si="142"/>
        <v>0.46153846153846156</v>
      </c>
      <c r="AR181" s="12">
        <v>6</v>
      </c>
      <c r="AS181" s="17">
        <f t="shared" si="143"/>
        <v>0.46153846153846156</v>
      </c>
      <c r="AT181" s="13">
        <v>-0.15278184106822501</v>
      </c>
      <c r="AU181" s="13">
        <v>-5.5414299314453686E-2</v>
      </c>
      <c r="AV181" s="13">
        <v>0.10363380178050376</v>
      </c>
      <c r="AW181" s="13">
        <v>-0.12481771910335344</v>
      </c>
      <c r="AX181" s="13">
        <v>74.133483897651658</v>
      </c>
      <c r="AY181" s="13">
        <v>105.55301246004608</v>
      </c>
      <c r="AZ181" s="13">
        <v>0.14861006967777377</v>
      </c>
      <c r="BA181" s="13">
        <v>0.92307692307692313</v>
      </c>
      <c r="BB181" s="13">
        <v>4.3524255705002268</v>
      </c>
      <c r="BC181" s="14">
        <v>0.37103377686796318</v>
      </c>
      <c r="BD181" s="14">
        <v>0.34722222222222221</v>
      </c>
      <c r="BE181" s="13">
        <v>4.7469707348762782</v>
      </c>
      <c r="BF181" s="14">
        <v>0.66666666666666663</v>
      </c>
      <c r="BG181" s="14">
        <v>0.19444444444444445</v>
      </c>
      <c r="BH181" s="13">
        <v>0.50107627007175837</v>
      </c>
      <c r="BI181" s="13">
        <v>3.2569957554664288</v>
      </c>
      <c r="BJ181" s="13">
        <v>1.7554459052029954</v>
      </c>
      <c r="BK181" s="13">
        <v>0.91998671130305887</v>
      </c>
      <c r="BL181" s="13">
        <v>0.51093195506290534</v>
      </c>
      <c r="BM181" s="13">
        <v>0</v>
      </c>
      <c r="BN181" s="13">
        <v>13.309671694764862</v>
      </c>
      <c r="BO181" s="15" t="s">
        <v>187</v>
      </c>
      <c r="BP181" s="15">
        <v>70000</v>
      </c>
      <c r="BQ181" s="12" t="s">
        <v>271</v>
      </c>
      <c r="BR181" s="26">
        <v>41.36</v>
      </c>
      <c r="BS181" s="27">
        <v>78.06</v>
      </c>
      <c r="BT181" s="27">
        <v>36.700000000000003</v>
      </c>
      <c r="BU181" s="26">
        <f t="shared" si="118"/>
        <v>3.1815384615384619</v>
      </c>
      <c r="BV181" s="26">
        <f t="shared" si="119"/>
        <v>6.0046153846153851</v>
      </c>
      <c r="BW181" s="26">
        <f t="shared" si="119"/>
        <v>2.8230769230769233</v>
      </c>
      <c r="BX181" s="31">
        <f t="shared" si="120"/>
        <v>15.005895691609979</v>
      </c>
      <c r="BY181" s="31">
        <f t="shared" si="121"/>
        <v>28.321088435374151</v>
      </c>
      <c r="BZ181" s="31">
        <f t="shared" si="122"/>
        <v>13.315192743764172</v>
      </c>
      <c r="CA181" s="35">
        <v>8</v>
      </c>
      <c r="CB181" s="35">
        <v>5</v>
      </c>
    </row>
    <row r="182" spans="1:80" x14ac:dyDescent="0.4">
      <c r="A182" s="12" t="s">
        <v>191</v>
      </c>
      <c r="B182" s="12" t="s">
        <v>184</v>
      </c>
      <c r="C182" s="12" t="s">
        <v>115</v>
      </c>
      <c r="D182" s="12">
        <v>52</v>
      </c>
      <c r="E182" s="11">
        <v>29</v>
      </c>
      <c r="F182" s="11">
        <v>23</v>
      </c>
      <c r="G182" s="10">
        <v>91672</v>
      </c>
      <c r="H182" s="7">
        <v>851</v>
      </c>
      <c r="I182" s="17">
        <f t="shared" si="123"/>
        <v>16.365384615384617</v>
      </c>
      <c r="J182" s="7">
        <v>353</v>
      </c>
      <c r="K182" s="7">
        <v>673</v>
      </c>
      <c r="L182" s="17">
        <f t="shared" si="124"/>
        <v>6.7884615384615383</v>
      </c>
      <c r="M182" s="17">
        <f t="shared" si="125"/>
        <v>12.942307692307692</v>
      </c>
      <c r="N182" s="33">
        <f t="shared" si="126"/>
        <v>0.52451708766716199</v>
      </c>
      <c r="O182" s="5">
        <v>349</v>
      </c>
      <c r="P182" s="7">
        <v>665</v>
      </c>
      <c r="Q182" s="17">
        <f t="shared" si="127"/>
        <v>6.7115384615384617</v>
      </c>
      <c r="R182" s="17">
        <f t="shared" si="128"/>
        <v>12.788461538461538</v>
      </c>
      <c r="S182" s="33">
        <f t="shared" si="129"/>
        <v>0.52481203007518795</v>
      </c>
      <c r="T182" s="7">
        <v>4</v>
      </c>
      <c r="U182" s="7">
        <v>8</v>
      </c>
      <c r="V182" s="17">
        <f t="shared" si="130"/>
        <v>7.6923076923076927E-2</v>
      </c>
      <c r="W182" s="17">
        <f t="shared" si="131"/>
        <v>0.15384615384615385</v>
      </c>
      <c r="X182" s="33">
        <f t="shared" si="132"/>
        <v>0.5</v>
      </c>
      <c r="Y182" s="5">
        <v>141</v>
      </c>
      <c r="Z182" s="5">
        <v>253</v>
      </c>
      <c r="AA182" s="17">
        <f t="shared" si="133"/>
        <v>2.7115384615384617</v>
      </c>
      <c r="AB182" s="17">
        <f t="shared" si="134"/>
        <v>4.865384615384615</v>
      </c>
      <c r="AC182" s="33">
        <f t="shared" si="135"/>
        <v>0.55731225296442688</v>
      </c>
      <c r="AD182" s="12">
        <v>739</v>
      </c>
      <c r="AE182" s="17">
        <f t="shared" si="136"/>
        <v>14.211538461538462</v>
      </c>
      <c r="AF182" s="12">
        <v>259</v>
      </c>
      <c r="AG182" s="17">
        <f t="shared" si="137"/>
        <v>4.9807692307692308</v>
      </c>
      <c r="AH182" s="7">
        <v>480</v>
      </c>
      <c r="AI182" s="17">
        <f t="shared" si="138"/>
        <v>9.2307692307692299</v>
      </c>
      <c r="AJ182" s="7">
        <v>279</v>
      </c>
      <c r="AK182" s="17">
        <f t="shared" si="139"/>
        <v>5.365384615384615</v>
      </c>
      <c r="AL182" s="7">
        <v>107</v>
      </c>
      <c r="AM182" s="17">
        <f t="shared" si="140"/>
        <v>2.0576923076923075</v>
      </c>
      <c r="AN182" s="7">
        <v>23</v>
      </c>
      <c r="AO182" s="17">
        <f t="shared" si="141"/>
        <v>0.44230769230769229</v>
      </c>
      <c r="AP182" s="7">
        <v>150</v>
      </c>
      <c r="AQ182" s="17">
        <f t="shared" si="142"/>
        <v>2.8846153846153846</v>
      </c>
      <c r="AR182" s="7">
        <v>162</v>
      </c>
      <c r="AS182" s="17">
        <f t="shared" si="143"/>
        <v>3.1153846153846154</v>
      </c>
      <c r="AT182" s="13">
        <v>8.2282543519577498</v>
      </c>
      <c r="AU182" s="13">
        <v>0.21540872687179413</v>
      </c>
      <c r="AV182" s="13">
        <v>4.1195507510698137</v>
      </c>
      <c r="AW182" s="13">
        <v>0.78801007678278279</v>
      </c>
      <c r="AX182" s="13">
        <v>112.27585068021153</v>
      </c>
      <c r="AY182" s="13">
        <v>89.640876722044268</v>
      </c>
      <c r="AZ182" s="13">
        <v>20.889903863875269</v>
      </c>
      <c r="BA182" s="13">
        <v>27.25</v>
      </c>
      <c r="BB182" s="13">
        <v>37.095859330686324</v>
      </c>
      <c r="BC182" s="14">
        <v>0.54250815993472046</v>
      </c>
      <c r="BD182" s="14">
        <v>0.52748885586924221</v>
      </c>
      <c r="BE182" s="13">
        <v>28.404932552979346</v>
      </c>
      <c r="BF182" s="14">
        <v>1.188707280832095E-2</v>
      </c>
      <c r="BG182" s="14">
        <v>0.37592867756315007</v>
      </c>
      <c r="BH182" s="13">
        <v>18.734369188834364</v>
      </c>
      <c r="BI182" s="13">
        <v>34.7200664503494</v>
      </c>
      <c r="BJ182" s="13">
        <v>24.969284654490902</v>
      </c>
      <c r="BK182" s="13">
        <v>34.545023060969697</v>
      </c>
      <c r="BL182" s="13">
        <v>3.9459567595846594</v>
      </c>
      <c r="BM182" s="13">
        <v>1.6081287411935288</v>
      </c>
      <c r="BN182" s="13">
        <v>16.054456717184689</v>
      </c>
      <c r="BO182" s="15" t="s">
        <v>189</v>
      </c>
      <c r="BP182" s="15">
        <v>370000</v>
      </c>
      <c r="BQ182" s="12" t="s">
        <v>272</v>
      </c>
      <c r="BR182" s="26">
        <v>2027.77</v>
      </c>
      <c r="BS182" s="27">
        <v>2661.97</v>
      </c>
      <c r="BT182" s="27">
        <v>634.20000000000005</v>
      </c>
      <c r="BU182" s="26">
        <f t="shared" si="118"/>
        <v>38.995576923076918</v>
      </c>
      <c r="BV182" s="26">
        <f t="shared" si="119"/>
        <v>51.191730769230766</v>
      </c>
      <c r="BW182" s="26">
        <f t="shared" si="119"/>
        <v>12.196153846153846</v>
      </c>
      <c r="BX182" s="31">
        <f t="shared" si="120"/>
        <v>53.087616720481705</v>
      </c>
      <c r="BY182" s="31">
        <f t="shared" si="121"/>
        <v>69.691159787066923</v>
      </c>
      <c r="BZ182" s="31">
        <f t="shared" si="122"/>
        <v>16.603543066585218</v>
      </c>
      <c r="CA182" s="34">
        <v>35</v>
      </c>
      <c r="CB182" s="34">
        <v>17</v>
      </c>
    </row>
    <row r="183" spans="1:80" x14ac:dyDescent="0.4">
      <c r="A183" s="12" t="s">
        <v>191</v>
      </c>
      <c r="B183" s="12" t="s">
        <v>184</v>
      </c>
      <c r="C183" s="4" t="s">
        <v>122</v>
      </c>
      <c r="D183" s="5">
        <v>49</v>
      </c>
      <c r="E183" s="22">
        <v>29</v>
      </c>
      <c r="F183" s="22">
        <v>5</v>
      </c>
      <c r="G183" s="10">
        <v>85496</v>
      </c>
      <c r="H183" s="5">
        <v>476</v>
      </c>
      <c r="I183" s="17">
        <f t="shared" si="123"/>
        <v>9.7142857142857135</v>
      </c>
      <c r="J183" s="7">
        <v>184</v>
      </c>
      <c r="K183" s="7">
        <v>421</v>
      </c>
      <c r="L183" s="17">
        <f t="shared" si="124"/>
        <v>3.7551020408163267</v>
      </c>
      <c r="M183" s="17">
        <f t="shared" si="125"/>
        <v>8.591836734693878</v>
      </c>
      <c r="N183" s="33">
        <f t="shared" si="126"/>
        <v>0.43705463182897863</v>
      </c>
      <c r="O183" s="12">
        <v>120</v>
      </c>
      <c r="P183" s="12">
        <v>238</v>
      </c>
      <c r="Q183" s="17">
        <f t="shared" si="127"/>
        <v>2.4489795918367347</v>
      </c>
      <c r="R183" s="17">
        <f t="shared" si="128"/>
        <v>4.8571428571428568</v>
      </c>
      <c r="S183" s="33">
        <f t="shared" si="129"/>
        <v>0.50420168067226889</v>
      </c>
      <c r="T183" s="12">
        <v>64</v>
      </c>
      <c r="U183" s="12">
        <v>183</v>
      </c>
      <c r="V183" s="17">
        <f t="shared" si="130"/>
        <v>1.3061224489795917</v>
      </c>
      <c r="W183" s="17">
        <f t="shared" si="131"/>
        <v>3.7346938775510203</v>
      </c>
      <c r="X183" s="33">
        <f t="shared" si="132"/>
        <v>0.34972677595628415</v>
      </c>
      <c r="Y183" s="12">
        <v>44</v>
      </c>
      <c r="Z183" s="12">
        <v>54</v>
      </c>
      <c r="AA183" s="17">
        <f t="shared" si="133"/>
        <v>0.89795918367346939</v>
      </c>
      <c r="AB183" s="17">
        <f t="shared" si="134"/>
        <v>1.1020408163265305</v>
      </c>
      <c r="AC183" s="33">
        <f t="shared" si="135"/>
        <v>0.81481481481481477</v>
      </c>
      <c r="AD183" s="12">
        <v>129</v>
      </c>
      <c r="AE183" s="17">
        <f t="shared" si="136"/>
        <v>2.6326530612244898</v>
      </c>
      <c r="AF183" s="12">
        <v>33</v>
      </c>
      <c r="AG183" s="17">
        <f t="shared" si="137"/>
        <v>0.67346938775510201</v>
      </c>
      <c r="AH183" s="12">
        <v>96</v>
      </c>
      <c r="AI183" s="17">
        <f t="shared" si="138"/>
        <v>1.9591836734693877</v>
      </c>
      <c r="AJ183" s="12">
        <v>293</v>
      </c>
      <c r="AK183" s="17">
        <f t="shared" si="139"/>
        <v>5.9795918367346941</v>
      </c>
      <c r="AL183" s="12">
        <v>38</v>
      </c>
      <c r="AM183" s="17">
        <f t="shared" si="140"/>
        <v>0.77551020408163263</v>
      </c>
      <c r="AN183" s="12">
        <v>2</v>
      </c>
      <c r="AO183" s="17">
        <f t="shared" si="141"/>
        <v>4.0816326530612242E-2</v>
      </c>
      <c r="AP183" s="12">
        <v>65</v>
      </c>
      <c r="AQ183" s="17">
        <f t="shared" si="142"/>
        <v>1.3265306122448979</v>
      </c>
      <c r="AR183" s="12">
        <v>111</v>
      </c>
      <c r="AS183" s="17">
        <f t="shared" si="143"/>
        <v>2.2653061224489797</v>
      </c>
      <c r="AT183" s="13">
        <v>4.5357048217076352</v>
      </c>
      <c r="AU183" s="13">
        <v>0.12731058501956991</v>
      </c>
      <c r="AV183" s="13">
        <v>1.4163460947988109</v>
      </c>
      <c r="AW183" s="13">
        <v>2.9064814008687473E-3</v>
      </c>
      <c r="AX183" s="13">
        <v>118.39721212852878</v>
      </c>
      <c r="AY183" s="13">
        <v>105.0623282773571</v>
      </c>
      <c r="AZ183" s="13">
        <v>9.8069486711785334</v>
      </c>
      <c r="BA183" s="13">
        <v>12.775510204081632</v>
      </c>
      <c r="BB183" s="13">
        <v>17.570902286416</v>
      </c>
      <c r="BC183" s="14">
        <v>0.53512006475402463</v>
      </c>
      <c r="BD183" s="14">
        <v>0.51306413301662712</v>
      </c>
      <c r="BE183" s="13">
        <v>15.65743985377871</v>
      </c>
      <c r="BF183" s="14">
        <v>0.43467933491686461</v>
      </c>
      <c r="BG183" s="14">
        <v>0.12826603325415678</v>
      </c>
      <c r="BH183" s="13">
        <v>2.4116269651562532</v>
      </c>
      <c r="BI183" s="13">
        <v>7.0156420804545556</v>
      </c>
      <c r="BJ183" s="13">
        <v>4.4036039572696799</v>
      </c>
      <c r="BK183" s="13">
        <v>30.369250701792275</v>
      </c>
      <c r="BL183" s="13">
        <v>1.5025062437605674</v>
      </c>
      <c r="BM183" s="13">
        <v>0.1412797294493181</v>
      </c>
      <c r="BN183" s="13">
        <v>12.751098556183303</v>
      </c>
      <c r="BO183" s="15" t="s">
        <v>187</v>
      </c>
      <c r="BP183" s="15">
        <v>310000</v>
      </c>
      <c r="BQ183" s="12" t="s">
        <v>271</v>
      </c>
      <c r="BR183" s="26">
        <v>1129.6300000000001</v>
      </c>
      <c r="BS183" s="27">
        <v>1460.23</v>
      </c>
      <c r="BT183" s="27">
        <v>330.6</v>
      </c>
      <c r="BU183" s="26">
        <f t="shared" si="118"/>
        <v>23.053673469387753</v>
      </c>
      <c r="BV183" s="26">
        <f t="shared" si="119"/>
        <v>29.800612244897959</v>
      </c>
      <c r="BW183" s="26">
        <f t="shared" si="119"/>
        <v>6.7469387755102046</v>
      </c>
      <c r="BX183" s="31">
        <f t="shared" si="120"/>
        <v>31.710395807991016</v>
      </c>
      <c r="BY183" s="31">
        <f t="shared" si="121"/>
        <v>40.990829980349957</v>
      </c>
      <c r="BZ183" s="31">
        <f t="shared" si="122"/>
        <v>9.280434172358941</v>
      </c>
      <c r="CA183" s="34">
        <v>33</v>
      </c>
      <c r="CB183" s="34">
        <v>16</v>
      </c>
    </row>
    <row r="184" spans="1:80" x14ac:dyDescent="0.4">
      <c r="A184" s="12" t="s">
        <v>191</v>
      </c>
      <c r="B184" s="12" t="s">
        <v>184</v>
      </c>
      <c r="C184" s="4" t="s">
        <v>211</v>
      </c>
      <c r="D184" s="5">
        <v>30</v>
      </c>
      <c r="E184" s="22">
        <v>21</v>
      </c>
      <c r="F184" s="22">
        <v>8</v>
      </c>
      <c r="G184" s="10">
        <v>38052</v>
      </c>
      <c r="H184" s="5">
        <v>235</v>
      </c>
      <c r="I184" s="17">
        <f t="shared" si="123"/>
        <v>7.833333333333333</v>
      </c>
      <c r="J184" s="7">
        <v>84</v>
      </c>
      <c r="K184" s="6">
        <v>238</v>
      </c>
      <c r="L184" s="17">
        <f t="shared" si="124"/>
        <v>2.8</v>
      </c>
      <c r="M184" s="17">
        <f t="shared" si="125"/>
        <v>7.9333333333333336</v>
      </c>
      <c r="N184" s="33">
        <f t="shared" si="126"/>
        <v>0.35294117647058826</v>
      </c>
      <c r="O184" s="12">
        <v>57</v>
      </c>
      <c r="P184" s="12">
        <v>112</v>
      </c>
      <c r="Q184" s="17">
        <f t="shared" si="127"/>
        <v>1.9</v>
      </c>
      <c r="R184" s="17">
        <f t="shared" si="128"/>
        <v>3.7333333333333334</v>
      </c>
      <c r="S184" s="33">
        <f t="shared" si="129"/>
        <v>0.5089285714285714</v>
      </c>
      <c r="T184" s="12">
        <v>27</v>
      </c>
      <c r="U184" s="12">
        <v>126</v>
      </c>
      <c r="V184" s="17">
        <f t="shared" si="130"/>
        <v>0.9</v>
      </c>
      <c r="W184" s="17">
        <f t="shared" si="131"/>
        <v>4.2</v>
      </c>
      <c r="X184" s="33">
        <f t="shared" si="132"/>
        <v>0.21428571428571427</v>
      </c>
      <c r="Y184" s="12">
        <v>40</v>
      </c>
      <c r="Z184" s="12">
        <v>59</v>
      </c>
      <c r="AA184" s="17">
        <f t="shared" si="133"/>
        <v>1.3333333333333333</v>
      </c>
      <c r="AB184" s="17">
        <f t="shared" si="134"/>
        <v>1.9666666666666666</v>
      </c>
      <c r="AC184" s="33">
        <f t="shared" si="135"/>
        <v>0.67796610169491522</v>
      </c>
      <c r="AD184" s="12">
        <v>130</v>
      </c>
      <c r="AE184" s="17">
        <f t="shared" si="136"/>
        <v>4.333333333333333</v>
      </c>
      <c r="AF184" s="12">
        <v>39</v>
      </c>
      <c r="AG184" s="17">
        <f t="shared" si="137"/>
        <v>1.3</v>
      </c>
      <c r="AH184" s="12">
        <v>91</v>
      </c>
      <c r="AI184" s="17">
        <f t="shared" si="138"/>
        <v>3.0333333333333332</v>
      </c>
      <c r="AJ184" s="12">
        <v>58</v>
      </c>
      <c r="AK184" s="17">
        <f t="shared" si="139"/>
        <v>1.9333333333333333</v>
      </c>
      <c r="AL184" s="12">
        <v>12</v>
      </c>
      <c r="AM184" s="17">
        <f t="shared" si="140"/>
        <v>0.4</v>
      </c>
      <c r="AN184" s="12">
        <v>8</v>
      </c>
      <c r="AO184" s="17">
        <f t="shared" si="141"/>
        <v>0.26666666666666666</v>
      </c>
      <c r="AP184" s="12">
        <v>48</v>
      </c>
      <c r="AQ184" s="17">
        <f t="shared" si="142"/>
        <v>1.6</v>
      </c>
      <c r="AR184" s="12">
        <v>39</v>
      </c>
      <c r="AS184" s="17">
        <f t="shared" si="143"/>
        <v>1.3</v>
      </c>
      <c r="AT184" s="13">
        <v>0.33508128369000167</v>
      </c>
      <c r="AU184" s="13">
        <v>2.1140774996214615E-2</v>
      </c>
      <c r="AV184" s="13">
        <v>0.80564791477585607</v>
      </c>
      <c r="AW184" s="13">
        <v>0.27906917311068535</v>
      </c>
      <c r="AX184" s="13">
        <v>91.500142989599482</v>
      </c>
      <c r="AY184" s="13">
        <v>102.55410485381807</v>
      </c>
      <c r="AZ184" s="13">
        <v>3.9661690250150134</v>
      </c>
      <c r="BA184" s="13">
        <v>7.4</v>
      </c>
      <c r="BB184" s="13">
        <v>14.006309148264984</v>
      </c>
      <c r="BC184" s="14">
        <v>0.4451432035156842</v>
      </c>
      <c r="BD184" s="14">
        <v>0.40966386554621848</v>
      </c>
      <c r="BE184" s="13">
        <v>13.186516647237543</v>
      </c>
      <c r="BF184" s="14">
        <v>0.52941176470588236</v>
      </c>
      <c r="BG184" s="14">
        <v>0.24789915966386555</v>
      </c>
      <c r="BH184" s="13">
        <v>3.9222653932154863</v>
      </c>
      <c r="BI184" s="13">
        <v>9.1519525841694698</v>
      </c>
      <c r="BJ184" s="13">
        <v>6.1071427732535337</v>
      </c>
      <c r="BK184" s="13">
        <v>7.7254362207521199</v>
      </c>
      <c r="BL184" s="13">
        <v>1.0665100147164812</v>
      </c>
      <c r="BM184" s="13">
        <v>0.77770702804119907</v>
      </c>
      <c r="BN184" s="13">
        <v>15.386588024105656</v>
      </c>
      <c r="BO184" s="15" t="s">
        <v>187</v>
      </c>
      <c r="BP184" s="15"/>
      <c r="BQ184" s="12" t="s">
        <v>273</v>
      </c>
      <c r="BR184" s="26">
        <v>421.75</v>
      </c>
      <c r="BS184" s="27">
        <v>653.04999999999995</v>
      </c>
      <c r="BT184" s="27">
        <v>231.3</v>
      </c>
      <c r="BU184" s="26">
        <f t="shared" si="118"/>
        <v>14.05833333333333</v>
      </c>
      <c r="BV184" s="26">
        <f t="shared" si="119"/>
        <v>21.768333333333331</v>
      </c>
      <c r="BW184" s="26">
        <f t="shared" si="119"/>
        <v>7.71</v>
      </c>
      <c r="BX184" s="31">
        <f t="shared" si="120"/>
        <v>26.600441501103752</v>
      </c>
      <c r="BY184" s="31">
        <f t="shared" si="121"/>
        <v>41.188899400819928</v>
      </c>
      <c r="BZ184" s="31">
        <f t="shared" si="122"/>
        <v>14.588457899716177</v>
      </c>
      <c r="CA184" s="35">
        <v>18</v>
      </c>
      <c r="CB184" s="35">
        <v>12</v>
      </c>
    </row>
    <row r="185" spans="1:80" x14ac:dyDescent="0.4">
      <c r="A185" s="12" t="s">
        <v>191</v>
      </c>
      <c r="B185" s="12" t="s">
        <v>184</v>
      </c>
      <c r="C185" s="4" t="s">
        <v>116</v>
      </c>
      <c r="D185" s="5">
        <v>50</v>
      </c>
      <c r="E185" s="22">
        <v>30</v>
      </c>
      <c r="F185" s="22">
        <v>11</v>
      </c>
      <c r="G185" s="10">
        <v>90569</v>
      </c>
      <c r="H185" s="5">
        <v>618</v>
      </c>
      <c r="I185" s="17">
        <f t="shared" si="123"/>
        <v>12.36</v>
      </c>
      <c r="J185" s="7">
        <v>203</v>
      </c>
      <c r="K185" s="7">
        <v>492</v>
      </c>
      <c r="L185" s="17">
        <f t="shared" si="124"/>
        <v>4.0599999999999996</v>
      </c>
      <c r="M185" s="17">
        <f t="shared" si="125"/>
        <v>9.84</v>
      </c>
      <c r="N185" s="33">
        <f t="shared" si="126"/>
        <v>0.41260162601626016</v>
      </c>
      <c r="O185" s="12">
        <v>71</v>
      </c>
      <c r="P185" s="12">
        <v>150</v>
      </c>
      <c r="Q185" s="17">
        <f t="shared" si="127"/>
        <v>1.42</v>
      </c>
      <c r="R185" s="17">
        <f t="shared" si="128"/>
        <v>3</v>
      </c>
      <c r="S185" s="33">
        <f t="shared" si="129"/>
        <v>0.47333333333333333</v>
      </c>
      <c r="T185" s="12">
        <v>132</v>
      </c>
      <c r="U185" s="12">
        <v>342</v>
      </c>
      <c r="V185" s="17">
        <f t="shared" si="130"/>
        <v>2.64</v>
      </c>
      <c r="W185" s="17">
        <f t="shared" si="131"/>
        <v>6.84</v>
      </c>
      <c r="X185" s="33">
        <f t="shared" si="132"/>
        <v>0.38596491228070173</v>
      </c>
      <c r="Y185" s="12">
        <v>80</v>
      </c>
      <c r="Z185" s="12">
        <v>92</v>
      </c>
      <c r="AA185" s="17">
        <f t="shared" si="133"/>
        <v>1.6</v>
      </c>
      <c r="AB185" s="17">
        <f t="shared" si="134"/>
        <v>1.84</v>
      </c>
      <c r="AC185" s="33">
        <f t="shared" si="135"/>
        <v>0.86956521739130432</v>
      </c>
      <c r="AD185" s="12">
        <v>103</v>
      </c>
      <c r="AE185" s="17">
        <f t="shared" si="136"/>
        <v>2.06</v>
      </c>
      <c r="AF185" s="12">
        <v>26</v>
      </c>
      <c r="AG185" s="17">
        <f t="shared" si="137"/>
        <v>0.52</v>
      </c>
      <c r="AH185" s="12">
        <v>77</v>
      </c>
      <c r="AI185" s="17">
        <f t="shared" si="138"/>
        <v>1.54</v>
      </c>
      <c r="AJ185" s="12">
        <v>55</v>
      </c>
      <c r="AK185" s="17">
        <f t="shared" si="139"/>
        <v>1.1000000000000001</v>
      </c>
      <c r="AL185" s="12">
        <v>36</v>
      </c>
      <c r="AM185" s="17">
        <f t="shared" si="140"/>
        <v>0.72</v>
      </c>
      <c r="AN185" s="12">
        <v>16</v>
      </c>
      <c r="AO185" s="17">
        <f t="shared" si="141"/>
        <v>0.32</v>
      </c>
      <c r="AP185" s="12">
        <v>41</v>
      </c>
      <c r="AQ185" s="17">
        <f t="shared" si="142"/>
        <v>0.82</v>
      </c>
      <c r="AR185" s="12">
        <v>98</v>
      </c>
      <c r="AS185" s="17">
        <f t="shared" si="143"/>
        <v>1.96</v>
      </c>
      <c r="AT185" s="13">
        <v>3.9744272536584386</v>
      </c>
      <c r="AU185" s="13">
        <v>0.10534097635317782</v>
      </c>
      <c r="AV185" s="13">
        <v>1.4338321853538143</v>
      </c>
      <c r="AW185" s="13">
        <v>1.4904862615218835</v>
      </c>
      <c r="AX185" s="13">
        <v>115.55101093357626</v>
      </c>
      <c r="AY185" s="13">
        <v>105.45900428930653</v>
      </c>
      <c r="AZ185" s="13">
        <v>8.2811294341862993</v>
      </c>
      <c r="BA185" s="13">
        <v>9.7200000000000006</v>
      </c>
      <c r="BB185" s="13">
        <v>12.881281060187742</v>
      </c>
      <c r="BC185" s="14">
        <v>0.58030348557692302</v>
      </c>
      <c r="BD185" s="14">
        <v>0.5467479674796748</v>
      </c>
      <c r="BE185" s="13">
        <v>16.972673447238726</v>
      </c>
      <c r="BF185" s="14">
        <v>0.69512195121951215</v>
      </c>
      <c r="BG185" s="14">
        <v>0.18699186991869918</v>
      </c>
      <c r="BH185" s="13">
        <v>1.8308236770098425</v>
      </c>
      <c r="BI185" s="13">
        <v>5.422054735759918</v>
      </c>
      <c r="BJ185" s="13">
        <v>3.3879168957142438</v>
      </c>
      <c r="BK185" s="13">
        <v>5.5598143358970251</v>
      </c>
      <c r="BL185" s="13">
        <v>1.3441206281551057</v>
      </c>
      <c r="BM185" s="13">
        <v>1.0890475003382003</v>
      </c>
      <c r="BN185" s="13">
        <v>7.1493338913301248</v>
      </c>
      <c r="BO185" s="15" t="s">
        <v>187</v>
      </c>
      <c r="BP185" s="15"/>
      <c r="BQ185" s="12" t="s">
        <v>271</v>
      </c>
      <c r="BR185" s="26">
        <v>929.27</v>
      </c>
      <c r="BS185" s="27">
        <v>1268.3699999999999</v>
      </c>
      <c r="BT185" s="27">
        <v>339.1</v>
      </c>
      <c r="BU185" s="26">
        <f t="shared" si="118"/>
        <v>18.585399999999996</v>
      </c>
      <c r="BV185" s="26">
        <f t="shared" si="119"/>
        <v>25.367399999999996</v>
      </c>
      <c r="BW185" s="26">
        <f t="shared" si="119"/>
        <v>6.782</v>
      </c>
      <c r="BX185" s="31">
        <f t="shared" si="120"/>
        <v>24.624849562212226</v>
      </c>
      <c r="BY185" s="31">
        <f t="shared" si="121"/>
        <v>33.610705649836028</v>
      </c>
      <c r="BZ185" s="31">
        <f t="shared" si="122"/>
        <v>8.9858560876237998</v>
      </c>
      <c r="CA185" s="34">
        <v>32</v>
      </c>
      <c r="CB185" s="34">
        <v>18</v>
      </c>
    </row>
    <row r="186" spans="1:80" x14ac:dyDescent="0.4">
      <c r="A186" s="12" t="s">
        <v>191</v>
      </c>
      <c r="B186" s="12" t="s">
        <v>184</v>
      </c>
      <c r="C186" s="4" t="s">
        <v>217</v>
      </c>
      <c r="D186" s="32">
        <v>38</v>
      </c>
      <c r="E186" s="24">
        <v>12</v>
      </c>
      <c r="F186" s="24">
        <v>47</v>
      </c>
      <c r="G186" s="10">
        <v>29146</v>
      </c>
      <c r="H186" s="5">
        <v>187</v>
      </c>
      <c r="I186" s="17">
        <f t="shared" si="123"/>
        <v>4.9210526315789478</v>
      </c>
      <c r="J186" s="7">
        <v>66</v>
      </c>
      <c r="K186" s="7">
        <v>163</v>
      </c>
      <c r="L186" s="17">
        <f t="shared" si="124"/>
        <v>1.736842105263158</v>
      </c>
      <c r="M186" s="17">
        <f t="shared" si="125"/>
        <v>4.2894736842105265</v>
      </c>
      <c r="N186" s="33">
        <f t="shared" si="126"/>
        <v>0.40490797546012269</v>
      </c>
      <c r="O186" s="12">
        <v>26</v>
      </c>
      <c r="P186" s="12">
        <v>60</v>
      </c>
      <c r="Q186" s="17">
        <f t="shared" si="127"/>
        <v>0.68421052631578949</v>
      </c>
      <c r="R186" s="17">
        <f t="shared" si="128"/>
        <v>1.5789473684210527</v>
      </c>
      <c r="S186" s="33">
        <f t="shared" si="129"/>
        <v>0.43333333333333335</v>
      </c>
      <c r="T186" s="12">
        <v>40</v>
      </c>
      <c r="U186" s="12">
        <v>103</v>
      </c>
      <c r="V186" s="17">
        <f t="shared" si="130"/>
        <v>1.0526315789473684</v>
      </c>
      <c r="W186" s="17">
        <f t="shared" si="131"/>
        <v>2.7105263157894739</v>
      </c>
      <c r="X186" s="33">
        <f t="shared" si="132"/>
        <v>0.38834951456310679</v>
      </c>
      <c r="Y186" s="12">
        <v>15</v>
      </c>
      <c r="Z186" s="12">
        <v>24</v>
      </c>
      <c r="AA186" s="17">
        <f t="shared" si="133"/>
        <v>0.39473684210526316</v>
      </c>
      <c r="AB186" s="17">
        <f t="shared" si="134"/>
        <v>0.63157894736842102</v>
      </c>
      <c r="AC186" s="33">
        <f t="shared" si="135"/>
        <v>0.625</v>
      </c>
      <c r="AD186" s="12">
        <v>48</v>
      </c>
      <c r="AE186" s="17">
        <f t="shared" si="136"/>
        <v>1.263157894736842</v>
      </c>
      <c r="AF186" s="12">
        <v>15</v>
      </c>
      <c r="AG186" s="17">
        <f t="shared" si="137"/>
        <v>0.39473684210526316</v>
      </c>
      <c r="AH186" s="12">
        <v>33</v>
      </c>
      <c r="AI186" s="17">
        <f t="shared" si="138"/>
        <v>0.86842105263157898</v>
      </c>
      <c r="AJ186" s="12">
        <v>47</v>
      </c>
      <c r="AK186" s="17">
        <f t="shared" si="139"/>
        <v>1.236842105263158</v>
      </c>
      <c r="AL186" s="12">
        <v>13</v>
      </c>
      <c r="AM186" s="17">
        <f t="shared" si="140"/>
        <v>0.34210526315789475</v>
      </c>
      <c r="AN186" s="12">
        <v>0</v>
      </c>
      <c r="AO186" s="17">
        <f t="shared" si="141"/>
        <v>0</v>
      </c>
      <c r="AP186" s="12">
        <v>32</v>
      </c>
      <c r="AQ186" s="17">
        <f t="shared" si="142"/>
        <v>0.84210526315789469</v>
      </c>
      <c r="AR186" s="12">
        <v>51</v>
      </c>
      <c r="AS186" s="17">
        <f t="shared" si="143"/>
        <v>1.3421052631578947</v>
      </c>
      <c r="AT186" s="13">
        <v>0.77711805172106707</v>
      </c>
      <c r="AU186" s="13">
        <v>6.3991056204301136E-2</v>
      </c>
      <c r="AV186" s="13">
        <v>0.48369266314824505</v>
      </c>
      <c r="AW186" s="13">
        <v>-5.4846534893933461E-4</v>
      </c>
      <c r="AX186" s="13">
        <v>102.61990410115351</v>
      </c>
      <c r="AY186" s="13">
        <v>105.04546459130476</v>
      </c>
      <c r="AZ186" s="13">
        <v>5.0789242353240196</v>
      </c>
      <c r="BA186" s="13">
        <v>4.1315789473684212</v>
      </c>
      <c r="BB186" s="13">
        <v>12.928017566732999</v>
      </c>
      <c r="BC186" s="14">
        <v>0.53871859875547357</v>
      </c>
      <c r="BD186" s="14">
        <v>0.52760736196319014</v>
      </c>
      <c r="BE186" s="13">
        <v>14.364604541048696</v>
      </c>
      <c r="BF186" s="14">
        <v>0.63190184049079756</v>
      </c>
      <c r="BG186" s="14">
        <v>0.14723926380368099</v>
      </c>
      <c r="BH186" s="13">
        <v>2.4939487105592404</v>
      </c>
      <c r="BI186" s="13">
        <v>5.4866871632303287</v>
      </c>
      <c r="BJ186" s="13">
        <v>3.727862177828734</v>
      </c>
      <c r="BK186" s="13">
        <v>10.707573139938868</v>
      </c>
      <c r="BL186" s="13">
        <v>1.5079557299960953</v>
      </c>
      <c r="BM186" s="13">
        <v>0</v>
      </c>
      <c r="BN186" s="13">
        <v>15.567230978789647</v>
      </c>
      <c r="BO186" s="15" t="s">
        <v>187</v>
      </c>
      <c r="BP186" s="15">
        <v>64000</v>
      </c>
      <c r="BQ186" s="12" t="s">
        <v>271</v>
      </c>
      <c r="BR186" s="26">
        <v>316.54000000000002</v>
      </c>
      <c r="BS186" s="27">
        <v>462.44</v>
      </c>
      <c r="BT186" s="27">
        <v>145.9</v>
      </c>
      <c r="BU186" s="26">
        <f t="shared" si="118"/>
        <v>8.33</v>
      </c>
      <c r="BV186" s="26">
        <f t="shared" si="119"/>
        <v>12.169473684210526</v>
      </c>
      <c r="BW186" s="26">
        <f t="shared" si="119"/>
        <v>3.8394736842105264</v>
      </c>
      <c r="BX186" s="31">
        <f t="shared" si="120"/>
        <v>26.065189048239898</v>
      </c>
      <c r="BY186" s="31">
        <f t="shared" si="121"/>
        <v>38.079187538598781</v>
      </c>
      <c r="BZ186" s="31">
        <f t="shared" si="122"/>
        <v>12.013998490358883</v>
      </c>
      <c r="CA186" s="34">
        <v>24</v>
      </c>
      <c r="CB186" s="34">
        <v>14</v>
      </c>
    </row>
    <row r="187" spans="1:80" x14ac:dyDescent="0.4">
      <c r="A187" s="12" t="s">
        <v>191</v>
      </c>
      <c r="B187" s="12" t="s">
        <v>184</v>
      </c>
      <c r="C187" s="8" t="s">
        <v>246</v>
      </c>
      <c r="D187" s="22">
        <v>2</v>
      </c>
      <c r="E187" s="22">
        <v>3</v>
      </c>
      <c r="F187" s="22">
        <v>35</v>
      </c>
      <c r="G187" s="10">
        <v>431</v>
      </c>
      <c r="H187" s="5">
        <v>3</v>
      </c>
      <c r="I187" s="17">
        <f t="shared" si="123"/>
        <v>1.5</v>
      </c>
      <c r="J187" s="7">
        <v>1</v>
      </c>
      <c r="K187" s="7">
        <v>5</v>
      </c>
      <c r="L187" s="17">
        <f t="shared" si="124"/>
        <v>0.5</v>
      </c>
      <c r="M187" s="17">
        <f t="shared" si="125"/>
        <v>2.5</v>
      </c>
      <c r="N187" s="33">
        <f t="shared" si="126"/>
        <v>0.2</v>
      </c>
      <c r="O187" s="12">
        <v>0</v>
      </c>
      <c r="P187" s="12">
        <v>0</v>
      </c>
      <c r="Q187" s="17">
        <f t="shared" si="127"/>
        <v>0</v>
      </c>
      <c r="R187" s="17">
        <f t="shared" si="128"/>
        <v>0</v>
      </c>
      <c r="S187" s="33" t="e">
        <f t="shared" si="129"/>
        <v>#DIV/0!</v>
      </c>
      <c r="T187" s="12">
        <v>1</v>
      </c>
      <c r="U187" s="12">
        <v>5</v>
      </c>
      <c r="V187" s="17">
        <f t="shared" si="130"/>
        <v>0.5</v>
      </c>
      <c r="W187" s="17">
        <f t="shared" si="131"/>
        <v>2.5</v>
      </c>
      <c r="X187" s="33">
        <f t="shared" si="132"/>
        <v>0.2</v>
      </c>
      <c r="Y187" s="12">
        <v>0</v>
      </c>
      <c r="Z187" s="12">
        <v>0</v>
      </c>
      <c r="AA187" s="17">
        <f t="shared" si="133"/>
        <v>0</v>
      </c>
      <c r="AB187" s="17">
        <f t="shared" si="134"/>
        <v>0</v>
      </c>
      <c r="AC187" s="33" t="e">
        <f t="shared" si="135"/>
        <v>#DIV/0!</v>
      </c>
      <c r="AD187" s="12">
        <v>0</v>
      </c>
      <c r="AE187" s="17">
        <f t="shared" si="136"/>
        <v>0</v>
      </c>
      <c r="AF187" s="12">
        <v>0</v>
      </c>
      <c r="AG187" s="17">
        <f t="shared" si="137"/>
        <v>0</v>
      </c>
      <c r="AH187" s="12">
        <v>0</v>
      </c>
      <c r="AI187" s="17">
        <f t="shared" si="138"/>
        <v>0</v>
      </c>
      <c r="AJ187" s="12">
        <v>0</v>
      </c>
      <c r="AK187" s="17">
        <f t="shared" si="139"/>
        <v>0</v>
      </c>
      <c r="AL187" s="12">
        <v>0</v>
      </c>
      <c r="AM187" s="17">
        <f t="shared" si="140"/>
        <v>0</v>
      </c>
      <c r="AN187" s="12">
        <v>0</v>
      </c>
      <c r="AO187" s="17">
        <f t="shared" si="141"/>
        <v>0</v>
      </c>
      <c r="AP187" s="12">
        <v>0</v>
      </c>
      <c r="AQ187" s="17">
        <f t="shared" si="142"/>
        <v>0</v>
      </c>
      <c r="AR187" s="12">
        <v>1</v>
      </c>
      <c r="AS187" s="17">
        <f t="shared" si="143"/>
        <v>0.5</v>
      </c>
      <c r="AT187" s="13">
        <v>-3.0311340655419079E-2</v>
      </c>
      <c r="AU187" s="13">
        <v>-0.16917957575117626</v>
      </c>
      <c r="AV187" s="13">
        <v>2.5980204836289498E-3</v>
      </c>
      <c r="AW187" s="13">
        <v>0.49077537843883395</v>
      </c>
      <c r="AX187" s="13">
        <v>67.592260712344071</v>
      </c>
      <c r="AY187" s="13">
        <v>110.78192010991336</v>
      </c>
      <c r="AZ187" s="13">
        <v>-0.19509720042767376</v>
      </c>
      <c r="BA187" s="13">
        <v>-0.5</v>
      </c>
      <c r="BB187" s="13">
        <v>-5.5813953488372094</v>
      </c>
      <c r="BC187" s="14">
        <v>0.3</v>
      </c>
      <c r="BD187" s="14">
        <v>0.3</v>
      </c>
      <c r="BE187" s="13">
        <v>1.2464704112853768</v>
      </c>
      <c r="BF187" s="14">
        <v>1</v>
      </c>
      <c r="BG187" s="14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5" t="s">
        <v>187</v>
      </c>
      <c r="BP187" s="15"/>
      <c r="BQ187" s="12" t="s">
        <v>273</v>
      </c>
      <c r="BR187" s="26">
        <v>1.2</v>
      </c>
      <c r="BS187" s="27">
        <v>4.8</v>
      </c>
      <c r="BT187" s="27">
        <v>3.6</v>
      </c>
      <c r="BU187" s="26">
        <f t="shared" si="118"/>
        <v>0.59999999999999987</v>
      </c>
      <c r="BV187" s="26">
        <f t="shared" si="119"/>
        <v>2.4</v>
      </c>
      <c r="BW187" s="26">
        <f t="shared" si="119"/>
        <v>1.8</v>
      </c>
      <c r="BX187" s="31">
        <f t="shared" si="120"/>
        <v>6.6821345707656619</v>
      </c>
      <c r="BY187" s="31">
        <f t="shared" si="121"/>
        <v>26.728538283062644</v>
      </c>
      <c r="BZ187" s="31">
        <f t="shared" si="122"/>
        <v>20.046403712296982</v>
      </c>
      <c r="CA187" s="34">
        <v>2</v>
      </c>
      <c r="CB187" s="34">
        <v>0</v>
      </c>
    </row>
    <row r="188" spans="1:80" x14ac:dyDescent="0.4">
      <c r="A188" s="12" t="s">
        <v>191</v>
      </c>
      <c r="B188" s="12" t="s">
        <v>184</v>
      </c>
      <c r="C188" s="4" t="s">
        <v>168</v>
      </c>
      <c r="D188" s="22">
        <v>27</v>
      </c>
      <c r="E188" s="22">
        <v>7</v>
      </c>
      <c r="F188" s="22">
        <v>44</v>
      </c>
      <c r="G188" s="10">
        <v>12529</v>
      </c>
      <c r="H188" s="5">
        <v>50</v>
      </c>
      <c r="I188" s="17">
        <f t="shared" si="123"/>
        <v>1.8518518518518519</v>
      </c>
      <c r="J188" s="6">
        <v>16</v>
      </c>
      <c r="K188" s="6">
        <v>69</v>
      </c>
      <c r="L188" s="17">
        <f t="shared" si="124"/>
        <v>0.59259259259259256</v>
      </c>
      <c r="M188" s="17">
        <f t="shared" si="125"/>
        <v>2.5555555555555554</v>
      </c>
      <c r="N188" s="33">
        <f t="shared" si="126"/>
        <v>0.2318840579710145</v>
      </c>
      <c r="O188" s="12">
        <v>3</v>
      </c>
      <c r="P188" s="12">
        <v>17</v>
      </c>
      <c r="Q188" s="17">
        <f t="shared" si="127"/>
        <v>0.1111111111111111</v>
      </c>
      <c r="R188" s="17">
        <f t="shared" si="128"/>
        <v>0.62962962962962965</v>
      </c>
      <c r="S188" s="33">
        <f t="shared" si="129"/>
        <v>0.17647058823529413</v>
      </c>
      <c r="T188" s="12">
        <v>13</v>
      </c>
      <c r="U188" s="12">
        <v>52</v>
      </c>
      <c r="V188" s="17">
        <f t="shared" si="130"/>
        <v>0.48148148148148145</v>
      </c>
      <c r="W188" s="17">
        <f t="shared" si="131"/>
        <v>1.9259259259259258</v>
      </c>
      <c r="X188" s="33">
        <f t="shared" si="132"/>
        <v>0.25</v>
      </c>
      <c r="Y188" s="12">
        <v>5</v>
      </c>
      <c r="Z188" s="12">
        <v>9</v>
      </c>
      <c r="AA188" s="17">
        <f t="shared" si="133"/>
        <v>0.18518518518518517</v>
      </c>
      <c r="AB188" s="17">
        <f t="shared" si="134"/>
        <v>0.33333333333333331</v>
      </c>
      <c r="AC188" s="33">
        <f t="shared" si="135"/>
        <v>0.55555555555555558</v>
      </c>
      <c r="AD188" s="12">
        <v>38</v>
      </c>
      <c r="AE188" s="17">
        <f t="shared" si="136"/>
        <v>1.4074074074074074</v>
      </c>
      <c r="AF188" s="12">
        <v>7</v>
      </c>
      <c r="AG188" s="17">
        <f t="shared" si="137"/>
        <v>0.25925925925925924</v>
      </c>
      <c r="AH188" s="12">
        <v>31</v>
      </c>
      <c r="AI188" s="17">
        <f t="shared" si="138"/>
        <v>1.1481481481481481</v>
      </c>
      <c r="AJ188" s="12">
        <v>5</v>
      </c>
      <c r="AK188" s="17">
        <f t="shared" si="139"/>
        <v>0.18518518518518517</v>
      </c>
      <c r="AL188" s="12">
        <v>3</v>
      </c>
      <c r="AM188" s="17">
        <f t="shared" si="140"/>
        <v>0.1111111111111111</v>
      </c>
      <c r="AN188" s="12">
        <v>4</v>
      </c>
      <c r="AO188" s="17">
        <f t="shared" si="141"/>
        <v>0.14814814814814814</v>
      </c>
      <c r="AP188" s="12">
        <v>5</v>
      </c>
      <c r="AQ188" s="17">
        <f t="shared" si="142"/>
        <v>0.18518518518518517</v>
      </c>
      <c r="AR188" s="12">
        <v>32</v>
      </c>
      <c r="AS188" s="17">
        <f t="shared" si="143"/>
        <v>1.1851851851851851</v>
      </c>
      <c r="AT188" s="13">
        <v>-9.0144092924412167E-2</v>
      </c>
      <c r="AU188" s="13">
        <v>-1.7268983318852904E-2</v>
      </c>
      <c r="AV188" s="13">
        <v>0.27182787325494817</v>
      </c>
      <c r="AW188" s="13">
        <v>3.3897753118826359E-3</v>
      </c>
      <c r="AX188" s="13">
        <v>78.114066394982146</v>
      </c>
      <c r="AY188" s="13">
        <v>102.2721849726175</v>
      </c>
      <c r="AZ188" s="13">
        <v>0.15816597138134425</v>
      </c>
      <c r="BA188" s="13">
        <v>1.4074074074074074</v>
      </c>
      <c r="BB188" s="13">
        <v>7.2796934865900376</v>
      </c>
      <c r="BC188" s="14">
        <v>0.34265350877192985</v>
      </c>
      <c r="BD188" s="14">
        <v>0.32608695652173914</v>
      </c>
      <c r="BE188" s="13">
        <v>9.0054263584994452</v>
      </c>
      <c r="BF188" s="14">
        <v>0.75362318840579712</v>
      </c>
      <c r="BG188" s="14">
        <v>0.13043478260869565</v>
      </c>
      <c r="BH188" s="13">
        <v>1.923852101579391</v>
      </c>
      <c r="BI188" s="13">
        <v>8.5199164498515891</v>
      </c>
      <c r="BJ188" s="13">
        <v>4.8784245256374046</v>
      </c>
      <c r="BK188" s="13">
        <v>1.7273146015660987</v>
      </c>
      <c r="BL188" s="13">
        <v>0.80958734354675399</v>
      </c>
      <c r="BM188" s="13">
        <v>1.0626427926252591</v>
      </c>
      <c r="BN188" s="13">
        <v>6.4135454079014886</v>
      </c>
      <c r="BO188" s="15" t="s">
        <v>187</v>
      </c>
      <c r="BP188" s="15">
        <v>40833</v>
      </c>
      <c r="BQ188" s="12" t="s">
        <v>273</v>
      </c>
      <c r="BR188" s="26">
        <v>101.4</v>
      </c>
      <c r="BS188" s="27">
        <v>161.19999999999999</v>
      </c>
      <c r="BT188" s="27">
        <v>59.8</v>
      </c>
      <c r="BU188" s="26">
        <f t="shared" si="118"/>
        <v>3.7555555555555551</v>
      </c>
      <c r="BV188" s="26">
        <f t="shared" si="119"/>
        <v>5.9703703703703699</v>
      </c>
      <c r="BW188" s="26">
        <f t="shared" si="119"/>
        <v>2.2148148148148148</v>
      </c>
      <c r="BX188" s="31">
        <f t="shared" si="120"/>
        <v>19.423736930321652</v>
      </c>
      <c r="BY188" s="31">
        <f t="shared" si="121"/>
        <v>30.878761273844681</v>
      </c>
      <c r="BZ188" s="31">
        <f t="shared" si="122"/>
        <v>11.455024343523027</v>
      </c>
      <c r="CA188" s="35">
        <v>17</v>
      </c>
      <c r="CB188" s="35">
        <v>10</v>
      </c>
    </row>
    <row r="189" spans="1:80" x14ac:dyDescent="0.4">
      <c r="A189" s="12" t="s">
        <v>191</v>
      </c>
      <c r="B189" s="12" t="s">
        <v>184</v>
      </c>
      <c r="C189" s="4" t="s">
        <v>123</v>
      </c>
      <c r="D189" s="5">
        <v>54</v>
      </c>
      <c r="E189" s="22">
        <v>25</v>
      </c>
      <c r="F189" s="22">
        <v>28</v>
      </c>
      <c r="G189" s="10">
        <v>82525</v>
      </c>
      <c r="H189" s="5">
        <v>295</v>
      </c>
      <c r="I189" s="17">
        <f t="shared" si="123"/>
        <v>5.4629629629629628</v>
      </c>
      <c r="J189" s="7">
        <v>105</v>
      </c>
      <c r="K189" s="7">
        <v>241</v>
      </c>
      <c r="L189" s="17">
        <f t="shared" si="124"/>
        <v>1.9444444444444444</v>
      </c>
      <c r="M189" s="17">
        <f t="shared" si="125"/>
        <v>4.4629629629629628</v>
      </c>
      <c r="N189" s="33">
        <f t="shared" si="126"/>
        <v>0.43568464730290457</v>
      </c>
      <c r="O189" s="12">
        <v>46</v>
      </c>
      <c r="P189" s="12">
        <v>108</v>
      </c>
      <c r="Q189" s="17">
        <f t="shared" si="127"/>
        <v>0.85185185185185186</v>
      </c>
      <c r="R189" s="17">
        <f t="shared" si="128"/>
        <v>2</v>
      </c>
      <c r="S189" s="33">
        <f t="shared" si="129"/>
        <v>0.42592592592592593</v>
      </c>
      <c r="T189" s="12">
        <v>59</v>
      </c>
      <c r="U189" s="12">
        <v>133</v>
      </c>
      <c r="V189" s="17">
        <f t="shared" si="130"/>
        <v>1.0925925925925926</v>
      </c>
      <c r="W189" s="17">
        <f t="shared" si="131"/>
        <v>2.4629629629629628</v>
      </c>
      <c r="X189" s="33">
        <f t="shared" si="132"/>
        <v>0.44360902255639095</v>
      </c>
      <c r="Y189" s="12">
        <v>26</v>
      </c>
      <c r="Z189" s="12">
        <v>35</v>
      </c>
      <c r="AA189" s="17">
        <f t="shared" si="133"/>
        <v>0.48148148148148145</v>
      </c>
      <c r="AB189" s="17">
        <f t="shared" si="134"/>
        <v>0.64814814814814814</v>
      </c>
      <c r="AC189" s="33">
        <f t="shared" si="135"/>
        <v>0.74285714285714288</v>
      </c>
      <c r="AD189" s="12">
        <v>132</v>
      </c>
      <c r="AE189" s="17">
        <f t="shared" si="136"/>
        <v>2.4444444444444446</v>
      </c>
      <c r="AF189" s="12">
        <v>41</v>
      </c>
      <c r="AG189" s="17">
        <f t="shared" si="137"/>
        <v>0.7592592592592593</v>
      </c>
      <c r="AH189" s="12">
        <v>91</v>
      </c>
      <c r="AI189" s="17">
        <f t="shared" si="138"/>
        <v>1.6851851851851851</v>
      </c>
      <c r="AJ189" s="12">
        <v>52</v>
      </c>
      <c r="AK189" s="17">
        <f t="shared" si="139"/>
        <v>0.96296296296296291</v>
      </c>
      <c r="AL189" s="12">
        <v>29</v>
      </c>
      <c r="AM189" s="17">
        <f t="shared" si="140"/>
        <v>0.53703703703703709</v>
      </c>
      <c r="AN189" s="12">
        <v>11</v>
      </c>
      <c r="AO189" s="17">
        <f t="shared" si="141"/>
        <v>0.20370370370370369</v>
      </c>
      <c r="AP189" s="12">
        <v>33</v>
      </c>
      <c r="AQ189" s="17">
        <f t="shared" si="142"/>
        <v>0.61111111111111116</v>
      </c>
      <c r="AR189" s="12">
        <v>98</v>
      </c>
      <c r="AS189" s="17">
        <f t="shared" si="143"/>
        <v>1.8148148148148149</v>
      </c>
      <c r="AT189" s="13">
        <v>2.5381083422874862</v>
      </c>
      <c r="AU189" s="13">
        <v>7.3825140846058346E-2</v>
      </c>
      <c r="AV189" s="13">
        <v>1.3160265279673171</v>
      </c>
      <c r="AW189" s="13">
        <v>0.29262862604169559</v>
      </c>
      <c r="AX189" s="13">
        <v>113.50085688437316</v>
      </c>
      <c r="AY189" s="13">
        <v>105.39659572850009</v>
      </c>
      <c r="AZ189" s="13">
        <v>5.5301258891490628</v>
      </c>
      <c r="BA189" s="13">
        <v>6.3148148148148149</v>
      </c>
      <c r="BB189" s="13">
        <v>9.9185573007562535</v>
      </c>
      <c r="BC189" s="14">
        <v>0.57527301092043692</v>
      </c>
      <c r="BD189" s="14">
        <v>0.55809128630705396</v>
      </c>
      <c r="BE189" s="13">
        <v>10.151392075993119</v>
      </c>
      <c r="BF189" s="14">
        <v>0.55186721991701249</v>
      </c>
      <c r="BG189" s="14">
        <v>0.14522821576763487</v>
      </c>
      <c r="BH189" s="13">
        <v>3.4217803272668599</v>
      </c>
      <c r="BI189" s="13">
        <v>7.5946831653971776</v>
      </c>
      <c r="BJ189" s="13">
        <v>5.1459380226343301</v>
      </c>
      <c r="BK189" s="13">
        <v>5.7717922154802421</v>
      </c>
      <c r="BL189" s="13">
        <v>1.1882425059735084</v>
      </c>
      <c r="BM189" s="13">
        <v>0.88739018546454884</v>
      </c>
      <c r="BN189" s="13">
        <v>11.402902557014514</v>
      </c>
      <c r="BO189" s="15" t="s">
        <v>187</v>
      </c>
      <c r="BP189" s="15">
        <v>45000</v>
      </c>
      <c r="BQ189" s="12" t="s">
        <v>273</v>
      </c>
      <c r="BR189" s="26">
        <v>731.55</v>
      </c>
      <c r="BS189" s="27">
        <v>916.85</v>
      </c>
      <c r="BT189" s="27">
        <v>185.3</v>
      </c>
      <c r="BU189" s="26">
        <f t="shared" si="118"/>
        <v>13.547222222222222</v>
      </c>
      <c r="BV189" s="26">
        <f t="shared" si="119"/>
        <v>16.978703703703705</v>
      </c>
      <c r="BW189" s="26">
        <f t="shared" si="119"/>
        <v>3.4314814814814816</v>
      </c>
      <c r="BX189" s="31">
        <f t="shared" si="120"/>
        <v>21.275007573462585</v>
      </c>
      <c r="BY189" s="31">
        <f t="shared" si="121"/>
        <v>26.663920024235079</v>
      </c>
      <c r="BZ189" s="31">
        <f t="shared" si="122"/>
        <v>5.3889124507724935</v>
      </c>
      <c r="CA189" s="34">
        <v>36</v>
      </c>
      <c r="CB189" s="34">
        <v>18</v>
      </c>
    </row>
    <row r="190" spans="1:80" x14ac:dyDescent="0.4">
      <c r="A190" s="12" t="s">
        <v>191</v>
      </c>
      <c r="B190" s="12" t="s">
        <v>184</v>
      </c>
      <c r="C190" s="4" t="s">
        <v>169</v>
      </c>
      <c r="D190" s="32">
        <v>54</v>
      </c>
      <c r="E190" s="24">
        <v>12</v>
      </c>
      <c r="F190" s="24">
        <v>54</v>
      </c>
      <c r="G190" s="10">
        <v>41807</v>
      </c>
      <c r="H190" s="5">
        <v>170</v>
      </c>
      <c r="I190" s="17">
        <f t="shared" si="123"/>
        <v>3.1481481481481484</v>
      </c>
      <c r="J190" s="7">
        <v>61</v>
      </c>
      <c r="K190" s="7">
        <v>150</v>
      </c>
      <c r="L190" s="17">
        <f t="shared" si="124"/>
        <v>1.1296296296296295</v>
      </c>
      <c r="M190" s="17">
        <f t="shared" si="125"/>
        <v>2.7777777777777777</v>
      </c>
      <c r="N190" s="33">
        <f t="shared" si="126"/>
        <v>0.40666666666666668</v>
      </c>
      <c r="O190" s="12">
        <v>21</v>
      </c>
      <c r="P190" s="12">
        <v>46</v>
      </c>
      <c r="Q190" s="17">
        <f t="shared" si="127"/>
        <v>0.3888888888888889</v>
      </c>
      <c r="R190" s="17">
        <f t="shared" si="128"/>
        <v>0.85185185185185186</v>
      </c>
      <c r="S190" s="33">
        <f t="shared" si="129"/>
        <v>0.45652173913043476</v>
      </c>
      <c r="T190" s="12">
        <v>40</v>
      </c>
      <c r="U190" s="12">
        <v>104</v>
      </c>
      <c r="V190" s="17">
        <f t="shared" si="130"/>
        <v>0.7407407407407407</v>
      </c>
      <c r="W190" s="17">
        <f t="shared" si="131"/>
        <v>1.9259259259259258</v>
      </c>
      <c r="X190" s="33">
        <f t="shared" si="132"/>
        <v>0.38461538461538464</v>
      </c>
      <c r="Y190" s="12">
        <v>8</v>
      </c>
      <c r="Z190" s="12">
        <v>11</v>
      </c>
      <c r="AA190" s="17">
        <f t="shared" si="133"/>
        <v>0.14814814814814814</v>
      </c>
      <c r="AB190" s="17">
        <f t="shared" si="134"/>
        <v>0.20370370370370369</v>
      </c>
      <c r="AC190" s="33">
        <f t="shared" si="135"/>
        <v>0.72727272727272729</v>
      </c>
      <c r="AD190" s="12">
        <v>77</v>
      </c>
      <c r="AE190" s="17">
        <f t="shared" si="136"/>
        <v>1.4259259259259258</v>
      </c>
      <c r="AF190" s="12">
        <v>16</v>
      </c>
      <c r="AG190" s="17">
        <f t="shared" si="137"/>
        <v>0.29629629629629628</v>
      </c>
      <c r="AH190" s="12">
        <v>61</v>
      </c>
      <c r="AI190" s="17">
        <f t="shared" si="138"/>
        <v>1.1296296296296295</v>
      </c>
      <c r="AJ190" s="12">
        <v>32</v>
      </c>
      <c r="AK190" s="17">
        <f t="shared" si="139"/>
        <v>0.59259259259259256</v>
      </c>
      <c r="AL190" s="12">
        <v>26</v>
      </c>
      <c r="AM190" s="17">
        <f t="shared" si="140"/>
        <v>0.48148148148148145</v>
      </c>
      <c r="AN190" s="12">
        <v>5</v>
      </c>
      <c r="AO190" s="17">
        <f t="shared" si="141"/>
        <v>9.2592592592592587E-2</v>
      </c>
      <c r="AP190" s="12">
        <v>17</v>
      </c>
      <c r="AQ190" s="17">
        <f t="shared" si="142"/>
        <v>0.31481481481481483</v>
      </c>
      <c r="AR190" s="12">
        <v>117</v>
      </c>
      <c r="AS190" s="17">
        <f t="shared" si="143"/>
        <v>2.1666666666666665</v>
      </c>
      <c r="AT190" s="13">
        <v>1.4684969824444685</v>
      </c>
      <c r="AU190" s="13">
        <v>8.4323685469105278E-2</v>
      </c>
      <c r="AV190" s="13">
        <v>0.89884201494775484</v>
      </c>
      <c r="AW190" s="13">
        <v>0.1734763426891931</v>
      </c>
      <c r="AX190" s="13">
        <v>110.25707425536486</v>
      </c>
      <c r="AY190" s="13">
        <v>102.37664077494607</v>
      </c>
      <c r="AZ190" s="13">
        <v>4.45650686517107</v>
      </c>
      <c r="BA190" s="13">
        <v>3.7222222222222223</v>
      </c>
      <c r="BB190" s="13">
        <v>11.541774332472006</v>
      </c>
      <c r="BC190" s="14">
        <v>0.54895375871867735</v>
      </c>
      <c r="BD190" s="14">
        <v>0.54</v>
      </c>
      <c r="BE190" s="13">
        <v>11.899637526404398</v>
      </c>
      <c r="BF190" s="14">
        <v>0.69333333333333336</v>
      </c>
      <c r="BG190" s="14">
        <v>7.3333333333333334E-2</v>
      </c>
      <c r="BH190" s="13">
        <v>2.6361531934524547</v>
      </c>
      <c r="BI190" s="13">
        <v>10.050334050037483</v>
      </c>
      <c r="BJ190" s="13">
        <v>5.9260285411387592</v>
      </c>
      <c r="BK190" s="13">
        <v>7.1340987626797459</v>
      </c>
      <c r="BL190" s="13">
        <v>2.1031140638561672</v>
      </c>
      <c r="BM190" s="13">
        <v>0.79629563271660242</v>
      </c>
      <c r="BN190" s="13">
        <v>9.8929236499068907</v>
      </c>
      <c r="BO190" s="15" t="s">
        <v>187</v>
      </c>
      <c r="BP190" s="15">
        <v>250000</v>
      </c>
      <c r="BQ190" s="12" t="s">
        <v>271</v>
      </c>
      <c r="BR190" s="26">
        <v>399.2</v>
      </c>
      <c r="BS190" s="27">
        <v>509.7</v>
      </c>
      <c r="BT190" s="27">
        <v>110.5</v>
      </c>
      <c r="BU190" s="26">
        <f t="shared" si="118"/>
        <v>7.3925925925925924</v>
      </c>
      <c r="BV190" s="26">
        <f t="shared" si="119"/>
        <v>9.4388888888888882</v>
      </c>
      <c r="BW190" s="26">
        <f t="shared" si="119"/>
        <v>2.0462962962962963</v>
      </c>
      <c r="BX190" s="31">
        <f t="shared" si="120"/>
        <v>22.916736431698041</v>
      </c>
      <c r="BY190" s="31">
        <f t="shared" si="121"/>
        <v>29.260171741574379</v>
      </c>
      <c r="BZ190" s="31">
        <f t="shared" si="122"/>
        <v>6.3434353098763365</v>
      </c>
      <c r="CA190" s="34">
        <v>36</v>
      </c>
      <c r="CB190" s="34">
        <v>18</v>
      </c>
    </row>
    <row r="191" spans="1:80" x14ac:dyDescent="0.4">
      <c r="A191" s="12" t="s">
        <v>191</v>
      </c>
      <c r="B191" s="12" t="s">
        <v>184</v>
      </c>
      <c r="C191" s="4" t="s">
        <v>232</v>
      </c>
      <c r="D191" s="32">
        <v>6</v>
      </c>
      <c r="E191" s="24">
        <v>13</v>
      </c>
      <c r="F191" s="24">
        <v>26</v>
      </c>
      <c r="G191" s="10">
        <v>4836</v>
      </c>
      <c r="H191" s="5">
        <v>48</v>
      </c>
      <c r="I191" s="17">
        <f t="shared" si="123"/>
        <v>8</v>
      </c>
      <c r="J191" s="7">
        <v>19</v>
      </c>
      <c r="K191" s="7">
        <v>46</v>
      </c>
      <c r="L191" s="17">
        <f t="shared" si="124"/>
        <v>3.1666666666666665</v>
      </c>
      <c r="M191" s="17">
        <f t="shared" si="125"/>
        <v>7.666666666666667</v>
      </c>
      <c r="N191" s="33">
        <f t="shared" si="126"/>
        <v>0.41304347826086957</v>
      </c>
      <c r="O191" s="12">
        <v>12</v>
      </c>
      <c r="P191" s="12">
        <v>23</v>
      </c>
      <c r="Q191" s="17">
        <f t="shared" si="127"/>
        <v>2</v>
      </c>
      <c r="R191" s="17">
        <f t="shared" si="128"/>
        <v>3.8333333333333335</v>
      </c>
      <c r="S191" s="33">
        <f t="shared" si="129"/>
        <v>0.52173913043478259</v>
      </c>
      <c r="T191" s="12">
        <v>7</v>
      </c>
      <c r="U191" s="12">
        <v>23</v>
      </c>
      <c r="V191" s="17">
        <f t="shared" si="130"/>
        <v>1.1666666666666667</v>
      </c>
      <c r="W191" s="17">
        <f t="shared" si="131"/>
        <v>3.8333333333333335</v>
      </c>
      <c r="X191" s="33">
        <f t="shared" si="132"/>
        <v>0.30434782608695654</v>
      </c>
      <c r="Y191" s="12">
        <v>3</v>
      </c>
      <c r="Z191" s="12">
        <v>4</v>
      </c>
      <c r="AA191" s="17">
        <f t="shared" si="133"/>
        <v>0.5</v>
      </c>
      <c r="AB191" s="17">
        <f t="shared" si="134"/>
        <v>0.66666666666666663</v>
      </c>
      <c r="AC191" s="33">
        <f t="shared" si="135"/>
        <v>0.75</v>
      </c>
      <c r="AD191" s="12">
        <v>27</v>
      </c>
      <c r="AE191" s="17">
        <f t="shared" si="136"/>
        <v>4.5</v>
      </c>
      <c r="AF191" s="12">
        <v>7</v>
      </c>
      <c r="AG191" s="17">
        <f t="shared" si="137"/>
        <v>1.1666666666666667</v>
      </c>
      <c r="AH191" s="12">
        <v>20</v>
      </c>
      <c r="AI191" s="17">
        <f t="shared" si="138"/>
        <v>3.3333333333333335</v>
      </c>
      <c r="AJ191" s="12">
        <v>3</v>
      </c>
      <c r="AK191" s="17">
        <f t="shared" si="139"/>
        <v>0.5</v>
      </c>
      <c r="AL191" s="12">
        <v>3</v>
      </c>
      <c r="AM191" s="17">
        <f t="shared" si="140"/>
        <v>0.5</v>
      </c>
      <c r="AN191" s="12">
        <v>0</v>
      </c>
      <c r="AO191" s="17">
        <f t="shared" si="141"/>
        <v>0</v>
      </c>
      <c r="AP191" s="12">
        <v>5</v>
      </c>
      <c r="AQ191" s="17">
        <f t="shared" si="142"/>
        <v>0.83333333333333337</v>
      </c>
      <c r="AR191" s="12">
        <v>7</v>
      </c>
      <c r="AS191" s="17">
        <f t="shared" si="143"/>
        <v>1.1666666666666667</v>
      </c>
      <c r="AT191" s="13">
        <v>0.16365135874740872</v>
      </c>
      <c r="AU191" s="13">
        <v>8.1216555209632113E-2</v>
      </c>
      <c r="AV191" s="13">
        <v>0.15031675233329109</v>
      </c>
      <c r="AW191" s="13">
        <v>0.56710970861199417</v>
      </c>
      <c r="AX191" s="13">
        <v>98.202948087676404</v>
      </c>
      <c r="AY191" s="13">
        <v>97.170795636015356</v>
      </c>
      <c r="AZ191" s="13">
        <v>1.5200667090308657</v>
      </c>
      <c r="BA191" s="13">
        <v>8</v>
      </c>
      <c r="BB191" s="13">
        <v>23.821339950372213</v>
      </c>
      <c r="BC191" s="14">
        <v>0.50251256281407042</v>
      </c>
      <c r="BD191" s="14">
        <v>0.4891304347826087</v>
      </c>
      <c r="BE191" s="13">
        <v>3.5084894450060902</v>
      </c>
      <c r="BF191" s="14">
        <v>0.5</v>
      </c>
      <c r="BG191" s="14">
        <v>8.6956521739130432E-2</v>
      </c>
      <c r="BH191" s="13">
        <v>1.1075277607107163</v>
      </c>
      <c r="BI191" s="13">
        <v>3.1643650306020468</v>
      </c>
      <c r="BJ191" s="13">
        <v>1.9954584843014693</v>
      </c>
      <c r="BK191" s="13">
        <v>0.5863765188780663</v>
      </c>
      <c r="BL191" s="13">
        <v>2.0972932671533782</v>
      </c>
      <c r="BM191" s="13">
        <v>0</v>
      </c>
      <c r="BN191" s="13">
        <v>9.4768764215314629</v>
      </c>
      <c r="BO191" s="15" t="s">
        <v>189</v>
      </c>
      <c r="BP191" s="15">
        <v>100000</v>
      </c>
      <c r="BQ191" s="12" t="s">
        <v>273</v>
      </c>
      <c r="BR191" s="26">
        <v>73.95</v>
      </c>
      <c r="BS191" s="27">
        <v>107.65</v>
      </c>
      <c r="BT191" s="27">
        <v>33.700000000000003</v>
      </c>
      <c r="BU191" s="26">
        <f t="shared" si="118"/>
        <v>12.324999999999999</v>
      </c>
      <c r="BV191" s="26">
        <f t="shared" si="119"/>
        <v>17.941666666666666</v>
      </c>
      <c r="BW191" s="26">
        <f t="shared" si="119"/>
        <v>5.6166666666666671</v>
      </c>
      <c r="BX191" s="31">
        <f t="shared" si="120"/>
        <v>36.699751861042181</v>
      </c>
      <c r="BY191" s="31">
        <f t="shared" si="121"/>
        <v>53.424317617866002</v>
      </c>
      <c r="BZ191" s="31">
        <f t="shared" si="122"/>
        <v>16.724565756823822</v>
      </c>
      <c r="CA191" s="34">
        <v>3</v>
      </c>
      <c r="CB191" s="34">
        <v>3</v>
      </c>
    </row>
    <row r="192" spans="1:80" x14ac:dyDescent="0.4">
      <c r="A192" s="12" t="s">
        <v>191</v>
      </c>
      <c r="B192" s="12" t="s">
        <v>184</v>
      </c>
      <c r="C192" s="4" t="s">
        <v>166</v>
      </c>
      <c r="D192" s="5">
        <v>44</v>
      </c>
      <c r="E192" s="22">
        <v>29</v>
      </c>
      <c r="F192" s="22">
        <v>10</v>
      </c>
      <c r="G192" s="10">
        <v>77001</v>
      </c>
      <c r="H192" s="5">
        <v>651</v>
      </c>
      <c r="I192" s="17">
        <f t="shared" si="123"/>
        <v>14.795454545454545</v>
      </c>
      <c r="J192" s="7">
        <v>266</v>
      </c>
      <c r="K192" s="7">
        <v>625</v>
      </c>
      <c r="L192" s="17">
        <f t="shared" si="124"/>
        <v>6.0454545454545459</v>
      </c>
      <c r="M192" s="17">
        <f t="shared" si="125"/>
        <v>14.204545454545455</v>
      </c>
      <c r="N192" s="33">
        <f t="shared" si="126"/>
        <v>0.42559999999999998</v>
      </c>
      <c r="O192" s="12">
        <v>217</v>
      </c>
      <c r="P192" s="12">
        <v>460</v>
      </c>
      <c r="Q192" s="17">
        <f t="shared" si="127"/>
        <v>4.9318181818181817</v>
      </c>
      <c r="R192" s="17">
        <f t="shared" si="128"/>
        <v>10.454545454545455</v>
      </c>
      <c r="S192" s="33">
        <f t="shared" si="129"/>
        <v>0.47173913043478261</v>
      </c>
      <c r="T192" s="12">
        <v>49</v>
      </c>
      <c r="U192" s="12">
        <v>165</v>
      </c>
      <c r="V192" s="17">
        <f t="shared" si="130"/>
        <v>1.1136363636363635</v>
      </c>
      <c r="W192" s="17">
        <f t="shared" si="131"/>
        <v>3.75</v>
      </c>
      <c r="X192" s="33">
        <f t="shared" si="132"/>
        <v>0.29696969696969699</v>
      </c>
      <c r="Y192" s="12">
        <v>70</v>
      </c>
      <c r="Z192" s="12">
        <v>122</v>
      </c>
      <c r="AA192" s="17">
        <f t="shared" si="133"/>
        <v>1.5909090909090908</v>
      </c>
      <c r="AB192" s="17">
        <f t="shared" si="134"/>
        <v>2.7727272727272729</v>
      </c>
      <c r="AC192" s="33">
        <f t="shared" si="135"/>
        <v>0.57377049180327866</v>
      </c>
      <c r="AD192" s="12">
        <v>253</v>
      </c>
      <c r="AE192" s="17">
        <f t="shared" si="136"/>
        <v>5.75</v>
      </c>
      <c r="AF192" s="12">
        <v>51</v>
      </c>
      <c r="AG192" s="17">
        <f t="shared" si="137"/>
        <v>1.1590909090909092</v>
      </c>
      <c r="AH192" s="12">
        <v>202</v>
      </c>
      <c r="AI192" s="17">
        <f t="shared" si="138"/>
        <v>4.5909090909090908</v>
      </c>
      <c r="AJ192" s="12">
        <v>112</v>
      </c>
      <c r="AK192" s="17">
        <f t="shared" si="139"/>
        <v>2.5454545454545454</v>
      </c>
      <c r="AL192" s="12">
        <v>31</v>
      </c>
      <c r="AM192" s="17">
        <f t="shared" si="140"/>
        <v>0.70454545454545459</v>
      </c>
      <c r="AN192" s="12">
        <v>16</v>
      </c>
      <c r="AO192" s="17">
        <f t="shared" si="141"/>
        <v>0.36363636363636365</v>
      </c>
      <c r="AP192" s="12">
        <v>88</v>
      </c>
      <c r="AQ192" s="17">
        <f t="shared" si="142"/>
        <v>2</v>
      </c>
      <c r="AR192" s="12">
        <v>83</v>
      </c>
      <c r="AS192" s="17">
        <f t="shared" si="143"/>
        <v>1.8863636363636365</v>
      </c>
      <c r="AT192" s="13">
        <v>1.5456046806416528</v>
      </c>
      <c r="AU192" s="13">
        <v>4.8174691344674898E-2</v>
      </c>
      <c r="AV192" s="13">
        <v>1.7951062667246507</v>
      </c>
      <c r="AW192" s="13">
        <v>-3.1884782084148112E-3</v>
      </c>
      <c r="AX192" s="13">
        <v>95.887006956804939</v>
      </c>
      <c r="AY192" s="13">
        <v>101.39410477222472</v>
      </c>
      <c r="AZ192" s="13">
        <v>8.3643725273712821</v>
      </c>
      <c r="BA192" s="13">
        <v>12.818181818181818</v>
      </c>
      <c r="BB192" s="13">
        <v>17.57922077922078</v>
      </c>
      <c r="BC192" s="14">
        <v>0.47960747333058296</v>
      </c>
      <c r="BD192" s="14">
        <v>0.46479999999999999</v>
      </c>
      <c r="BE192" s="13">
        <v>23.481536686710701</v>
      </c>
      <c r="BF192" s="14">
        <v>0.26400000000000001</v>
      </c>
      <c r="BG192" s="14">
        <v>0.19520000000000001</v>
      </c>
      <c r="BH192" s="13">
        <v>3.7164111127979358</v>
      </c>
      <c r="BI192" s="13">
        <v>14.719902838925156</v>
      </c>
      <c r="BJ192" s="13">
        <v>8.611849803212424</v>
      </c>
      <c r="BK192" s="13">
        <v>12.639894667544437</v>
      </c>
      <c r="BL192" s="13">
        <v>1.3611160928076442</v>
      </c>
      <c r="BM192" s="13">
        <v>1.1270085846357032</v>
      </c>
      <c r="BN192" s="13">
        <v>11.478061251108677</v>
      </c>
      <c r="BO192" s="15" t="s">
        <v>188</v>
      </c>
      <c r="BP192" s="15">
        <v>600000</v>
      </c>
      <c r="BQ192" s="12" t="s">
        <v>273</v>
      </c>
      <c r="BR192" s="26">
        <v>945.84</v>
      </c>
      <c r="BS192" s="27">
        <v>1466.84</v>
      </c>
      <c r="BT192" s="27">
        <v>521</v>
      </c>
      <c r="BU192" s="26">
        <f t="shared" si="118"/>
        <v>21.496363636363633</v>
      </c>
      <c r="BV192" s="26">
        <f t="shared" si="119"/>
        <v>33.337272727272726</v>
      </c>
      <c r="BW192" s="26">
        <f t="shared" si="119"/>
        <v>11.840909090909092</v>
      </c>
      <c r="BX192" s="31">
        <f t="shared" si="120"/>
        <v>29.480344411111545</v>
      </c>
      <c r="BY192" s="31">
        <f t="shared" si="121"/>
        <v>45.719094557213545</v>
      </c>
      <c r="BZ192" s="31">
        <f t="shared" si="122"/>
        <v>16.238750146101999</v>
      </c>
      <c r="CA192" s="34">
        <v>30</v>
      </c>
      <c r="CB192" s="34">
        <v>14</v>
      </c>
    </row>
    <row r="193" spans="1:80" x14ac:dyDescent="0.4">
      <c r="A193" s="12" t="s">
        <v>191</v>
      </c>
      <c r="B193" s="12" t="s">
        <v>184</v>
      </c>
      <c r="C193" s="4" t="s">
        <v>127</v>
      </c>
      <c r="D193" s="5">
        <v>42</v>
      </c>
      <c r="E193" s="22">
        <v>7</v>
      </c>
      <c r="F193" s="22">
        <v>30</v>
      </c>
      <c r="G193" s="10">
        <v>18880</v>
      </c>
      <c r="H193" s="5">
        <v>78</v>
      </c>
      <c r="I193" s="17">
        <f t="shared" si="123"/>
        <v>1.8571428571428572</v>
      </c>
      <c r="J193" s="7">
        <v>23</v>
      </c>
      <c r="K193" s="7">
        <v>48</v>
      </c>
      <c r="L193" s="17">
        <f t="shared" si="124"/>
        <v>0.54761904761904767</v>
      </c>
      <c r="M193" s="17">
        <f t="shared" si="125"/>
        <v>1.1428571428571428</v>
      </c>
      <c r="N193" s="33">
        <f t="shared" si="126"/>
        <v>0.47916666666666669</v>
      </c>
      <c r="O193" s="12">
        <v>14</v>
      </c>
      <c r="P193" s="12">
        <v>29</v>
      </c>
      <c r="Q193" s="17">
        <f t="shared" si="127"/>
        <v>0.33333333333333331</v>
      </c>
      <c r="R193" s="17">
        <f t="shared" si="128"/>
        <v>0.69047619047619047</v>
      </c>
      <c r="S193" s="33">
        <f t="shared" si="129"/>
        <v>0.48275862068965519</v>
      </c>
      <c r="T193" s="12">
        <v>9</v>
      </c>
      <c r="U193" s="12">
        <v>19</v>
      </c>
      <c r="V193" s="17">
        <f t="shared" si="130"/>
        <v>0.21428571428571427</v>
      </c>
      <c r="W193" s="17">
        <f t="shared" si="131"/>
        <v>0.45238095238095238</v>
      </c>
      <c r="X193" s="33">
        <f t="shared" si="132"/>
        <v>0.47368421052631576</v>
      </c>
      <c r="Y193" s="12">
        <v>23</v>
      </c>
      <c r="Z193" s="12">
        <v>29</v>
      </c>
      <c r="AA193" s="17">
        <f t="shared" si="133"/>
        <v>0.54761904761904767</v>
      </c>
      <c r="AB193" s="17">
        <f t="shared" si="134"/>
        <v>0.69047619047619047</v>
      </c>
      <c r="AC193" s="33">
        <f t="shared" si="135"/>
        <v>0.7931034482758621</v>
      </c>
      <c r="AD193" s="12">
        <v>36</v>
      </c>
      <c r="AE193" s="17">
        <f t="shared" si="136"/>
        <v>0.8571428571428571</v>
      </c>
      <c r="AF193" s="12">
        <v>13</v>
      </c>
      <c r="AG193" s="17">
        <f t="shared" si="137"/>
        <v>0.30952380952380953</v>
      </c>
      <c r="AH193" s="12">
        <v>23</v>
      </c>
      <c r="AI193" s="17">
        <f t="shared" si="138"/>
        <v>0.54761904761904767</v>
      </c>
      <c r="AJ193" s="12">
        <v>40</v>
      </c>
      <c r="AK193" s="17">
        <f t="shared" si="139"/>
        <v>0.95238095238095233</v>
      </c>
      <c r="AL193" s="12">
        <v>9</v>
      </c>
      <c r="AM193" s="17">
        <f t="shared" si="140"/>
        <v>0.21428571428571427</v>
      </c>
      <c r="AN193" s="12">
        <v>0</v>
      </c>
      <c r="AO193" s="17">
        <f t="shared" si="141"/>
        <v>0</v>
      </c>
      <c r="AP193" s="12">
        <v>18</v>
      </c>
      <c r="AQ193" s="17">
        <f t="shared" si="142"/>
        <v>0.42857142857142855</v>
      </c>
      <c r="AR193" s="12">
        <v>36</v>
      </c>
      <c r="AS193" s="17">
        <f t="shared" si="143"/>
        <v>0.8571428571428571</v>
      </c>
      <c r="AT193" s="13">
        <v>0.88136673140998101</v>
      </c>
      <c r="AU193" s="13">
        <v>0.11191958494094997</v>
      </c>
      <c r="AV193" s="13">
        <v>0.32886819659614908</v>
      </c>
      <c r="AW193" s="13">
        <v>0.11349276365223042</v>
      </c>
      <c r="AX193" s="13">
        <v>120.42758594358298</v>
      </c>
      <c r="AY193" s="13">
        <v>104.60794344450525</v>
      </c>
      <c r="AZ193" s="13">
        <v>5.5822263472786009</v>
      </c>
      <c r="BA193" s="13">
        <v>2.7142857142857144</v>
      </c>
      <c r="BB193" s="13">
        <v>14.476190476190476</v>
      </c>
      <c r="BC193" s="14">
        <v>0.64186965108624094</v>
      </c>
      <c r="BD193" s="14">
        <v>0.57291666666666663</v>
      </c>
      <c r="BE193" s="13">
        <v>9.380880916648799</v>
      </c>
      <c r="BF193" s="14">
        <v>0.39583333333333331</v>
      </c>
      <c r="BG193" s="14">
        <v>0.60416666666666663</v>
      </c>
      <c r="BH193" s="13">
        <v>3.6840240878498047</v>
      </c>
      <c r="BI193" s="13">
        <v>6.5178887708111937</v>
      </c>
      <c r="BJ193" s="13">
        <v>4.7654504839910645</v>
      </c>
      <c r="BK193" s="13">
        <v>14.638609332113449</v>
      </c>
      <c r="BL193" s="13">
        <v>1.6099222603101166</v>
      </c>
      <c r="BM193" s="13">
        <v>0</v>
      </c>
      <c r="BN193" s="13">
        <v>22.854240731335707</v>
      </c>
      <c r="BO193" s="15" t="s">
        <v>187</v>
      </c>
      <c r="BP193" s="15">
        <v>40000</v>
      </c>
      <c r="BQ193" s="12" t="s">
        <v>271</v>
      </c>
      <c r="BR193" s="26">
        <v>212.37</v>
      </c>
      <c r="BS193" s="27">
        <v>268.17</v>
      </c>
      <c r="BT193" s="27">
        <v>55.8</v>
      </c>
      <c r="BU193" s="26">
        <f t="shared" si="118"/>
        <v>5.0564285714285724</v>
      </c>
      <c r="BV193" s="26">
        <f t="shared" si="119"/>
        <v>6.3850000000000007</v>
      </c>
      <c r="BW193" s="26">
        <f t="shared" si="119"/>
        <v>1.3285714285714285</v>
      </c>
      <c r="BX193" s="31">
        <f t="shared" si="120"/>
        <v>26.996186440677967</v>
      </c>
      <c r="BY193" s="31">
        <f t="shared" si="121"/>
        <v>34.089406779661019</v>
      </c>
      <c r="BZ193" s="31">
        <f t="shared" si="122"/>
        <v>7.093220338983051</v>
      </c>
      <c r="CA193" s="34">
        <v>29</v>
      </c>
      <c r="CB193" s="34">
        <v>13</v>
      </c>
    </row>
    <row r="194" spans="1:80" ht="18" thickBot="1" x14ac:dyDescent="0.45">
      <c r="A194" s="12" t="s">
        <v>191</v>
      </c>
      <c r="B194" s="12" t="s">
        <v>184</v>
      </c>
      <c r="C194" s="4" t="s">
        <v>54</v>
      </c>
      <c r="D194" s="23">
        <v>44</v>
      </c>
      <c r="E194" s="24">
        <v>12</v>
      </c>
      <c r="F194" s="24">
        <v>10</v>
      </c>
      <c r="G194" s="10">
        <v>32107</v>
      </c>
      <c r="H194" s="5">
        <v>157</v>
      </c>
      <c r="I194" s="17">
        <f t="shared" ref="I194" si="144">H194/$D194</f>
        <v>3.5681818181818183</v>
      </c>
      <c r="J194" s="7">
        <v>58</v>
      </c>
      <c r="K194" s="7">
        <v>147</v>
      </c>
      <c r="L194" s="17">
        <f t="shared" si="124"/>
        <v>1.3181818181818181</v>
      </c>
      <c r="M194" s="17">
        <f t="shared" si="125"/>
        <v>3.3409090909090908</v>
      </c>
      <c r="N194" s="33">
        <f t="shared" si="126"/>
        <v>0.39455782312925169</v>
      </c>
      <c r="O194" s="12">
        <v>34</v>
      </c>
      <c r="P194" s="12">
        <v>64</v>
      </c>
      <c r="Q194" s="17">
        <f t="shared" si="127"/>
        <v>0.77272727272727271</v>
      </c>
      <c r="R194" s="17">
        <f t="shared" si="128"/>
        <v>1.4545454545454546</v>
      </c>
      <c r="S194" s="33">
        <f t="shared" si="129"/>
        <v>0.53125</v>
      </c>
      <c r="T194" s="12">
        <v>24</v>
      </c>
      <c r="U194" s="12">
        <v>83</v>
      </c>
      <c r="V194" s="17">
        <f t="shared" si="130"/>
        <v>0.54545454545454541</v>
      </c>
      <c r="W194" s="17">
        <f t="shared" si="131"/>
        <v>1.8863636363636365</v>
      </c>
      <c r="X194" s="33">
        <f t="shared" si="132"/>
        <v>0.28915662650602408</v>
      </c>
      <c r="Y194" s="12">
        <v>17</v>
      </c>
      <c r="Z194" s="12">
        <v>21</v>
      </c>
      <c r="AA194" s="17">
        <f t="shared" si="133"/>
        <v>0.38636363636363635</v>
      </c>
      <c r="AB194" s="17">
        <f t="shared" si="134"/>
        <v>0.47727272727272729</v>
      </c>
      <c r="AC194" s="33">
        <f t="shared" si="135"/>
        <v>0.80952380952380953</v>
      </c>
      <c r="AD194" s="12">
        <v>75</v>
      </c>
      <c r="AE194" s="17">
        <f t="shared" ref="AE194" si="145">AD194/$D194</f>
        <v>1.7045454545454546</v>
      </c>
      <c r="AF194" s="12">
        <v>25</v>
      </c>
      <c r="AG194" s="17">
        <f t="shared" ref="AG194" si="146">AF194/$D194</f>
        <v>0.56818181818181823</v>
      </c>
      <c r="AH194" s="12">
        <v>50</v>
      </c>
      <c r="AI194" s="17">
        <f t="shared" ref="AI194" si="147">AH194/$D194</f>
        <v>1.1363636363636365</v>
      </c>
      <c r="AJ194" s="12">
        <v>10</v>
      </c>
      <c r="AK194" s="17">
        <f t="shared" ref="AK194" si="148">AJ194/$D194</f>
        <v>0.22727272727272727</v>
      </c>
      <c r="AL194" s="12">
        <v>20</v>
      </c>
      <c r="AM194" s="17">
        <f t="shared" ref="AM194" si="149">AL194/$D194</f>
        <v>0.45454545454545453</v>
      </c>
      <c r="AN194" s="12">
        <v>6</v>
      </c>
      <c r="AO194" s="17">
        <f t="shared" ref="AO194" si="150">AN194/$D194</f>
        <v>0.13636363636363635</v>
      </c>
      <c r="AP194" s="12">
        <v>9</v>
      </c>
      <c r="AQ194" s="17">
        <f t="shared" ref="AQ194" si="151">AP194/$D194</f>
        <v>0.20454545454545456</v>
      </c>
      <c r="AR194" s="12">
        <v>49</v>
      </c>
      <c r="AS194" s="17">
        <f t="shared" ref="AS194" si="152">AR194/$D194</f>
        <v>1.1136363636363635</v>
      </c>
      <c r="AT194" s="13">
        <v>1.1203500732168274</v>
      </c>
      <c r="AU194" s="13">
        <v>8.3712334237870042E-2</v>
      </c>
      <c r="AV194" s="13">
        <v>0.70663660707759568</v>
      </c>
      <c r="AW194" s="13">
        <v>0.35085363139686709</v>
      </c>
      <c r="AX194" s="13">
        <v>107.30941482032577</v>
      </c>
      <c r="AY194" s="13">
        <v>102.10788630766764</v>
      </c>
      <c r="AZ194" s="13">
        <v>5.7070269146446062</v>
      </c>
      <c r="BA194" s="13">
        <v>3.7727272727272729</v>
      </c>
      <c r="BB194" s="13">
        <v>12.403486924034867</v>
      </c>
      <c r="BC194" s="14">
        <v>0.50243215565796207</v>
      </c>
      <c r="BD194" s="14">
        <v>0.47619047619047616</v>
      </c>
      <c r="BE194" s="13">
        <v>12.132289236594813</v>
      </c>
      <c r="BF194" s="14">
        <v>0.56462585034013602</v>
      </c>
      <c r="BG194" s="14">
        <v>0.14285714285714285</v>
      </c>
      <c r="BH194" s="13">
        <v>4.3672572168925514</v>
      </c>
      <c r="BI194" s="13">
        <v>8.7345144337851028</v>
      </c>
      <c r="BJ194" s="13">
        <v>6.1200134640296211</v>
      </c>
      <c r="BK194" s="13">
        <v>2.3663971603234075</v>
      </c>
      <c r="BL194" s="13">
        <v>2.1051287339048845</v>
      </c>
      <c r="BM194" s="13">
        <v>1.0131498406399728</v>
      </c>
      <c r="BN194" s="13">
        <v>5.4466230936819171</v>
      </c>
      <c r="BO194" s="15" t="s">
        <v>187</v>
      </c>
      <c r="BP194" s="15"/>
      <c r="BQ194" s="12" t="s">
        <v>273</v>
      </c>
      <c r="BR194" s="26">
        <v>319.48</v>
      </c>
      <c r="BS194" s="28">
        <v>419.28</v>
      </c>
      <c r="BT194" s="28">
        <v>99.8</v>
      </c>
      <c r="BU194" s="26">
        <f t="shared" si="118"/>
        <v>7.2609090909090916</v>
      </c>
      <c r="BV194" s="26">
        <f t="shared" si="119"/>
        <v>9.5290909090909093</v>
      </c>
      <c r="BW194" s="26">
        <f t="shared" si="119"/>
        <v>2.2681818181818181</v>
      </c>
      <c r="BX194" s="31">
        <f t="shared" si="120"/>
        <v>23.881147413336652</v>
      </c>
      <c r="BY194" s="31">
        <f t="shared" si="121"/>
        <v>31.341202852960411</v>
      </c>
      <c r="BZ194" s="31">
        <f t="shared" si="122"/>
        <v>7.4600554396237584</v>
      </c>
      <c r="CA194" s="34">
        <v>30</v>
      </c>
      <c r="CB194" s="34">
        <v>14</v>
      </c>
    </row>
  </sheetData>
  <autoFilter ref="A1:BO194" xr:uid="{0255B66F-BA9D-4F4E-80F0-8D4A27B7E2E2}">
    <sortState xmlns:xlrd2="http://schemas.microsoft.com/office/spreadsheetml/2017/richdata2" ref="A2:BO194">
      <sortCondition ref="B1:B19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2026-05-17T12:41:08Z</dcterms:modified>
</cp:coreProperties>
</file>