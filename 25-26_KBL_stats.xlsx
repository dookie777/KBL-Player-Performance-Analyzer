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75AEE59B-C7ED-4CE9-A920-C7783A37C4E3}" xr6:coauthVersionLast="47" xr6:coauthVersionMax="47" xr10:uidLastSave="{00000000-0000-0000-0000-000000000000}"/>
  <bookViews>
    <workbookView xWindow="28680" yWindow="-120" windowWidth="29040" windowHeight="15720" xr2:uid="{C857A6F3-DAC3-47BF-9FFB-2634F9EBE6C3}"/>
  </bookViews>
  <sheets>
    <sheet name="Sheet1" sheetId="1" r:id="rId1"/>
  </sheets>
  <definedNames>
    <definedName name="_xlnm._FilterDatabase" localSheetId="0" hidden="1">Sheet1!$A$1:$BP$194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175" i="1" l="1"/>
  <c r="AC20" i="1"/>
  <c r="AC58" i="1"/>
  <c r="AC116" i="1"/>
  <c r="AC174" i="1"/>
  <c r="AC19" i="1"/>
  <c r="AC18" i="1"/>
  <c r="AC173" i="1"/>
  <c r="AC96" i="1"/>
  <c r="AC157" i="1"/>
  <c r="AC115" i="1"/>
  <c r="AC57" i="1"/>
  <c r="AC77" i="1"/>
  <c r="AC114" i="1"/>
  <c r="AC56" i="1"/>
  <c r="AC40" i="1"/>
  <c r="AC194" i="1"/>
  <c r="AC39" i="1"/>
  <c r="AC55" i="1"/>
  <c r="AC38" i="1"/>
  <c r="AC76" i="1"/>
  <c r="AC193" i="1"/>
  <c r="AC172" i="1"/>
  <c r="AC95" i="1"/>
  <c r="AC135" i="1"/>
  <c r="AC94" i="1"/>
  <c r="AC171" i="1"/>
  <c r="AC113" i="1"/>
  <c r="AC192" i="1"/>
  <c r="AC191" i="1"/>
  <c r="AC134" i="1"/>
  <c r="AC133" i="1"/>
  <c r="AC17" i="1"/>
  <c r="AC75" i="1"/>
  <c r="AC132" i="1"/>
  <c r="AC131" i="1"/>
  <c r="AC156" i="1"/>
  <c r="AC155" i="1"/>
  <c r="AC16" i="1"/>
  <c r="AC93" i="1"/>
  <c r="AC37" i="1"/>
  <c r="AC74" i="1"/>
  <c r="AC92" i="1"/>
  <c r="AC154" i="1"/>
  <c r="AC112" i="1"/>
  <c r="AC73" i="1"/>
  <c r="AC153" i="1"/>
  <c r="AC36" i="1"/>
  <c r="AC72" i="1"/>
  <c r="AC35" i="1"/>
  <c r="AC190" i="1"/>
  <c r="AC189" i="1"/>
  <c r="AC54" i="1"/>
  <c r="AC15" i="1"/>
  <c r="AC152" i="1"/>
  <c r="AC91" i="1"/>
  <c r="AC53" i="1"/>
  <c r="AC111" i="1"/>
  <c r="AC14" i="1"/>
  <c r="AC34" i="1"/>
  <c r="AC151" i="1"/>
  <c r="AC150" i="1"/>
  <c r="AC110" i="1"/>
  <c r="AC33" i="1"/>
  <c r="AC71" i="1"/>
  <c r="AC188" i="1"/>
  <c r="AC149" i="1"/>
  <c r="AC130" i="1"/>
  <c r="AC187" i="1"/>
  <c r="AC109" i="1"/>
  <c r="AC129" i="1"/>
  <c r="AC13" i="1"/>
  <c r="AC52" i="1"/>
  <c r="AC70" i="1"/>
  <c r="AC148" i="1"/>
  <c r="AC90" i="1"/>
  <c r="AC32" i="1"/>
  <c r="AC108" i="1"/>
  <c r="AC147" i="1"/>
  <c r="AC69" i="1"/>
  <c r="AC146" i="1"/>
  <c r="AC145" i="1"/>
  <c r="AC186" i="1"/>
  <c r="AC89" i="1"/>
  <c r="AC128" i="1"/>
  <c r="AC88" i="1"/>
  <c r="AC170" i="1"/>
  <c r="AC31" i="1"/>
  <c r="AC12" i="1"/>
  <c r="AC11" i="1"/>
  <c r="AC169" i="1"/>
  <c r="AC168" i="1"/>
  <c r="AC30" i="1"/>
  <c r="AC144" i="1"/>
  <c r="AC87" i="1"/>
  <c r="AC167" i="1"/>
  <c r="AC143" i="1"/>
  <c r="AC10" i="1"/>
  <c r="AC9" i="1"/>
  <c r="AC29" i="1"/>
  <c r="AC127" i="1"/>
  <c r="AC107" i="1"/>
  <c r="AC166" i="1"/>
  <c r="AC185" i="1"/>
  <c r="AC68" i="1"/>
  <c r="AC67" i="1"/>
  <c r="AC126" i="1"/>
  <c r="AC28" i="1"/>
  <c r="AC184" i="1"/>
  <c r="AC51" i="1"/>
  <c r="AC125" i="1"/>
  <c r="AC86" i="1"/>
  <c r="AC8" i="1"/>
  <c r="AC106" i="1"/>
  <c r="AC183" i="1"/>
  <c r="AC66" i="1"/>
  <c r="AC50" i="1"/>
  <c r="AC165" i="1"/>
  <c r="AC142" i="1"/>
  <c r="AC164" i="1"/>
  <c r="AC65" i="1"/>
  <c r="AC141" i="1"/>
  <c r="AC49" i="1"/>
  <c r="AC124" i="1"/>
  <c r="AC123" i="1"/>
  <c r="AC85" i="1"/>
  <c r="AC105" i="1"/>
  <c r="AC182" i="1"/>
  <c r="AC7" i="1"/>
  <c r="AC104" i="1"/>
  <c r="AC48" i="1"/>
  <c r="AC27" i="1"/>
  <c r="AC140" i="1"/>
  <c r="AC84" i="1"/>
  <c r="AC103" i="1"/>
  <c r="AC47" i="1"/>
  <c r="AC64" i="1"/>
  <c r="AC181" i="1"/>
  <c r="AC6" i="1"/>
  <c r="AC163" i="1"/>
  <c r="AC26" i="1"/>
  <c r="AC83" i="1"/>
  <c r="AC5" i="1"/>
  <c r="AC46" i="1"/>
  <c r="AC102" i="1"/>
  <c r="AC180" i="1"/>
  <c r="AC162" i="1"/>
  <c r="AC63" i="1"/>
  <c r="AC161" i="1"/>
  <c r="AC82" i="1"/>
  <c r="AC45" i="1"/>
  <c r="AC160" i="1"/>
  <c r="AC101" i="1"/>
  <c r="AC122" i="1"/>
  <c r="AC121" i="1"/>
  <c r="AC44" i="1"/>
  <c r="AC100" i="1"/>
  <c r="AC25" i="1"/>
  <c r="AC24" i="1"/>
  <c r="AC120" i="1"/>
  <c r="AC119" i="1"/>
  <c r="AC139" i="1"/>
  <c r="AC99" i="1"/>
  <c r="AC138" i="1"/>
  <c r="AC62" i="1"/>
  <c r="AC81" i="1"/>
  <c r="AC23" i="1"/>
  <c r="AC98" i="1"/>
  <c r="AC179" i="1"/>
  <c r="AC43" i="1"/>
  <c r="AC118" i="1"/>
  <c r="AC61" i="1"/>
  <c r="AC60" i="1"/>
  <c r="AC80" i="1"/>
  <c r="AC178" i="1"/>
  <c r="AC177" i="1"/>
  <c r="AC137" i="1"/>
  <c r="AC79" i="1"/>
  <c r="AC42" i="1"/>
  <c r="AC22" i="1"/>
  <c r="AC4" i="1"/>
  <c r="AC21" i="1"/>
  <c r="AC176" i="1"/>
  <c r="AC117" i="1"/>
  <c r="AC3" i="1"/>
  <c r="AC78" i="1"/>
  <c r="AC159" i="1"/>
  <c r="AC97" i="1"/>
  <c r="AC2" i="1"/>
  <c r="AC41" i="1"/>
  <c r="AC136" i="1"/>
  <c r="AC158" i="1"/>
  <c r="AC59" i="1"/>
  <c r="X175" i="1"/>
  <c r="X20" i="1"/>
  <c r="X58" i="1"/>
  <c r="X116" i="1"/>
  <c r="X174" i="1"/>
  <c r="X19" i="1"/>
  <c r="X18" i="1"/>
  <c r="X173" i="1"/>
  <c r="X96" i="1"/>
  <c r="X157" i="1"/>
  <c r="X115" i="1"/>
  <c r="X57" i="1"/>
  <c r="X77" i="1"/>
  <c r="X114" i="1"/>
  <c r="X56" i="1"/>
  <c r="X40" i="1"/>
  <c r="X194" i="1"/>
  <c r="X39" i="1"/>
  <c r="X55" i="1"/>
  <c r="X38" i="1"/>
  <c r="X76" i="1"/>
  <c r="X193" i="1"/>
  <c r="X172" i="1"/>
  <c r="X95" i="1"/>
  <c r="X135" i="1"/>
  <c r="X94" i="1"/>
  <c r="X171" i="1"/>
  <c r="X113" i="1"/>
  <c r="X192" i="1"/>
  <c r="X191" i="1"/>
  <c r="X134" i="1"/>
  <c r="X133" i="1"/>
  <c r="X17" i="1"/>
  <c r="X75" i="1"/>
  <c r="X132" i="1"/>
  <c r="X131" i="1"/>
  <c r="X156" i="1"/>
  <c r="X155" i="1"/>
  <c r="X16" i="1"/>
  <c r="X93" i="1"/>
  <c r="X37" i="1"/>
  <c r="X74" i="1"/>
  <c r="X92" i="1"/>
  <c r="X154" i="1"/>
  <c r="X112" i="1"/>
  <c r="X73" i="1"/>
  <c r="X153" i="1"/>
  <c r="X36" i="1"/>
  <c r="X72" i="1"/>
  <c r="X35" i="1"/>
  <c r="X190" i="1"/>
  <c r="X189" i="1"/>
  <c r="X54" i="1"/>
  <c r="X15" i="1"/>
  <c r="X152" i="1"/>
  <c r="X91" i="1"/>
  <c r="X53" i="1"/>
  <c r="X111" i="1"/>
  <c r="X14" i="1"/>
  <c r="X34" i="1"/>
  <c r="X151" i="1"/>
  <c r="X150" i="1"/>
  <c r="X110" i="1"/>
  <c r="X33" i="1"/>
  <c r="X71" i="1"/>
  <c r="X188" i="1"/>
  <c r="X149" i="1"/>
  <c r="X130" i="1"/>
  <c r="X187" i="1"/>
  <c r="X109" i="1"/>
  <c r="X129" i="1"/>
  <c r="X13" i="1"/>
  <c r="X52" i="1"/>
  <c r="X70" i="1"/>
  <c r="X148" i="1"/>
  <c r="X90" i="1"/>
  <c r="X32" i="1"/>
  <c r="X108" i="1"/>
  <c r="X147" i="1"/>
  <c r="X69" i="1"/>
  <c r="X146" i="1"/>
  <c r="X145" i="1"/>
  <c r="X186" i="1"/>
  <c r="X89" i="1"/>
  <c r="X128" i="1"/>
  <c r="X88" i="1"/>
  <c r="X170" i="1"/>
  <c r="X31" i="1"/>
  <c r="X12" i="1"/>
  <c r="X11" i="1"/>
  <c r="X169" i="1"/>
  <c r="X168" i="1"/>
  <c r="X30" i="1"/>
  <c r="X144" i="1"/>
  <c r="X87" i="1"/>
  <c r="X167" i="1"/>
  <c r="X143" i="1"/>
  <c r="X10" i="1"/>
  <c r="X9" i="1"/>
  <c r="X29" i="1"/>
  <c r="X127" i="1"/>
  <c r="X107" i="1"/>
  <c r="X166" i="1"/>
  <c r="X185" i="1"/>
  <c r="X68" i="1"/>
  <c r="X67" i="1"/>
  <c r="X126" i="1"/>
  <c r="X28" i="1"/>
  <c r="X184" i="1"/>
  <c r="X51" i="1"/>
  <c r="X125" i="1"/>
  <c r="X86" i="1"/>
  <c r="X8" i="1"/>
  <c r="X106" i="1"/>
  <c r="X183" i="1"/>
  <c r="X66" i="1"/>
  <c r="X50" i="1"/>
  <c r="X165" i="1"/>
  <c r="X142" i="1"/>
  <c r="X164" i="1"/>
  <c r="X65" i="1"/>
  <c r="X141" i="1"/>
  <c r="X49" i="1"/>
  <c r="X124" i="1"/>
  <c r="X123" i="1"/>
  <c r="X85" i="1"/>
  <c r="X105" i="1"/>
  <c r="X182" i="1"/>
  <c r="X7" i="1"/>
  <c r="X104" i="1"/>
  <c r="X48" i="1"/>
  <c r="X27" i="1"/>
  <c r="X140" i="1"/>
  <c r="X84" i="1"/>
  <c r="X103" i="1"/>
  <c r="X47" i="1"/>
  <c r="X64" i="1"/>
  <c r="X181" i="1"/>
  <c r="X6" i="1"/>
  <c r="X163" i="1"/>
  <c r="X26" i="1"/>
  <c r="X83" i="1"/>
  <c r="X5" i="1"/>
  <c r="X46" i="1"/>
  <c r="X102" i="1"/>
  <c r="X180" i="1"/>
  <c r="X162" i="1"/>
  <c r="X63" i="1"/>
  <c r="X161" i="1"/>
  <c r="X82" i="1"/>
  <c r="X45" i="1"/>
  <c r="X160" i="1"/>
  <c r="X101" i="1"/>
  <c r="X122" i="1"/>
  <c r="X121" i="1"/>
  <c r="X44" i="1"/>
  <c r="X100" i="1"/>
  <c r="X25" i="1"/>
  <c r="X24" i="1"/>
  <c r="X120" i="1"/>
  <c r="X119" i="1"/>
  <c r="X139" i="1"/>
  <c r="X99" i="1"/>
  <c r="X138" i="1"/>
  <c r="X62" i="1"/>
  <c r="X81" i="1"/>
  <c r="X23" i="1"/>
  <c r="X98" i="1"/>
  <c r="X179" i="1"/>
  <c r="X43" i="1"/>
  <c r="X118" i="1"/>
  <c r="X61" i="1"/>
  <c r="X60" i="1"/>
  <c r="X80" i="1"/>
  <c r="X178" i="1"/>
  <c r="X177" i="1"/>
  <c r="X137" i="1"/>
  <c r="X79" i="1"/>
  <c r="X42" i="1"/>
  <c r="X22" i="1"/>
  <c r="X4" i="1"/>
  <c r="X21" i="1"/>
  <c r="X176" i="1"/>
  <c r="X117" i="1"/>
  <c r="X3" i="1"/>
  <c r="X78" i="1"/>
  <c r="X159" i="1"/>
  <c r="X97" i="1"/>
  <c r="X2" i="1"/>
  <c r="X41" i="1"/>
  <c r="X136" i="1"/>
  <c r="X158" i="1"/>
  <c r="X59" i="1"/>
  <c r="S175" i="1"/>
  <c r="S20" i="1"/>
  <c r="S58" i="1"/>
  <c r="S116" i="1"/>
  <c r="S174" i="1"/>
  <c r="S19" i="1"/>
  <c r="S18" i="1"/>
  <c r="S173" i="1"/>
  <c r="S96" i="1"/>
  <c r="S157" i="1"/>
  <c r="S115" i="1"/>
  <c r="S57" i="1"/>
  <c r="S77" i="1"/>
  <c r="S114" i="1"/>
  <c r="S56" i="1"/>
  <c r="S40" i="1"/>
  <c r="S194" i="1"/>
  <c r="S39" i="1"/>
  <c r="S55" i="1"/>
  <c r="S38" i="1"/>
  <c r="S76" i="1"/>
  <c r="S193" i="1"/>
  <c r="S172" i="1"/>
  <c r="S95" i="1"/>
  <c r="S135" i="1"/>
  <c r="S94" i="1"/>
  <c r="S171" i="1"/>
  <c r="S113" i="1"/>
  <c r="S192" i="1"/>
  <c r="S191" i="1"/>
  <c r="S134" i="1"/>
  <c r="S133" i="1"/>
  <c r="S17" i="1"/>
  <c r="S75" i="1"/>
  <c r="S132" i="1"/>
  <c r="S131" i="1"/>
  <c r="S156" i="1"/>
  <c r="S155" i="1"/>
  <c r="S16" i="1"/>
  <c r="S93" i="1"/>
  <c r="S37" i="1"/>
  <c r="S74" i="1"/>
  <c r="S92" i="1"/>
  <c r="S154" i="1"/>
  <c r="S112" i="1"/>
  <c r="S73" i="1"/>
  <c r="S153" i="1"/>
  <c r="S36" i="1"/>
  <c r="S72" i="1"/>
  <c r="S35" i="1"/>
  <c r="S190" i="1"/>
  <c r="S189" i="1"/>
  <c r="S54" i="1"/>
  <c r="S15" i="1"/>
  <c r="S152" i="1"/>
  <c r="S91" i="1"/>
  <c r="S53" i="1"/>
  <c r="S111" i="1"/>
  <c r="S14" i="1"/>
  <c r="S34" i="1"/>
  <c r="S151" i="1"/>
  <c r="S150" i="1"/>
  <c r="S110" i="1"/>
  <c r="S33" i="1"/>
  <c r="S71" i="1"/>
  <c r="S188" i="1"/>
  <c r="S149" i="1"/>
  <c r="S130" i="1"/>
  <c r="S187" i="1"/>
  <c r="S109" i="1"/>
  <c r="S129" i="1"/>
  <c r="S13" i="1"/>
  <c r="S52" i="1"/>
  <c r="S70" i="1"/>
  <c r="S148" i="1"/>
  <c r="S90" i="1"/>
  <c r="S32" i="1"/>
  <c r="S108" i="1"/>
  <c r="S147" i="1"/>
  <c r="S69" i="1"/>
  <c r="S146" i="1"/>
  <c r="S145" i="1"/>
  <c r="S186" i="1"/>
  <c r="S89" i="1"/>
  <c r="S128" i="1"/>
  <c r="S88" i="1"/>
  <c r="S170" i="1"/>
  <c r="S31" i="1"/>
  <c r="S12" i="1"/>
  <c r="S11" i="1"/>
  <c r="S169" i="1"/>
  <c r="S168" i="1"/>
  <c r="S30" i="1"/>
  <c r="S144" i="1"/>
  <c r="S87" i="1"/>
  <c r="S167" i="1"/>
  <c r="S143" i="1"/>
  <c r="S10" i="1"/>
  <c r="S9" i="1"/>
  <c r="S29" i="1"/>
  <c r="S127" i="1"/>
  <c r="S107" i="1"/>
  <c r="S166" i="1"/>
  <c r="S185" i="1"/>
  <c r="S68" i="1"/>
  <c r="S67" i="1"/>
  <c r="S126" i="1"/>
  <c r="S28" i="1"/>
  <c r="S184" i="1"/>
  <c r="S51" i="1"/>
  <c r="S125" i="1"/>
  <c r="S86" i="1"/>
  <c r="S8" i="1"/>
  <c r="S106" i="1"/>
  <c r="S183" i="1"/>
  <c r="S66" i="1"/>
  <c r="S50" i="1"/>
  <c r="S165" i="1"/>
  <c r="S142" i="1"/>
  <c r="S164" i="1"/>
  <c r="S65" i="1"/>
  <c r="S141" i="1"/>
  <c r="S49" i="1"/>
  <c r="S124" i="1"/>
  <c r="S123" i="1"/>
  <c r="S85" i="1"/>
  <c r="S105" i="1"/>
  <c r="S182" i="1"/>
  <c r="S7" i="1"/>
  <c r="S104" i="1"/>
  <c r="S48" i="1"/>
  <c r="S27" i="1"/>
  <c r="S140" i="1"/>
  <c r="S84" i="1"/>
  <c r="S103" i="1"/>
  <c r="S47" i="1"/>
  <c r="S64" i="1"/>
  <c r="S181" i="1"/>
  <c r="S6" i="1"/>
  <c r="S163" i="1"/>
  <c r="S26" i="1"/>
  <c r="S83" i="1"/>
  <c r="S5" i="1"/>
  <c r="S46" i="1"/>
  <c r="S102" i="1"/>
  <c r="S180" i="1"/>
  <c r="S162" i="1"/>
  <c r="S63" i="1"/>
  <c r="S161" i="1"/>
  <c r="S82" i="1"/>
  <c r="S45" i="1"/>
  <c r="S160" i="1"/>
  <c r="S101" i="1"/>
  <c r="S122" i="1"/>
  <c r="S121" i="1"/>
  <c r="S44" i="1"/>
  <c r="S100" i="1"/>
  <c r="S25" i="1"/>
  <c r="S24" i="1"/>
  <c r="S120" i="1"/>
  <c r="S119" i="1"/>
  <c r="S139" i="1"/>
  <c r="S99" i="1"/>
  <c r="S138" i="1"/>
  <c r="S62" i="1"/>
  <c r="S81" i="1"/>
  <c r="S23" i="1"/>
  <c r="S98" i="1"/>
  <c r="S179" i="1"/>
  <c r="S43" i="1"/>
  <c r="S118" i="1"/>
  <c r="S61" i="1"/>
  <c r="S60" i="1"/>
  <c r="S80" i="1"/>
  <c r="S178" i="1"/>
  <c r="S177" i="1"/>
  <c r="S137" i="1"/>
  <c r="S79" i="1"/>
  <c r="S42" i="1"/>
  <c r="S22" i="1"/>
  <c r="S4" i="1"/>
  <c r="S21" i="1"/>
  <c r="S176" i="1"/>
  <c r="S117" i="1"/>
  <c r="S3" i="1"/>
  <c r="S78" i="1"/>
  <c r="S159" i="1"/>
  <c r="S97" i="1"/>
  <c r="S2" i="1"/>
  <c r="S41" i="1"/>
  <c r="S136" i="1"/>
  <c r="S158" i="1"/>
  <c r="S59" i="1"/>
  <c r="N175" i="1"/>
  <c r="N20" i="1"/>
  <c r="N58" i="1"/>
  <c r="N116" i="1"/>
  <c r="N174" i="1"/>
  <c r="N19" i="1"/>
  <c r="N18" i="1"/>
  <c r="N173" i="1"/>
  <c r="N96" i="1"/>
  <c r="N157" i="1"/>
  <c r="N115" i="1"/>
  <c r="N57" i="1"/>
  <c r="N77" i="1"/>
  <c r="N114" i="1"/>
  <c r="N56" i="1"/>
  <c r="N40" i="1"/>
  <c r="N194" i="1"/>
  <c r="N39" i="1"/>
  <c r="N55" i="1"/>
  <c r="N38" i="1"/>
  <c r="N76" i="1"/>
  <c r="N193" i="1"/>
  <c r="N172" i="1"/>
  <c r="N95" i="1"/>
  <c r="N135" i="1"/>
  <c r="N94" i="1"/>
  <c r="N171" i="1"/>
  <c r="N113" i="1"/>
  <c r="N192" i="1"/>
  <c r="N191" i="1"/>
  <c r="N134" i="1"/>
  <c r="N133" i="1"/>
  <c r="N17" i="1"/>
  <c r="N75" i="1"/>
  <c r="N132" i="1"/>
  <c r="N131" i="1"/>
  <c r="N156" i="1"/>
  <c r="N155" i="1"/>
  <c r="N16" i="1"/>
  <c r="N93" i="1"/>
  <c r="N37" i="1"/>
  <c r="N74" i="1"/>
  <c r="N92" i="1"/>
  <c r="N154" i="1"/>
  <c r="N112" i="1"/>
  <c r="N73" i="1"/>
  <c r="N153" i="1"/>
  <c r="N36" i="1"/>
  <c r="N72" i="1"/>
  <c r="N35" i="1"/>
  <c r="N190" i="1"/>
  <c r="N189" i="1"/>
  <c r="N54" i="1"/>
  <c r="N15" i="1"/>
  <c r="N152" i="1"/>
  <c r="N91" i="1"/>
  <c r="N53" i="1"/>
  <c r="N111" i="1"/>
  <c r="N14" i="1"/>
  <c r="N34" i="1"/>
  <c r="N151" i="1"/>
  <c r="N150" i="1"/>
  <c r="N110" i="1"/>
  <c r="N33" i="1"/>
  <c r="N71" i="1"/>
  <c r="N188" i="1"/>
  <c r="N149" i="1"/>
  <c r="N130" i="1"/>
  <c r="N187" i="1"/>
  <c r="N109" i="1"/>
  <c r="N129" i="1"/>
  <c r="N13" i="1"/>
  <c r="N52" i="1"/>
  <c r="N70" i="1"/>
  <c r="N148" i="1"/>
  <c r="N90" i="1"/>
  <c r="N32" i="1"/>
  <c r="N108" i="1"/>
  <c r="N147" i="1"/>
  <c r="N69" i="1"/>
  <c r="N146" i="1"/>
  <c r="N145" i="1"/>
  <c r="N186" i="1"/>
  <c r="N89" i="1"/>
  <c r="N128" i="1"/>
  <c r="N88" i="1"/>
  <c r="N170" i="1"/>
  <c r="N31" i="1"/>
  <c r="N12" i="1"/>
  <c r="N11" i="1"/>
  <c r="N169" i="1"/>
  <c r="N168" i="1"/>
  <c r="N30" i="1"/>
  <c r="N144" i="1"/>
  <c r="N87" i="1"/>
  <c r="N167" i="1"/>
  <c r="N143" i="1"/>
  <c r="N10" i="1"/>
  <c r="N9" i="1"/>
  <c r="N29" i="1"/>
  <c r="N127" i="1"/>
  <c r="N107" i="1"/>
  <c r="N166" i="1"/>
  <c r="N185" i="1"/>
  <c r="N68" i="1"/>
  <c r="N67" i="1"/>
  <c r="N126" i="1"/>
  <c r="N28" i="1"/>
  <c r="N184" i="1"/>
  <c r="N51" i="1"/>
  <c r="N125" i="1"/>
  <c r="N86" i="1"/>
  <c r="N8" i="1"/>
  <c r="N106" i="1"/>
  <c r="N183" i="1"/>
  <c r="N66" i="1"/>
  <c r="N50" i="1"/>
  <c r="N165" i="1"/>
  <c r="N142" i="1"/>
  <c r="N164" i="1"/>
  <c r="N65" i="1"/>
  <c r="N141" i="1"/>
  <c r="N49" i="1"/>
  <c r="N124" i="1"/>
  <c r="N123" i="1"/>
  <c r="N85" i="1"/>
  <c r="N105" i="1"/>
  <c r="N182" i="1"/>
  <c r="N7" i="1"/>
  <c r="N104" i="1"/>
  <c r="N48" i="1"/>
  <c r="N27" i="1"/>
  <c r="N140" i="1"/>
  <c r="N84" i="1"/>
  <c r="N103" i="1"/>
  <c r="N47" i="1"/>
  <c r="N64" i="1"/>
  <c r="N181" i="1"/>
  <c r="N6" i="1"/>
  <c r="N163" i="1"/>
  <c r="N26" i="1"/>
  <c r="N83" i="1"/>
  <c r="N5" i="1"/>
  <c r="N46" i="1"/>
  <c r="N102" i="1"/>
  <c r="N180" i="1"/>
  <c r="N162" i="1"/>
  <c r="N63" i="1"/>
  <c r="N161" i="1"/>
  <c r="N82" i="1"/>
  <c r="N45" i="1"/>
  <c r="N160" i="1"/>
  <c r="N101" i="1"/>
  <c r="N122" i="1"/>
  <c r="N121" i="1"/>
  <c r="N44" i="1"/>
  <c r="N100" i="1"/>
  <c r="N25" i="1"/>
  <c r="N24" i="1"/>
  <c r="N120" i="1"/>
  <c r="N119" i="1"/>
  <c r="N139" i="1"/>
  <c r="N99" i="1"/>
  <c r="N138" i="1"/>
  <c r="N62" i="1"/>
  <c r="N81" i="1"/>
  <c r="N23" i="1"/>
  <c r="N98" i="1"/>
  <c r="N179" i="1"/>
  <c r="N43" i="1"/>
  <c r="N118" i="1"/>
  <c r="N61" i="1"/>
  <c r="N60" i="1"/>
  <c r="N80" i="1"/>
  <c r="N178" i="1"/>
  <c r="N177" i="1"/>
  <c r="N137" i="1"/>
  <c r="N79" i="1"/>
  <c r="N42" i="1"/>
  <c r="N22" i="1"/>
  <c r="N4" i="1"/>
  <c r="N21" i="1"/>
  <c r="N176" i="1"/>
  <c r="N117" i="1"/>
  <c r="N3" i="1"/>
  <c r="N78" i="1"/>
  <c r="N159" i="1"/>
  <c r="N97" i="1"/>
  <c r="N2" i="1"/>
  <c r="N41" i="1"/>
  <c r="N136" i="1"/>
  <c r="N158" i="1"/>
  <c r="AQ143" i="1" l="1"/>
  <c r="AQ10" i="1"/>
  <c r="AQ127" i="1"/>
  <c r="AQ166" i="1"/>
  <c r="AQ185" i="1"/>
  <c r="AQ67" i="1"/>
  <c r="AQ126" i="1"/>
  <c r="AQ28" i="1"/>
  <c r="AQ184" i="1"/>
  <c r="AQ51" i="1"/>
  <c r="AQ125" i="1"/>
  <c r="AQ86" i="1"/>
  <c r="AQ8" i="1"/>
  <c r="AQ183" i="1"/>
  <c r="AQ66" i="1"/>
  <c r="AQ142" i="1"/>
  <c r="AQ39" i="1"/>
  <c r="AQ76" i="1"/>
  <c r="AQ171" i="1"/>
  <c r="AQ191" i="1"/>
  <c r="AQ132" i="1"/>
  <c r="AQ17" i="1"/>
  <c r="AQ95" i="1"/>
  <c r="AQ135" i="1"/>
  <c r="AQ194" i="1"/>
  <c r="AQ113" i="1"/>
  <c r="AQ133" i="1"/>
  <c r="AQ38" i="1"/>
  <c r="AQ156" i="1"/>
  <c r="AQ55" i="1"/>
  <c r="AQ192" i="1"/>
  <c r="AQ131" i="1"/>
  <c r="AQ172" i="1"/>
  <c r="AQ134" i="1"/>
  <c r="AQ94" i="1"/>
  <c r="AQ62" i="1"/>
  <c r="AQ23" i="1"/>
  <c r="AQ177" i="1"/>
  <c r="AQ179" i="1"/>
  <c r="AQ24" i="1"/>
  <c r="AQ139" i="1"/>
  <c r="AQ119" i="1"/>
  <c r="AQ81" i="1"/>
  <c r="AQ98" i="1"/>
  <c r="AQ80" i="1"/>
  <c r="AQ60" i="1"/>
  <c r="AQ25" i="1"/>
  <c r="AQ138" i="1"/>
  <c r="AQ99" i="1"/>
  <c r="AQ178" i="1"/>
  <c r="AQ43" i="1"/>
  <c r="AQ118" i="1"/>
  <c r="AQ61" i="1"/>
  <c r="AQ120" i="1"/>
  <c r="AQ187" i="1"/>
  <c r="AQ52" i="1"/>
  <c r="AQ70" i="1"/>
  <c r="AQ110" i="1"/>
  <c r="AQ13" i="1"/>
  <c r="AQ71" i="1"/>
  <c r="AQ53" i="1"/>
  <c r="AQ109" i="1"/>
  <c r="AQ150" i="1"/>
  <c r="AQ129" i="1"/>
  <c r="AQ34" i="1"/>
  <c r="AQ148" i="1"/>
  <c r="AQ14" i="1"/>
  <c r="AQ151" i="1"/>
  <c r="AQ33" i="1"/>
  <c r="AQ149" i="1"/>
  <c r="AQ188" i="1"/>
  <c r="AQ111" i="1"/>
  <c r="AQ18" i="1"/>
  <c r="AQ40" i="1"/>
  <c r="AQ115" i="1"/>
  <c r="AQ114" i="1"/>
  <c r="AQ19" i="1"/>
  <c r="AQ173" i="1"/>
  <c r="AQ56" i="1"/>
  <c r="AQ157" i="1"/>
  <c r="AQ96" i="1"/>
  <c r="AQ77" i="1"/>
  <c r="AQ116" i="1"/>
  <c r="AQ175" i="1"/>
  <c r="AQ174" i="1"/>
  <c r="AQ57" i="1"/>
  <c r="AQ20" i="1"/>
  <c r="AQ58" i="1"/>
  <c r="AQ6" i="1"/>
  <c r="AQ5" i="1"/>
  <c r="AQ161" i="1"/>
  <c r="AQ45" i="1"/>
  <c r="AQ83" i="1"/>
  <c r="AQ160" i="1"/>
  <c r="AQ44" i="1"/>
  <c r="AQ46" i="1"/>
  <c r="AQ121" i="1"/>
  <c r="AQ63" i="1"/>
  <c r="AQ162" i="1"/>
  <c r="AQ82" i="1"/>
  <c r="AQ100" i="1"/>
  <c r="AQ180" i="1"/>
  <c r="AQ181" i="1"/>
  <c r="AQ102" i="1"/>
  <c r="AQ141" i="1"/>
  <c r="AQ105" i="1"/>
  <c r="AQ103" i="1"/>
  <c r="AQ140" i="1"/>
  <c r="AQ123" i="1"/>
  <c r="AQ182" i="1"/>
  <c r="AQ47" i="1"/>
  <c r="AQ65" i="1"/>
  <c r="AQ27" i="1"/>
  <c r="AQ49" i="1"/>
  <c r="AQ164" i="1"/>
  <c r="AQ48" i="1"/>
  <c r="AQ104" i="1"/>
  <c r="AQ124" i="1"/>
  <c r="AQ7" i="1"/>
  <c r="AQ64" i="1"/>
  <c r="AQ189" i="1"/>
  <c r="AQ154" i="1"/>
  <c r="AQ153" i="1"/>
  <c r="AQ54" i="1"/>
  <c r="AQ190" i="1"/>
  <c r="AQ36" i="1"/>
  <c r="AQ91" i="1"/>
  <c r="AQ152" i="1"/>
  <c r="AQ93" i="1"/>
  <c r="AQ112" i="1"/>
  <c r="AQ74" i="1"/>
  <c r="AQ92" i="1"/>
  <c r="AQ35" i="1"/>
  <c r="AQ73" i="1"/>
  <c r="AQ72" i="1"/>
  <c r="AQ16" i="1"/>
  <c r="AQ128" i="1"/>
  <c r="AQ170" i="1"/>
  <c r="AQ167" i="1"/>
  <c r="AQ146" i="1"/>
  <c r="AQ168" i="1"/>
  <c r="AQ89" i="1"/>
  <c r="AQ186" i="1"/>
  <c r="AQ31" i="1"/>
  <c r="AQ88" i="1"/>
  <c r="AQ147" i="1"/>
  <c r="AQ69" i="1"/>
  <c r="AQ12" i="1"/>
  <c r="AQ169" i="1"/>
  <c r="AQ144" i="1"/>
  <c r="AQ145" i="1"/>
  <c r="AQ32" i="1"/>
  <c r="AQ30" i="1"/>
  <c r="AQ11" i="1"/>
  <c r="AQ108" i="1"/>
  <c r="AQ90" i="1"/>
  <c r="AQ87" i="1"/>
  <c r="AQ42" i="1"/>
  <c r="AQ97" i="1"/>
  <c r="AQ136" i="1"/>
  <c r="AQ78" i="1"/>
  <c r="AQ22" i="1"/>
  <c r="AQ159" i="1"/>
  <c r="AQ41" i="1"/>
  <c r="AQ59" i="1"/>
  <c r="AQ2" i="1"/>
  <c r="AQ137" i="1"/>
  <c r="AQ79" i="1"/>
  <c r="AQ3" i="1"/>
  <c r="AQ176" i="1"/>
  <c r="AQ21" i="1"/>
  <c r="AQ158" i="1"/>
  <c r="AQ117" i="1"/>
  <c r="AQ4" i="1"/>
  <c r="AO4" i="1"/>
  <c r="AS143" i="1"/>
  <c r="AO143" i="1"/>
  <c r="AM143" i="1"/>
  <c r="AK143" i="1"/>
  <c r="AI143" i="1"/>
  <c r="AG143" i="1"/>
  <c r="AB143" i="1"/>
  <c r="AA143" i="1"/>
  <c r="W143" i="1"/>
  <c r="V143" i="1"/>
  <c r="R143" i="1"/>
  <c r="Q143" i="1"/>
  <c r="I143" i="1"/>
  <c r="AS10" i="1"/>
  <c r="AO10" i="1"/>
  <c r="AM10" i="1"/>
  <c r="AK10" i="1"/>
  <c r="AI10" i="1"/>
  <c r="AG10" i="1"/>
  <c r="AB10" i="1"/>
  <c r="AA10" i="1"/>
  <c r="W10" i="1"/>
  <c r="V10" i="1"/>
  <c r="R10" i="1"/>
  <c r="Q10" i="1"/>
  <c r="I10" i="1"/>
  <c r="AS127" i="1"/>
  <c r="AO127" i="1"/>
  <c r="AM127" i="1"/>
  <c r="AK127" i="1"/>
  <c r="AI127" i="1"/>
  <c r="AG127" i="1"/>
  <c r="AB127" i="1"/>
  <c r="AA127" i="1"/>
  <c r="W127" i="1"/>
  <c r="V127" i="1"/>
  <c r="R127" i="1"/>
  <c r="Q127" i="1"/>
  <c r="I127" i="1"/>
  <c r="AS166" i="1"/>
  <c r="AO166" i="1"/>
  <c r="AM166" i="1"/>
  <c r="AK166" i="1"/>
  <c r="AI166" i="1"/>
  <c r="AG166" i="1"/>
  <c r="AB166" i="1"/>
  <c r="AA166" i="1"/>
  <c r="W166" i="1"/>
  <c r="V166" i="1"/>
  <c r="R166" i="1"/>
  <c r="Q166" i="1"/>
  <c r="I166" i="1"/>
  <c r="AS185" i="1"/>
  <c r="AO185" i="1"/>
  <c r="AM185" i="1"/>
  <c r="AK185" i="1"/>
  <c r="AI185" i="1"/>
  <c r="AG185" i="1"/>
  <c r="AB185" i="1"/>
  <c r="AA185" i="1"/>
  <c r="W185" i="1"/>
  <c r="V185" i="1"/>
  <c r="R185" i="1"/>
  <c r="Q185" i="1"/>
  <c r="I185" i="1"/>
  <c r="AS67" i="1"/>
  <c r="AO67" i="1"/>
  <c r="AM67" i="1"/>
  <c r="AK67" i="1"/>
  <c r="AI67" i="1"/>
  <c r="AG67" i="1"/>
  <c r="AB67" i="1"/>
  <c r="AA67" i="1"/>
  <c r="W67" i="1"/>
  <c r="V67" i="1"/>
  <c r="R67" i="1"/>
  <c r="Q67" i="1"/>
  <c r="I67" i="1"/>
  <c r="AS126" i="1"/>
  <c r="AO126" i="1"/>
  <c r="AM126" i="1"/>
  <c r="AK126" i="1"/>
  <c r="AI126" i="1"/>
  <c r="AG126" i="1"/>
  <c r="AB126" i="1"/>
  <c r="AA126" i="1"/>
  <c r="W126" i="1"/>
  <c r="V126" i="1"/>
  <c r="R126" i="1"/>
  <c r="Q126" i="1"/>
  <c r="I126" i="1"/>
  <c r="AO28" i="1"/>
  <c r="AO184" i="1"/>
  <c r="AO51" i="1"/>
  <c r="AO125" i="1"/>
  <c r="AO86" i="1"/>
  <c r="AO8" i="1"/>
  <c r="AO183" i="1"/>
  <c r="AO66" i="1"/>
  <c r="AO142" i="1"/>
  <c r="AO39" i="1"/>
  <c r="AO76" i="1"/>
  <c r="AO171" i="1"/>
  <c r="AO191" i="1"/>
  <c r="AO132" i="1"/>
  <c r="AO17" i="1"/>
  <c r="AO95" i="1"/>
  <c r="AO135" i="1"/>
  <c r="AO194" i="1"/>
  <c r="AO113" i="1"/>
  <c r="AO133" i="1"/>
  <c r="AO38" i="1"/>
  <c r="AO156" i="1"/>
  <c r="AO55" i="1"/>
  <c r="AO192" i="1"/>
  <c r="AO131" i="1"/>
  <c r="AO172" i="1"/>
  <c r="AO134" i="1"/>
  <c r="AO94" i="1"/>
  <c r="AO62" i="1"/>
  <c r="AO23" i="1"/>
  <c r="AO177" i="1"/>
  <c r="AO179" i="1"/>
  <c r="AO24" i="1"/>
  <c r="AO139" i="1"/>
  <c r="AO119" i="1"/>
  <c r="AO81" i="1"/>
  <c r="AO98" i="1"/>
  <c r="AO80" i="1"/>
  <c r="AO60" i="1"/>
  <c r="AO25" i="1"/>
  <c r="AO138" i="1"/>
  <c r="AO99" i="1"/>
  <c r="AO178" i="1"/>
  <c r="AO43" i="1"/>
  <c r="AO118" i="1"/>
  <c r="AO61" i="1"/>
  <c r="AO120" i="1"/>
  <c r="AO187" i="1"/>
  <c r="AO52" i="1"/>
  <c r="AO70" i="1"/>
  <c r="AO110" i="1"/>
  <c r="AO13" i="1"/>
  <c r="AO71" i="1"/>
  <c r="AO53" i="1"/>
  <c r="AO109" i="1"/>
  <c r="AO150" i="1"/>
  <c r="AO129" i="1"/>
  <c r="AO34" i="1"/>
  <c r="AO148" i="1"/>
  <c r="AO14" i="1"/>
  <c r="AO151" i="1"/>
  <c r="AO33" i="1"/>
  <c r="AO149" i="1"/>
  <c r="AO188" i="1"/>
  <c r="AO111" i="1"/>
  <c r="AO18" i="1"/>
  <c r="AO40" i="1"/>
  <c r="AO115" i="1"/>
  <c r="AO114" i="1"/>
  <c r="AO19" i="1"/>
  <c r="AO173" i="1"/>
  <c r="AO56" i="1"/>
  <c r="AO157" i="1"/>
  <c r="AO96" i="1"/>
  <c r="AO77" i="1"/>
  <c r="AO116" i="1"/>
  <c r="AO175" i="1"/>
  <c r="AO174" i="1"/>
  <c r="AO57" i="1"/>
  <c r="AO20" i="1"/>
  <c r="AO58" i="1"/>
  <c r="AO6" i="1"/>
  <c r="AO5" i="1"/>
  <c r="AO161" i="1"/>
  <c r="AO45" i="1"/>
  <c r="AO83" i="1"/>
  <c r="AO160" i="1"/>
  <c r="AO44" i="1"/>
  <c r="AO46" i="1"/>
  <c r="AO121" i="1"/>
  <c r="AO63" i="1"/>
  <c r="AO162" i="1"/>
  <c r="AO82" i="1"/>
  <c r="AO100" i="1"/>
  <c r="AO180" i="1"/>
  <c r="AO181" i="1"/>
  <c r="AO102" i="1"/>
  <c r="AO141" i="1"/>
  <c r="AO105" i="1"/>
  <c r="AO103" i="1"/>
  <c r="AO140" i="1"/>
  <c r="AO123" i="1"/>
  <c r="AO182" i="1"/>
  <c r="AO47" i="1"/>
  <c r="AO65" i="1"/>
  <c r="AO27" i="1"/>
  <c r="AO49" i="1"/>
  <c r="AO164" i="1"/>
  <c r="AO48" i="1"/>
  <c r="AO104" i="1"/>
  <c r="AO124" i="1"/>
  <c r="AO7" i="1"/>
  <c r="AO64" i="1"/>
  <c r="AO189" i="1"/>
  <c r="AO154" i="1"/>
  <c r="AO153" i="1"/>
  <c r="AO54" i="1"/>
  <c r="AO190" i="1"/>
  <c r="AO36" i="1"/>
  <c r="AO91" i="1"/>
  <c r="AO152" i="1"/>
  <c r="AO93" i="1"/>
  <c r="AO112" i="1"/>
  <c r="AO74" i="1"/>
  <c r="AO92" i="1"/>
  <c r="AO35" i="1"/>
  <c r="AO73" i="1"/>
  <c r="AO72" i="1"/>
  <c r="AO16" i="1"/>
  <c r="AO128" i="1"/>
  <c r="AO170" i="1"/>
  <c r="AO167" i="1"/>
  <c r="AO146" i="1"/>
  <c r="AO168" i="1"/>
  <c r="AO89" i="1"/>
  <c r="AO186" i="1"/>
  <c r="AO31" i="1"/>
  <c r="AO88" i="1"/>
  <c r="AO147" i="1"/>
  <c r="AO69" i="1"/>
  <c r="AO12" i="1"/>
  <c r="AO169" i="1"/>
  <c r="AO144" i="1"/>
  <c r="AO145" i="1"/>
  <c r="AO32" i="1"/>
  <c r="AO30" i="1"/>
  <c r="AO11" i="1"/>
  <c r="AO108" i="1"/>
  <c r="AO90" i="1"/>
  <c r="AO87" i="1"/>
  <c r="AO42" i="1"/>
  <c r="AO97" i="1"/>
  <c r="AO136" i="1"/>
  <c r="AO78" i="1"/>
  <c r="AO22" i="1"/>
  <c r="AO159" i="1"/>
  <c r="AO41" i="1"/>
  <c r="AO59" i="1"/>
  <c r="AO2" i="1"/>
  <c r="AO137" i="1"/>
  <c r="AO79" i="1"/>
  <c r="AO3" i="1"/>
  <c r="AO176" i="1"/>
  <c r="AO21" i="1"/>
  <c r="AO158" i="1"/>
  <c r="AO117" i="1"/>
  <c r="AM28" i="1"/>
  <c r="AM184" i="1"/>
  <c r="AM51" i="1"/>
  <c r="AM125" i="1"/>
  <c r="AM86" i="1"/>
  <c r="AM8" i="1"/>
  <c r="AM183" i="1"/>
  <c r="AM66" i="1"/>
  <c r="AM142" i="1"/>
  <c r="AM39" i="1"/>
  <c r="AM76" i="1"/>
  <c r="AM171" i="1"/>
  <c r="AM191" i="1"/>
  <c r="AM132" i="1"/>
  <c r="AM17" i="1"/>
  <c r="AM95" i="1"/>
  <c r="AM135" i="1"/>
  <c r="AM194" i="1"/>
  <c r="AM113" i="1"/>
  <c r="AM133" i="1"/>
  <c r="AM38" i="1"/>
  <c r="AM156" i="1"/>
  <c r="AM55" i="1"/>
  <c r="AM192" i="1"/>
  <c r="AM131" i="1"/>
  <c r="AM172" i="1"/>
  <c r="AM134" i="1"/>
  <c r="AM94" i="1"/>
  <c r="AM62" i="1"/>
  <c r="AM23" i="1"/>
  <c r="AM177" i="1"/>
  <c r="AM179" i="1"/>
  <c r="AM24" i="1"/>
  <c r="AM139" i="1"/>
  <c r="AM119" i="1"/>
  <c r="AM81" i="1"/>
  <c r="AM98" i="1"/>
  <c r="AM80" i="1"/>
  <c r="AM60" i="1"/>
  <c r="AM25" i="1"/>
  <c r="AM138" i="1"/>
  <c r="AM99" i="1"/>
  <c r="AM178" i="1"/>
  <c r="AM43" i="1"/>
  <c r="AM118" i="1"/>
  <c r="AM61" i="1"/>
  <c r="AM120" i="1"/>
  <c r="AM187" i="1"/>
  <c r="AM52" i="1"/>
  <c r="AM70" i="1"/>
  <c r="AM110" i="1"/>
  <c r="AM13" i="1"/>
  <c r="AM71" i="1"/>
  <c r="AM53" i="1"/>
  <c r="AM109" i="1"/>
  <c r="AM150" i="1"/>
  <c r="AM129" i="1"/>
  <c r="AM34" i="1"/>
  <c r="AM148" i="1"/>
  <c r="AM14" i="1"/>
  <c r="AM151" i="1"/>
  <c r="AM33" i="1"/>
  <c r="AM149" i="1"/>
  <c r="AM188" i="1"/>
  <c r="AM111" i="1"/>
  <c r="AM18" i="1"/>
  <c r="AM40" i="1"/>
  <c r="AM115" i="1"/>
  <c r="AM114" i="1"/>
  <c r="AM19" i="1"/>
  <c r="AM173" i="1"/>
  <c r="AM56" i="1"/>
  <c r="AM157" i="1"/>
  <c r="AM96" i="1"/>
  <c r="AM77" i="1"/>
  <c r="AM116" i="1"/>
  <c r="AM175" i="1"/>
  <c r="AM174" i="1"/>
  <c r="AM57" i="1"/>
  <c r="AM20" i="1"/>
  <c r="AM58" i="1"/>
  <c r="AM6" i="1"/>
  <c r="AM5" i="1"/>
  <c r="AM161" i="1"/>
  <c r="AM45" i="1"/>
  <c r="AM83" i="1"/>
  <c r="AM160" i="1"/>
  <c r="AM44" i="1"/>
  <c r="AM46" i="1"/>
  <c r="AM121" i="1"/>
  <c r="AM63" i="1"/>
  <c r="AM162" i="1"/>
  <c r="AM82" i="1"/>
  <c r="AM100" i="1"/>
  <c r="AM180" i="1"/>
  <c r="AM181" i="1"/>
  <c r="AM102" i="1"/>
  <c r="AM141" i="1"/>
  <c r="AM105" i="1"/>
  <c r="AM103" i="1"/>
  <c r="AM140" i="1"/>
  <c r="AM123" i="1"/>
  <c r="AM182" i="1"/>
  <c r="AM47" i="1"/>
  <c r="AM65" i="1"/>
  <c r="AM27" i="1"/>
  <c r="AM49" i="1"/>
  <c r="AM164" i="1"/>
  <c r="AM48" i="1"/>
  <c r="AM104" i="1"/>
  <c r="AM124" i="1"/>
  <c r="AM7" i="1"/>
  <c r="AM64" i="1"/>
  <c r="AM189" i="1"/>
  <c r="AM154" i="1"/>
  <c r="AM153" i="1"/>
  <c r="AM54" i="1"/>
  <c r="AM190" i="1"/>
  <c r="AM36" i="1"/>
  <c r="AM91" i="1"/>
  <c r="AM152" i="1"/>
  <c r="AM93" i="1"/>
  <c r="AM112" i="1"/>
  <c r="AM74" i="1"/>
  <c r="AM92" i="1"/>
  <c r="AM35" i="1"/>
  <c r="AM73" i="1"/>
  <c r="AM72" i="1"/>
  <c r="AM16" i="1"/>
  <c r="AM128" i="1"/>
  <c r="AM170" i="1"/>
  <c r="AM167" i="1"/>
  <c r="AM146" i="1"/>
  <c r="AM168" i="1"/>
  <c r="AM89" i="1"/>
  <c r="AM186" i="1"/>
  <c r="AM31" i="1"/>
  <c r="AM88" i="1"/>
  <c r="AM147" i="1"/>
  <c r="AM69" i="1"/>
  <c r="AM12" i="1"/>
  <c r="AM169" i="1"/>
  <c r="AM144" i="1"/>
  <c r="AM145" i="1"/>
  <c r="AM32" i="1"/>
  <c r="AM30" i="1"/>
  <c r="AM11" i="1"/>
  <c r="AM108" i="1"/>
  <c r="AM90" i="1"/>
  <c r="AM87" i="1"/>
  <c r="AM42" i="1"/>
  <c r="AM97" i="1"/>
  <c r="AM136" i="1"/>
  <c r="AM78" i="1"/>
  <c r="AM22" i="1"/>
  <c r="AM159" i="1"/>
  <c r="AM41" i="1"/>
  <c r="AM59" i="1"/>
  <c r="AM2" i="1"/>
  <c r="AM137" i="1"/>
  <c r="AM79" i="1"/>
  <c r="AM3" i="1"/>
  <c r="AM176" i="1"/>
  <c r="AM21" i="1"/>
  <c r="AM158" i="1"/>
  <c r="AM117" i="1"/>
  <c r="AM4" i="1"/>
  <c r="AK28" i="1"/>
  <c r="AK184" i="1"/>
  <c r="AK51" i="1"/>
  <c r="AK125" i="1"/>
  <c r="AK86" i="1"/>
  <c r="AK8" i="1"/>
  <c r="AK183" i="1"/>
  <c r="AK66" i="1"/>
  <c r="AK142" i="1"/>
  <c r="AK39" i="1"/>
  <c r="AK76" i="1"/>
  <c r="AK171" i="1"/>
  <c r="AK191" i="1"/>
  <c r="AK132" i="1"/>
  <c r="AK17" i="1"/>
  <c r="AK95" i="1"/>
  <c r="AK135" i="1"/>
  <c r="AK194" i="1"/>
  <c r="AK113" i="1"/>
  <c r="AK133" i="1"/>
  <c r="AK38" i="1"/>
  <c r="AK156" i="1"/>
  <c r="AK55" i="1"/>
  <c r="AK192" i="1"/>
  <c r="AK131" i="1"/>
  <c r="AK172" i="1"/>
  <c r="AK134" i="1"/>
  <c r="AK94" i="1"/>
  <c r="AK62" i="1"/>
  <c r="AK23" i="1"/>
  <c r="AK177" i="1"/>
  <c r="AK179" i="1"/>
  <c r="AK24" i="1"/>
  <c r="AK139" i="1"/>
  <c r="AK119" i="1"/>
  <c r="AK81" i="1"/>
  <c r="AK98" i="1"/>
  <c r="AK80" i="1"/>
  <c r="AK60" i="1"/>
  <c r="AK25" i="1"/>
  <c r="AK138" i="1"/>
  <c r="AK99" i="1"/>
  <c r="AK178" i="1"/>
  <c r="AK43" i="1"/>
  <c r="AK118" i="1"/>
  <c r="AK61" i="1"/>
  <c r="AK120" i="1"/>
  <c r="AK187" i="1"/>
  <c r="AK52" i="1"/>
  <c r="AK70" i="1"/>
  <c r="AK110" i="1"/>
  <c r="AK13" i="1"/>
  <c r="AK71" i="1"/>
  <c r="AK53" i="1"/>
  <c r="AK109" i="1"/>
  <c r="AK150" i="1"/>
  <c r="AK129" i="1"/>
  <c r="AK34" i="1"/>
  <c r="AK148" i="1"/>
  <c r="AK14" i="1"/>
  <c r="AK151" i="1"/>
  <c r="AK33" i="1"/>
  <c r="AK149" i="1"/>
  <c r="AK188" i="1"/>
  <c r="AK111" i="1"/>
  <c r="AK18" i="1"/>
  <c r="AK40" i="1"/>
  <c r="AK115" i="1"/>
  <c r="AK114" i="1"/>
  <c r="AK19" i="1"/>
  <c r="AK173" i="1"/>
  <c r="AK56" i="1"/>
  <c r="AK157" i="1"/>
  <c r="AK96" i="1"/>
  <c r="AK77" i="1"/>
  <c r="AK116" i="1"/>
  <c r="AK175" i="1"/>
  <c r="AK174" i="1"/>
  <c r="AK57" i="1"/>
  <c r="AK20" i="1"/>
  <c r="AK58" i="1"/>
  <c r="AK6" i="1"/>
  <c r="AK5" i="1"/>
  <c r="AK161" i="1"/>
  <c r="AK45" i="1"/>
  <c r="AK83" i="1"/>
  <c r="AK160" i="1"/>
  <c r="AK44" i="1"/>
  <c r="AK46" i="1"/>
  <c r="AK121" i="1"/>
  <c r="AK63" i="1"/>
  <c r="AK162" i="1"/>
  <c r="AK82" i="1"/>
  <c r="AK100" i="1"/>
  <c r="AK180" i="1"/>
  <c r="AK181" i="1"/>
  <c r="AK102" i="1"/>
  <c r="AK141" i="1"/>
  <c r="AK105" i="1"/>
  <c r="AK103" i="1"/>
  <c r="AK140" i="1"/>
  <c r="AK123" i="1"/>
  <c r="AK182" i="1"/>
  <c r="AK47" i="1"/>
  <c r="AK65" i="1"/>
  <c r="AK27" i="1"/>
  <c r="AK49" i="1"/>
  <c r="AK164" i="1"/>
  <c r="AK48" i="1"/>
  <c r="AK104" i="1"/>
  <c r="AK124" i="1"/>
  <c r="AK7" i="1"/>
  <c r="AK64" i="1"/>
  <c r="AK189" i="1"/>
  <c r="AK154" i="1"/>
  <c r="AK153" i="1"/>
  <c r="AK54" i="1"/>
  <c r="AK190" i="1"/>
  <c r="AK36" i="1"/>
  <c r="AK91" i="1"/>
  <c r="AK152" i="1"/>
  <c r="AK93" i="1"/>
  <c r="AK112" i="1"/>
  <c r="AK74" i="1"/>
  <c r="AK92" i="1"/>
  <c r="AK35" i="1"/>
  <c r="AK73" i="1"/>
  <c r="AK72" i="1"/>
  <c r="AK16" i="1"/>
  <c r="AK128" i="1"/>
  <c r="AK170" i="1"/>
  <c r="AK167" i="1"/>
  <c r="AK146" i="1"/>
  <c r="AK168" i="1"/>
  <c r="AK89" i="1"/>
  <c r="AK186" i="1"/>
  <c r="AK31" i="1"/>
  <c r="AK88" i="1"/>
  <c r="AK147" i="1"/>
  <c r="AK69" i="1"/>
  <c r="AK12" i="1"/>
  <c r="AK169" i="1"/>
  <c r="AK144" i="1"/>
  <c r="AK145" i="1"/>
  <c r="AK32" i="1"/>
  <c r="AK30" i="1"/>
  <c r="AK11" i="1"/>
  <c r="AK108" i="1"/>
  <c r="AK90" i="1"/>
  <c r="AK87" i="1"/>
  <c r="AK42" i="1"/>
  <c r="AK97" i="1"/>
  <c r="AK136" i="1"/>
  <c r="AK78" i="1"/>
  <c r="AK22" i="1"/>
  <c r="AK159" i="1"/>
  <c r="AK41" i="1"/>
  <c r="AK59" i="1"/>
  <c r="AK2" i="1"/>
  <c r="AK137" i="1"/>
  <c r="AK79" i="1"/>
  <c r="AK3" i="1"/>
  <c r="AK176" i="1"/>
  <c r="AK21" i="1"/>
  <c r="AK158" i="1"/>
  <c r="AK117" i="1"/>
  <c r="AK4" i="1"/>
  <c r="AI28" i="1"/>
  <c r="AI184" i="1"/>
  <c r="AI51" i="1"/>
  <c r="AI125" i="1"/>
  <c r="AI86" i="1"/>
  <c r="AI8" i="1"/>
  <c r="AI183" i="1"/>
  <c r="AI66" i="1"/>
  <c r="AI142" i="1"/>
  <c r="AI39" i="1"/>
  <c r="AI76" i="1"/>
  <c r="AI171" i="1"/>
  <c r="AI191" i="1"/>
  <c r="AI132" i="1"/>
  <c r="AI17" i="1"/>
  <c r="AI95" i="1"/>
  <c r="AI135" i="1"/>
  <c r="AI194" i="1"/>
  <c r="AI113" i="1"/>
  <c r="AI133" i="1"/>
  <c r="AI38" i="1"/>
  <c r="AI156" i="1"/>
  <c r="AI55" i="1"/>
  <c r="AI192" i="1"/>
  <c r="AI131" i="1"/>
  <c r="AI172" i="1"/>
  <c r="AI134" i="1"/>
  <c r="AI94" i="1"/>
  <c r="AI62" i="1"/>
  <c r="AI23" i="1"/>
  <c r="AI177" i="1"/>
  <c r="AI179" i="1"/>
  <c r="AI24" i="1"/>
  <c r="AI139" i="1"/>
  <c r="AI119" i="1"/>
  <c r="AI81" i="1"/>
  <c r="AI98" i="1"/>
  <c r="AI80" i="1"/>
  <c r="AI60" i="1"/>
  <c r="AI25" i="1"/>
  <c r="AI138" i="1"/>
  <c r="AI99" i="1"/>
  <c r="AI178" i="1"/>
  <c r="AI43" i="1"/>
  <c r="AI118" i="1"/>
  <c r="AI61" i="1"/>
  <c r="AI120" i="1"/>
  <c r="AI187" i="1"/>
  <c r="AI52" i="1"/>
  <c r="AI70" i="1"/>
  <c r="AI110" i="1"/>
  <c r="AI13" i="1"/>
  <c r="AI71" i="1"/>
  <c r="AI53" i="1"/>
  <c r="AI109" i="1"/>
  <c r="AI150" i="1"/>
  <c r="AI129" i="1"/>
  <c r="AI34" i="1"/>
  <c r="AI148" i="1"/>
  <c r="AI14" i="1"/>
  <c r="AI151" i="1"/>
  <c r="AI33" i="1"/>
  <c r="AI149" i="1"/>
  <c r="AI188" i="1"/>
  <c r="AI111" i="1"/>
  <c r="AI18" i="1"/>
  <c r="AI40" i="1"/>
  <c r="AI115" i="1"/>
  <c r="AI114" i="1"/>
  <c r="AI19" i="1"/>
  <c r="AI173" i="1"/>
  <c r="AI56" i="1"/>
  <c r="AI157" i="1"/>
  <c r="AI96" i="1"/>
  <c r="AI77" i="1"/>
  <c r="AI116" i="1"/>
  <c r="AI175" i="1"/>
  <c r="AI174" i="1"/>
  <c r="AI57" i="1"/>
  <c r="AI20" i="1"/>
  <c r="AI58" i="1"/>
  <c r="AI6" i="1"/>
  <c r="AI5" i="1"/>
  <c r="AI161" i="1"/>
  <c r="AI45" i="1"/>
  <c r="AI83" i="1"/>
  <c r="AI160" i="1"/>
  <c r="AI44" i="1"/>
  <c r="AI46" i="1"/>
  <c r="AI121" i="1"/>
  <c r="AI63" i="1"/>
  <c r="AI162" i="1"/>
  <c r="AI82" i="1"/>
  <c r="AI100" i="1"/>
  <c r="AI180" i="1"/>
  <c r="AI181" i="1"/>
  <c r="AI102" i="1"/>
  <c r="AI141" i="1"/>
  <c r="AI105" i="1"/>
  <c r="AI103" i="1"/>
  <c r="AI140" i="1"/>
  <c r="AI123" i="1"/>
  <c r="AI182" i="1"/>
  <c r="AI47" i="1"/>
  <c r="AI65" i="1"/>
  <c r="AI27" i="1"/>
  <c r="AI49" i="1"/>
  <c r="AI164" i="1"/>
  <c r="AI48" i="1"/>
  <c r="AI104" i="1"/>
  <c r="AI124" i="1"/>
  <c r="AI7" i="1"/>
  <c r="AI64" i="1"/>
  <c r="AI189" i="1"/>
  <c r="AI154" i="1"/>
  <c r="AI153" i="1"/>
  <c r="AI54" i="1"/>
  <c r="AI190" i="1"/>
  <c r="AI36" i="1"/>
  <c r="AI91" i="1"/>
  <c r="AI152" i="1"/>
  <c r="AI93" i="1"/>
  <c r="AI112" i="1"/>
  <c r="AI74" i="1"/>
  <c r="AI92" i="1"/>
  <c r="AI35" i="1"/>
  <c r="AI73" i="1"/>
  <c r="AI72" i="1"/>
  <c r="AI16" i="1"/>
  <c r="AI128" i="1"/>
  <c r="AI170" i="1"/>
  <c r="AI167" i="1"/>
  <c r="AI146" i="1"/>
  <c r="AI168" i="1"/>
  <c r="AI89" i="1"/>
  <c r="AI186" i="1"/>
  <c r="AI31" i="1"/>
  <c r="AI88" i="1"/>
  <c r="AI147" i="1"/>
  <c r="AI69" i="1"/>
  <c r="AI12" i="1"/>
  <c r="AI169" i="1"/>
  <c r="AI144" i="1"/>
  <c r="AI145" i="1"/>
  <c r="AI32" i="1"/>
  <c r="AI30" i="1"/>
  <c r="AI11" i="1"/>
  <c r="AI108" i="1"/>
  <c r="AI90" i="1"/>
  <c r="AI87" i="1"/>
  <c r="AI42" i="1"/>
  <c r="AI97" i="1"/>
  <c r="AI136" i="1"/>
  <c r="AI78" i="1"/>
  <c r="AI22" i="1"/>
  <c r="AI159" i="1"/>
  <c r="AI41" i="1"/>
  <c r="AI59" i="1"/>
  <c r="AI2" i="1"/>
  <c r="AI137" i="1"/>
  <c r="AI79" i="1"/>
  <c r="AI3" i="1"/>
  <c r="AI176" i="1"/>
  <c r="AI21" i="1"/>
  <c r="AI158" i="1"/>
  <c r="AI117" i="1"/>
  <c r="AI4" i="1"/>
  <c r="AG28" i="1"/>
  <c r="AG184" i="1"/>
  <c r="AG51" i="1"/>
  <c r="AG125" i="1"/>
  <c r="AG86" i="1"/>
  <c r="AG8" i="1"/>
  <c r="AG183" i="1"/>
  <c r="AG66" i="1"/>
  <c r="AG142" i="1"/>
  <c r="AG39" i="1"/>
  <c r="AG76" i="1"/>
  <c r="AG171" i="1"/>
  <c r="AG191" i="1"/>
  <c r="AG132" i="1"/>
  <c r="AG17" i="1"/>
  <c r="AG95" i="1"/>
  <c r="AG135" i="1"/>
  <c r="AG194" i="1"/>
  <c r="AG113" i="1"/>
  <c r="AG133" i="1"/>
  <c r="AG38" i="1"/>
  <c r="AG156" i="1"/>
  <c r="AG55" i="1"/>
  <c r="AG192" i="1"/>
  <c r="AG131" i="1"/>
  <c r="AG172" i="1"/>
  <c r="AG134" i="1"/>
  <c r="AG94" i="1"/>
  <c r="AG62" i="1"/>
  <c r="AG23" i="1"/>
  <c r="AG177" i="1"/>
  <c r="AG179" i="1"/>
  <c r="AG24" i="1"/>
  <c r="AG139" i="1"/>
  <c r="AG119" i="1"/>
  <c r="AG81" i="1"/>
  <c r="AG98" i="1"/>
  <c r="AG80" i="1"/>
  <c r="AG60" i="1"/>
  <c r="AG25" i="1"/>
  <c r="AG138" i="1"/>
  <c r="AG99" i="1"/>
  <c r="AG178" i="1"/>
  <c r="AG43" i="1"/>
  <c r="AG118" i="1"/>
  <c r="AG61" i="1"/>
  <c r="AG120" i="1"/>
  <c r="AG187" i="1"/>
  <c r="AG52" i="1"/>
  <c r="AG70" i="1"/>
  <c r="AG110" i="1"/>
  <c r="AG13" i="1"/>
  <c r="AG71" i="1"/>
  <c r="AG53" i="1"/>
  <c r="AG109" i="1"/>
  <c r="AG150" i="1"/>
  <c r="AG129" i="1"/>
  <c r="AG34" i="1"/>
  <c r="AG148" i="1"/>
  <c r="AG14" i="1"/>
  <c r="AG151" i="1"/>
  <c r="AG33" i="1"/>
  <c r="AG149" i="1"/>
  <c r="AG188" i="1"/>
  <c r="AG111" i="1"/>
  <c r="AG18" i="1"/>
  <c r="AG40" i="1"/>
  <c r="AG115" i="1"/>
  <c r="AG114" i="1"/>
  <c r="AG19" i="1"/>
  <c r="AG173" i="1"/>
  <c r="AG56" i="1"/>
  <c r="AG157" i="1"/>
  <c r="AG96" i="1"/>
  <c r="AG77" i="1"/>
  <c r="AG116" i="1"/>
  <c r="AG175" i="1"/>
  <c r="AG174" i="1"/>
  <c r="AG57" i="1"/>
  <c r="AG20" i="1"/>
  <c r="AG58" i="1"/>
  <c r="AG6" i="1"/>
  <c r="AG5" i="1"/>
  <c r="AG161" i="1"/>
  <c r="AG45" i="1"/>
  <c r="AG83" i="1"/>
  <c r="AG160" i="1"/>
  <c r="AG44" i="1"/>
  <c r="AG46" i="1"/>
  <c r="AG121" i="1"/>
  <c r="AG63" i="1"/>
  <c r="AG162" i="1"/>
  <c r="AG82" i="1"/>
  <c r="AG100" i="1"/>
  <c r="AG180" i="1"/>
  <c r="AG181" i="1"/>
  <c r="AG102" i="1"/>
  <c r="AG141" i="1"/>
  <c r="AG105" i="1"/>
  <c r="AG103" i="1"/>
  <c r="AG140" i="1"/>
  <c r="AG123" i="1"/>
  <c r="AG182" i="1"/>
  <c r="AG47" i="1"/>
  <c r="AG65" i="1"/>
  <c r="AG27" i="1"/>
  <c r="AG49" i="1"/>
  <c r="AG164" i="1"/>
  <c r="AG48" i="1"/>
  <c r="AG104" i="1"/>
  <c r="AG124" i="1"/>
  <c r="AG7" i="1"/>
  <c r="AG64" i="1"/>
  <c r="AG189" i="1"/>
  <c r="AG154" i="1"/>
  <c r="AG153" i="1"/>
  <c r="AG54" i="1"/>
  <c r="AG190" i="1"/>
  <c r="AG36" i="1"/>
  <c r="AG91" i="1"/>
  <c r="AG152" i="1"/>
  <c r="AG93" i="1"/>
  <c r="AG112" i="1"/>
  <c r="AG74" i="1"/>
  <c r="AG92" i="1"/>
  <c r="AG35" i="1"/>
  <c r="AG73" i="1"/>
  <c r="AG72" i="1"/>
  <c r="AG16" i="1"/>
  <c r="AG128" i="1"/>
  <c r="AG170" i="1"/>
  <c r="AG167" i="1"/>
  <c r="AG146" i="1"/>
  <c r="AG168" i="1"/>
  <c r="AG89" i="1"/>
  <c r="AG186" i="1"/>
  <c r="AG31" i="1"/>
  <c r="AG88" i="1"/>
  <c r="AG147" i="1"/>
  <c r="AG69" i="1"/>
  <c r="AG12" i="1"/>
  <c r="AG169" i="1"/>
  <c r="AG144" i="1"/>
  <c r="AG145" i="1"/>
  <c r="AG32" i="1"/>
  <c r="AG30" i="1"/>
  <c r="AG11" i="1"/>
  <c r="AG108" i="1"/>
  <c r="AG90" i="1"/>
  <c r="AG87" i="1"/>
  <c r="AG42" i="1"/>
  <c r="AG97" i="1"/>
  <c r="AG136" i="1"/>
  <c r="AG78" i="1"/>
  <c r="AG22" i="1"/>
  <c r="AG159" i="1"/>
  <c r="AG41" i="1"/>
  <c r="AG59" i="1"/>
  <c r="AG2" i="1"/>
  <c r="AG137" i="1"/>
  <c r="AG79" i="1"/>
  <c r="AG3" i="1"/>
  <c r="AG176" i="1"/>
  <c r="AG21" i="1"/>
  <c r="AG158" i="1"/>
  <c r="AG117" i="1"/>
  <c r="AG4" i="1"/>
  <c r="AB28" i="1"/>
  <c r="AA28" i="1"/>
  <c r="AB184" i="1"/>
  <c r="AA184" i="1"/>
  <c r="AB51" i="1"/>
  <c r="AA51" i="1"/>
  <c r="AB125" i="1"/>
  <c r="AA125" i="1"/>
  <c r="AB86" i="1"/>
  <c r="AA86" i="1"/>
  <c r="AB8" i="1"/>
  <c r="AA8" i="1"/>
  <c r="AB183" i="1"/>
  <c r="AA183" i="1"/>
  <c r="AB66" i="1"/>
  <c r="AA66" i="1"/>
  <c r="AB142" i="1"/>
  <c r="AA142" i="1"/>
  <c r="AB39" i="1"/>
  <c r="AA39" i="1"/>
  <c r="AB76" i="1"/>
  <c r="AA76" i="1"/>
  <c r="AB171" i="1"/>
  <c r="AA171" i="1"/>
  <c r="AB191" i="1"/>
  <c r="AA191" i="1"/>
  <c r="AB132" i="1"/>
  <c r="AA132" i="1"/>
  <c r="AB17" i="1"/>
  <c r="AA17" i="1"/>
  <c r="AB95" i="1"/>
  <c r="AA95" i="1"/>
  <c r="AB135" i="1"/>
  <c r="AA135" i="1"/>
  <c r="AB194" i="1"/>
  <c r="AA194" i="1"/>
  <c r="AB113" i="1"/>
  <c r="AA113" i="1"/>
  <c r="AB133" i="1"/>
  <c r="AA133" i="1"/>
  <c r="AB38" i="1"/>
  <c r="AA38" i="1"/>
  <c r="AB156" i="1"/>
  <c r="AA156" i="1"/>
  <c r="AB55" i="1"/>
  <c r="AA55" i="1"/>
  <c r="AB192" i="1"/>
  <c r="AA192" i="1"/>
  <c r="AB131" i="1"/>
  <c r="AA131" i="1"/>
  <c r="AB172" i="1"/>
  <c r="AA172" i="1"/>
  <c r="AB134" i="1"/>
  <c r="AA134" i="1"/>
  <c r="AB94" i="1"/>
  <c r="AA94" i="1"/>
  <c r="AB62" i="1"/>
  <c r="AA62" i="1"/>
  <c r="AB23" i="1"/>
  <c r="AA23" i="1"/>
  <c r="AB177" i="1"/>
  <c r="AA177" i="1"/>
  <c r="AB179" i="1"/>
  <c r="AA179" i="1"/>
  <c r="AB24" i="1"/>
  <c r="AA24" i="1"/>
  <c r="AB139" i="1"/>
  <c r="AA139" i="1"/>
  <c r="AB119" i="1"/>
  <c r="AA119" i="1"/>
  <c r="AB81" i="1"/>
  <c r="AA81" i="1"/>
  <c r="AB98" i="1"/>
  <c r="AA98" i="1"/>
  <c r="AB80" i="1"/>
  <c r="AA80" i="1"/>
  <c r="AB60" i="1"/>
  <c r="AA60" i="1"/>
  <c r="AB25" i="1"/>
  <c r="AA25" i="1"/>
  <c r="AB138" i="1"/>
  <c r="AA138" i="1"/>
  <c r="AB99" i="1"/>
  <c r="AA99" i="1"/>
  <c r="AB178" i="1"/>
  <c r="AA178" i="1"/>
  <c r="AB43" i="1"/>
  <c r="AA43" i="1"/>
  <c r="AB118" i="1"/>
  <c r="AA118" i="1"/>
  <c r="AB61" i="1"/>
  <c r="AA61" i="1"/>
  <c r="AB120" i="1"/>
  <c r="AA120" i="1"/>
  <c r="AB187" i="1"/>
  <c r="AA187" i="1"/>
  <c r="AB52" i="1"/>
  <c r="AA52" i="1"/>
  <c r="AB70" i="1"/>
  <c r="AA70" i="1"/>
  <c r="AB110" i="1"/>
  <c r="AA110" i="1"/>
  <c r="AB13" i="1"/>
  <c r="AA13" i="1"/>
  <c r="AB71" i="1"/>
  <c r="AA71" i="1"/>
  <c r="AB53" i="1"/>
  <c r="AA53" i="1"/>
  <c r="AB109" i="1"/>
  <c r="AA109" i="1"/>
  <c r="AB150" i="1"/>
  <c r="AA150" i="1"/>
  <c r="AB129" i="1"/>
  <c r="AA129" i="1"/>
  <c r="AB34" i="1"/>
  <c r="AA34" i="1"/>
  <c r="AB148" i="1"/>
  <c r="AA148" i="1"/>
  <c r="AB14" i="1"/>
  <c r="AA14" i="1"/>
  <c r="AB151" i="1"/>
  <c r="AA151" i="1"/>
  <c r="AB33" i="1"/>
  <c r="AA33" i="1"/>
  <c r="AB149" i="1"/>
  <c r="AA149" i="1"/>
  <c r="AB188" i="1"/>
  <c r="AA188" i="1"/>
  <c r="AB111" i="1"/>
  <c r="AA111" i="1"/>
  <c r="AB18" i="1"/>
  <c r="AA18" i="1"/>
  <c r="AB40" i="1"/>
  <c r="AA40" i="1"/>
  <c r="AB115" i="1"/>
  <c r="AA115" i="1"/>
  <c r="AB114" i="1"/>
  <c r="AA114" i="1"/>
  <c r="AB19" i="1"/>
  <c r="AA19" i="1"/>
  <c r="AB173" i="1"/>
  <c r="AA173" i="1"/>
  <c r="AB56" i="1"/>
  <c r="AA56" i="1"/>
  <c r="AB157" i="1"/>
  <c r="AA157" i="1"/>
  <c r="AB96" i="1"/>
  <c r="AA96" i="1"/>
  <c r="AB77" i="1"/>
  <c r="AA77" i="1"/>
  <c r="AB116" i="1"/>
  <c r="AA116" i="1"/>
  <c r="AB175" i="1"/>
  <c r="AA175" i="1"/>
  <c r="AB174" i="1"/>
  <c r="AA174" i="1"/>
  <c r="AB57" i="1"/>
  <c r="AA57" i="1"/>
  <c r="AB20" i="1"/>
  <c r="AA20" i="1"/>
  <c r="AB58" i="1"/>
  <c r="AA58" i="1"/>
  <c r="AB6" i="1"/>
  <c r="AA6" i="1"/>
  <c r="AB5" i="1"/>
  <c r="AA5" i="1"/>
  <c r="AB161" i="1"/>
  <c r="AA161" i="1"/>
  <c r="AB45" i="1"/>
  <c r="AA45" i="1"/>
  <c r="AB83" i="1"/>
  <c r="AA83" i="1"/>
  <c r="AB160" i="1"/>
  <c r="AA160" i="1"/>
  <c r="AB44" i="1"/>
  <c r="AA44" i="1"/>
  <c r="AB46" i="1"/>
  <c r="AA46" i="1"/>
  <c r="AB121" i="1"/>
  <c r="AA121" i="1"/>
  <c r="AB63" i="1"/>
  <c r="AA63" i="1"/>
  <c r="AB162" i="1"/>
  <c r="AA162" i="1"/>
  <c r="AB82" i="1"/>
  <c r="AA82" i="1"/>
  <c r="AB100" i="1"/>
  <c r="AA100" i="1"/>
  <c r="AB180" i="1"/>
  <c r="AA180" i="1"/>
  <c r="AB181" i="1"/>
  <c r="AA181" i="1"/>
  <c r="AB102" i="1"/>
  <c r="AA102" i="1"/>
  <c r="AB141" i="1"/>
  <c r="AA141" i="1"/>
  <c r="AB105" i="1"/>
  <c r="AA105" i="1"/>
  <c r="AB103" i="1"/>
  <c r="AA103" i="1"/>
  <c r="AB140" i="1"/>
  <c r="AA140" i="1"/>
  <c r="AB123" i="1"/>
  <c r="AA123" i="1"/>
  <c r="AB182" i="1"/>
  <c r="AA182" i="1"/>
  <c r="AB47" i="1"/>
  <c r="AA47" i="1"/>
  <c r="AB65" i="1"/>
  <c r="AA65" i="1"/>
  <c r="AB27" i="1"/>
  <c r="AA27" i="1"/>
  <c r="AB49" i="1"/>
  <c r="AA49" i="1"/>
  <c r="AB164" i="1"/>
  <c r="AA164" i="1"/>
  <c r="AB48" i="1"/>
  <c r="AA48" i="1"/>
  <c r="AB104" i="1"/>
  <c r="AA104" i="1"/>
  <c r="AB124" i="1"/>
  <c r="AA124" i="1"/>
  <c r="AB7" i="1"/>
  <c r="AA7" i="1"/>
  <c r="AB64" i="1"/>
  <c r="AA64" i="1"/>
  <c r="AB189" i="1"/>
  <c r="AA189" i="1"/>
  <c r="AB154" i="1"/>
  <c r="AA154" i="1"/>
  <c r="AB153" i="1"/>
  <c r="AA153" i="1"/>
  <c r="AB54" i="1"/>
  <c r="AA54" i="1"/>
  <c r="AB190" i="1"/>
  <c r="AA190" i="1"/>
  <c r="AB36" i="1"/>
  <c r="AA36" i="1"/>
  <c r="AB91" i="1"/>
  <c r="AA91" i="1"/>
  <c r="AB152" i="1"/>
  <c r="AA152" i="1"/>
  <c r="AB93" i="1"/>
  <c r="AA93" i="1"/>
  <c r="AB112" i="1"/>
  <c r="AA112" i="1"/>
  <c r="AB74" i="1"/>
  <c r="AA74" i="1"/>
  <c r="AB92" i="1"/>
  <c r="AA92" i="1"/>
  <c r="AB35" i="1"/>
  <c r="AA35" i="1"/>
  <c r="AB73" i="1"/>
  <c r="AA73" i="1"/>
  <c r="AB72" i="1"/>
  <c r="AA72" i="1"/>
  <c r="AB16" i="1"/>
  <c r="AA16" i="1"/>
  <c r="AB128" i="1"/>
  <c r="AA128" i="1"/>
  <c r="AB170" i="1"/>
  <c r="AA170" i="1"/>
  <c r="AB167" i="1"/>
  <c r="AA167" i="1"/>
  <c r="AB146" i="1"/>
  <c r="AA146" i="1"/>
  <c r="AB168" i="1"/>
  <c r="AA168" i="1"/>
  <c r="AB89" i="1"/>
  <c r="AA89" i="1"/>
  <c r="AB186" i="1"/>
  <c r="AA186" i="1"/>
  <c r="AB31" i="1"/>
  <c r="AA31" i="1"/>
  <c r="AB88" i="1"/>
  <c r="AA88" i="1"/>
  <c r="AB147" i="1"/>
  <c r="AA147" i="1"/>
  <c r="AB69" i="1"/>
  <c r="AA69" i="1"/>
  <c r="AB12" i="1"/>
  <c r="AA12" i="1"/>
  <c r="AB169" i="1"/>
  <c r="AA169" i="1"/>
  <c r="AB144" i="1"/>
  <c r="AA144" i="1"/>
  <c r="AB145" i="1"/>
  <c r="AA145" i="1"/>
  <c r="AB32" i="1"/>
  <c r="AA32" i="1"/>
  <c r="AB30" i="1"/>
  <c r="AA30" i="1"/>
  <c r="AB11" i="1"/>
  <c r="AA11" i="1"/>
  <c r="AB108" i="1"/>
  <c r="AA108" i="1"/>
  <c r="AB90" i="1"/>
  <c r="AA90" i="1"/>
  <c r="AB87" i="1"/>
  <c r="AA87" i="1"/>
  <c r="AB42" i="1"/>
  <c r="AA42" i="1"/>
  <c r="AB97" i="1"/>
  <c r="AA97" i="1"/>
  <c r="AB136" i="1"/>
  <c r="AA136" i="1"/>
  <c r="AB78" i="1"/>
  <c r="AA78" i="1"/>
  <c r="AB22" i="1"/>
  <c r="AA22" i="1"/>
  <c r="AB159" i="1"/>
  <c r="AA159" i="1"/>
  <c r="AB41" i="1"/>
  <c r="AA41" i="1"/>
  <c r="AB59" i="1"/>
  <c r="AA59" i="1"/>
  <c r="AB2" i="1"/>
  <c r="AA2" i="1"/>
  <c r="AB137" i="1"/>
  <c r="AA137" i="1"/>
  <c r="AB79" i="1"/>
  <c r="AA79" i="1"/>
  <c r="AB3" i="1"/>
  <c r="AA3" i="1"/>
  <c r="AB176" i="1"/>
  <c r="AA176" i="1"/>
  <c r="AB21" i="1"/>
  <c r="AA21" i="1"/>
  <c r="AB158" i="1"/>
  <c r="AA158" i="1"/>
  <c r="AB117" i="1"/>
  <c r="AA117" i="1"/>
  <c r="AB4" i="1"/>
  <c r="AA4" i="1"/>
  <c r="W28" i="1"/>
  <c r="V28" i="1"/>
  <c r="W184" i="1"/>
  <c r="V184" i="1"/>
  <c r="W51" i="1"/>
  <c r="V51" i="1"/>
  <c r="W125" i="1"/>
  <c r="V125" i="1"/>
  <c r="W86" i="1"/>
  <c r="V86" i="1"/>
  <c r="W8" i="1"/>
  <c r="V8" i="1"/>
  <c r="W183" i="1"/>
  <c r="V183" i="1"/>
  <c r="W66" i="1"/>
  <c r="V66" i="1"/>
  <c r="W142" i="1"/>
  <c r="V142" i="1"/>
  <c r="W39" i="1"/>
  <c r="V39" i="1"/>
  <c r="W76" i="1"/>
  <c r="V76" i="1"/>
  <c r="W171" i="1"/>
  <c r="V171" i="1"/>
  <c r="W191" i="1"/>
  <c r="V191" i="1"/>
  <c r="W132" i="1"/>
  <c r="V132" i="1"/>
  <c r="W17" i="1"/>
  <c r="V17" i="1"/>
  <c r="W95" i="1"/>
  <c r="V95" i="1"/>
  <c r="W135" i="1"/>
  <c r="V135" i="1"/>
  <c r="W194" i="1"/>
  <c r="V194" i="1"/>
  <c r="W113" i="1"/>
  <c r="V113" i="1"/>
  <c r="W133" i="1"/>
  <c r="V133" i="1"/>
  <c r="W38" i="1"/>
  <c r="V38" i="1"/>
  <c r="W156" i="1"/>
  <c r="V156" i="1"/>
  <c r="W55" i="1"/>
  <c r="V55" i="1"/>
  <c r="W192" i="1"/>
  <c r="V192" i="1"/>
  <c r="W131" i="1"/>
  <c r="V131" i="1"/>
  <c r="W172" i="1"/>
  <c r="V172" i="1"/>
  <c r="W134" i="1"/>
  <c r="V134" i="1"/>
  <c r="W94" i="1"/>
  <c r="V94" i="1"/>
  <c r="W62" i="1"/>
  <c r="V62" i="1"/>
  <c r="W23" i="1"/>
  <c r="V23" i="1"/>
  <c r="W177" i="1"/>
  <c r="V177" i="1"/>
  <c r="W179" i="1"/>
  <c r="V179" i="1"/>
  <c r="W24" i="1"/>
  <c r="V24" i="1"/>
  <c r="W139" i="1"/>
  <c r="V139" i="1"/>
  <c r="W119" i="1"/>
  <c r="V119" i="1"/>
  <c r="W81" i="1"/>
  <c r="V81" i="1"/>
  <c r="W98" i="1"/>
  <c r="V98" i="1"/>
  <c r="W80" i="1"/>
  <c r="V80" i="1"/>
  <c r="W60" i="1"/>
  <c r="V60" i="1"/>
  <c r="W25" i="1"/>
  <c r="V25" i="1"/>
  <c r="W138" i="1"/>
  <c r="V138" i="1"/>
  <c r="W99" i="1"/>
  <c r="V99" i="1"/>
  <c r="W178" i="1"/>
  <c r="V178" i="1"/>
  <c r="W43" i="1"/>
  <c r="V43" i="1"/>
  <c r="W118" i="1"/>
  <c r="V118" i="1"/>
  <c r="W61" i="1"/>
  <c r="V61" i="1"/>
  <c r="W120" i="1"/>
  <c r="V120" i="1"/>
  <c r="W187" i="1"/>
  <c r="V187" i="1"/>
  <c r="W52" i="1"/>
  <c r="V52" i="1"/>
  <c r="W70" i="1"/>
  <c r="V70" i="1"/>
  <c r="W110" i="1"/>
  <c r="V110" i="1"/>
  <c r="W13" i="1"/>
  <c r="V13" i="1"/>
  <c r="W71" i="1"/>
  <c r="V71" i="1"/>
  <c r="W53" i="1"/>
  <c r="V53" i="1"/>
  <c r="W109" i="1"/>
  <c r="V109" i="1"/>
  <c r="W150" i="1"/>
  <c r="V150" i="1"/>
  <c r="W129" i="1"/>
  <c r="V129" i="1"/>
  <c r="W34" i="1"/>
  <c r="V34" i="1"/>
  <c r="W148" i="1"/>
  <c r="V148" i="1"/>
  <c r="W14" i="1"/>
  <c r="V14" i="1"/>
  <c r="W151" i="1"/>
  <c r="V151" i="1"/>
  <c r="W33" i="1"/>
  <c r="V33" i="1"/>
  <c r="W149" i="1"/>
  <c r="V149" i="1"/>
  <c r="W188" i="1"/>
  <c r="V188" i="1"/>
  <c r="W111" i="1"/>
  <c r="V111" i="1"/>
  <c r="W18" i="1"/>
  <c r="V18" i="1"/>
  <c r="W40" i="1"/>
  <c r="V40" i="1"/>
  <c r="W115" i="1"/>
  <c r="V115" i="1"/>
  <c r="W114" i="1"/>
  <c r="V114" i="1"/>
  <c r="W19" i="1"/>
  <c r="V19" i="1"/>
  <c r="W173" i="1"/>
  <c r="V173" i="1"/>
  <c r="W56" i="1"/>
  <c r="V56" i="1"/>
  <c r="W157" i="1"/>
  <c r="V157" i="1"/>
  <c r="W96" i="1"/>
  <c r="V96" i="1"/>
  <c r="W77" i="1"/>
  <c r="V77" i="1"/>
  <c r="W116" i="1"/>
  <c r="V116" i="1"/>
  <c r="W175" i="1"/>
  <c r="V175" i="1"/>
  <c r="W174" i="1"/>
  <c r="V174" i="1"/>
  <c r="W57" i="1"/>
  <c r="V57" i="1"/>
  <c r="W20" i="1"/>
  <c r="V20" i="1"/>
  <c r="W58" i="1"/>
  <c r="V58" i="1"/>
  <c r="W6" i="1"/>
  <c r="V6" i="1"/>
  <c r="W5" i="1"/>
  <c r="V5" i="1"/>
  <c r="W161" i="1"/>
  <c r="V161" i="1"/>
  <c r="W45" i="1"/>
  <c r="V45" i="1"/>
  <c r="W83" i="1"/>
  <c r="V83" i="1"/>
  <c r="W160" i="1"/>
  <c r="V160" i="1"/>
  <c r="W44" i="1"/>
  <c r="V44" i="1"/>
  <c r="W46" i="1"/>
  <c r="V46" i="1"/>
  <c r="W121" i="1"/>
  <c r="V121" i="1"/>
  <c r="W63" i="1"/>
  <c r="V63" i="1"/>
  <c r="W162" i="1"/>
  <c r="V162" i="1"/>
  <c r="W82" i="1"/>
  <c r="V82" i="1"/>
  <c r="W100" i="1"/>
  <c r="V100" i="1"/>
  <c r="W180" i="1"/>
  <c r="V180" i="1"/>
  <c r="W181" i="1"/>
  <c r="V181" i="1"/>
  <c r="W102" i="1"/>
  <c r="V102" i="1"/>
  <c r="W141" i="1"/>
  <c r="V141" i="1"/>
  <c r="W105" i="1"/>
  <c r="V105" i="1"/>
  <c r="W103" i="1"/>
  <c r="V103" i="1"/>
  <c r="W140" i="1"/>
  <c r="V140" i="1"/>
  <c r="W123" i="1"/>
  <c r="V123" i="1"/>
  <c r="W182" i="1"/>
  <c r="V182" i="1"/>
  <c r="W47" i="1"/>
  <c r="V47" i="1"/>
  <c r="W65" i="1"/>
  <c r="V65" i="1"/>
  <c r="W27" i="1"/>
  <c r="V27" i="1"/>
  <c r="W49" i="1"/>
  <c r="V49" i="1"/>
  <c r="W164" i="1"/>
  <c r="V164" i="1"/>
  <c r="W48" i="1"/>
  <c r="V48" i="1"/>
  <c r="W104" i="1"/>
  <c r="V104" i="1"/>
  <c r="W124" i="1"/>
  <c r="V124" i="1"/>
  <c r="W7" i="1"/>
  <c r="V7" i="1"/>
  <c r="W64" i="1"/>
  <c r="V64" i="1"/>
  <c r="W189" i="1"/>
  <c r="V189" i="1"/>
  <c r="W154" i="1"/>
  <c r="V154" i="1"/>
  <c r="W153" i="1"/>
  <c r="V153" i="1"/>
  <c r="W54" i="1"/>
  <c r="V54" i="1"/>
  <c r="W190" i="1"/>
  <c r="V190" i="1"/>
  <c r="W36" i="1"/>
  <c r="V36" i="1"/>
  <c r="W91" i="1"/>
  <c r="V91" i="1"/>
  <c r="W152" i="1"/>
  <c r="V152" i="1"/>
  <c r="W93" i="1"/>
  <c r="V93" i="1"/>
  <c r="W112" i="1"/>
  <c r="V112" i="1"/>
  <c r="W74" i="1"/>
  <c r="V74" i="1"/>
  <c r="W92" i="1"/>
  <c r="V92" i="1"/>
  <c r="W35" i="1"/>
  <c r="V35" i="1"/>
  <c r="W73" i="1"/>
  <c r="V73" i="1"/>
  <c r="W72" i="1"/>
  <c r="V72" i="1"/>
  <c r="W16" i="1"/>
  <c r="V16" i="1"/>
  <c r="W128" i="1"/>
  <c r="V128" i="1"/>
  <c r="W170" i="1"/>
  <c r="V170" i="1"/>
  <c r="W167" i="1"/>
  <c r="V167" i="1"/>
  <c r="W146" i="1"/>
  <c r="V146" i="1"/>
  <c r="W168" i="1"/>
  <c r="V168" i="1"/>
  <c r="W89" i="1"/>
  <c r="V89" i="1"/>
  <c r="W186" i="1"/>
  <c r="V186" i="1"/>
  <c r="W31" i="1"/>
  <c r="V31" i="1"/>
  <c r="W88" i="1"/>
  <c r="V88" i="1"/>
  <c r="W147" i="1"/>
  <c r="V147" i="1"/>
  <c r="W69" i="1"/>
  <c r="V69" i="1"/>
  <c r="W12" i="1"/>
  <c r="V12" i="1"/>
  <c r="W169" i="1"/>
  <c r="V169" i="1"/>
  <c r="W144" i="1"/>
  <c r="V144" i="1"/>
  <c r="W145" i="1"/>
  <c r="V145" i="1"/>
  <c r="W32" i="1"/>
  <c r="V32" i="1"/>
  <c r="W30" i="1"/>
  <c r="V30" i="1"/>
  <c r="W11" i="1"/>
  <c r="V11" i="1"/>
  <c r="W108" i="1"/>
  <c r="V108" i="1"/>
  <c r="W90" i="1"/>
  <c r="V90" i="1"/>
  <c r="W87" i="1"/>
  <c r="V87" i="1"/>
  <c r="W42" i="1"/>
  <c r="V42" i="1"/>
  <c r="W97" i="1"/>
  <c r="V97" i="1"/>
  <c r="W136" i="1"/>
  <c r="V136" i="1"/>
  <c r="W78" i="1"/>
  <c r="V78" i="1"/>
  <c r="W22" i="1"/>
  <c r="V22" i="1"/>
  <c r="W159" i="1"/>
  <c r="V159" i="1"/>
  <c r="W41" i="1"/>
  <c r="V41" i="1"/>
  <c r="W59" i="1"/>
  <c r="V59" i="1"/>
  <c r="W2" i="1"/>
  <c r="V2" i="1"/>
  <c r="W137" i="1"/>
  <c r="V137" i="1"/>
  <c r="W79" i="1"/>
  <c r="V79" i="1"/>
  <c r="W3" i="1"/>
  <c r="V3" i="1"/>
  <c r="W176" i="1"/>
  <c r="V176" i="1"/>
  <c r="W21" i="1"/>
  <c r="V21" i="1"/>
  <c r="W158" i="1"/>
  <c r="V158" i="1"/>
  <c r="W117" i="1"/>
  <c r="V117" i="1"/>
  <c r="W4" i="1"/>
  <c r="V4" i="1"/>
  <c r="R28" i="1"/>
  <c r="Q28" i="1"/>
  <c r="R184" i="1"/>
  <c r="Q184" i="1"/>
  <c r="R51" i="1"/>
  <c r="Q51" i="1"/>
  <c r="R125" i="1"/>
  <c r="Q125" i="1"/>
  <c r="R86" i="1"/>
  <c r="Q86" i="1"/>
  <c r="R8" i="1"/>
  <c r="Q8" i="1"/>
  <c r="R183" i="1"/>
  <c r="Q183" i="1"/>
  <c r="R66" i="1"/>
  <c r="Q66" i="1"/>
  <c r="R142" i="1"/>
  <c r="Q142" i="1"/>
  <c r="R39" i="1"/>
  <c r="Q39" i="1"/>
  <c r="R76" i="1"/>
  <c r="Q76" i="1"/>
  <c r="R171" i="1"/>
  <c r="Q171" i="1"/>
  <c r="R191" i="1"/>
  <c r="Q191" i="1"/>
  <c r="R132" i="1"/>
  <c r="Q132" i="1"/>
  <c r="R17" i="1"/>
  <c r="Q17" i="1"/>
  <c r="R95" i="1"/>
  <c r="Q95" i="1"/>
  <c r="R135" i="1"/>
  <c r="Q135" i="1"/>
  <c r="R194" i="1"/>
  <c r="Q194" i="1"/>
  <c r="R113" i="1"/>
  <c r="Q113" i="1"/>
  <c r="R133" i="1"/>
  <c r="Q133" i="1"/>
  <c r="R38" i="1"/>
  <c r="Q38" i="1"/>
  <c r="R156" i="1"/>
  <c r="Q156" i="1"/>
  <c r="R55" i="1"/>
  <c r="Q55" i="1"/>
  <c r="R192" i="1"/>
  <c r="Q192" i="1"/>
  <c r="R131" i="1"/>
  <c r="Q131" i="1"/>
  <c r="R172" i="1"/>
  <c r="Q172" i="1"/>
  <c r="R134" i="1"/>
  <c r="Q134" i="1"/>
  <c r="R94" i="1"/>
  <c r="Q94" i="1"/>
  <c r="R62" i="1"/>
  <c r="Q62" i="1"/>
  <c r="R23" i="1"/>
  <c r="Q23" i="1"/>
  <c r="R177" i="1"/>
  <c r="Q177" i="1"/>
  <c r="R179" i="1"/>
  <c r="Q179" i="1"/>
  <c r="R24" i="1"/>
  <c r="Q24" i="1"/>
  <c r="R139" i="1"/>
  <c r="Q139" i="1"/>
  <c r="R119" i="1"/>
  <c r="Q119" i="1"/>
  <c r="R81" i="1"/>
  <c r="Q81" i="1"/>
  <c r="R98" i="1"/>
  <c r="Q98" i="1"/>
  <c r="R80" i="1"/>
  <c r="Q80" i="1"/>
  <c r="R60" i="1"/>
  <c r="Q60" i="1"/>
  <c r="R25" i="1"/>
  <c r="Q25" i="1"/>
  <c r="R138" i="1"/>
  <c r="Q138" i="1"/>
  <c r="R99" i="1"/>
  <c r="Q99" i="1"/>
  <c r="R178" i="1"/>
  <c r="Q178" i="1"/>
  <c r="R43" i="1"/>
  <c r="Q43" i="1"/>
  <c r="R118" i="1"/>
  <c r="Q118" i="1"/>
  <c r="R61" i="1"/>
  <c r="Q61" i="1"/>
  <c r="R120" i="1"/>
  <c r="Q120" i="1"/>
  <c r="R187" i="1"/>
  <c r="Q187" i="1"/>
  <c r="R52" i="1"/>
  <c r="Q52" i="1"/>
  <c r="R70" i="1"/>
  <c r="Q70" i="1"/>
  <c r="R110" i="1"/>
  <c r="Q110" i="1"/>
  <c r="R13" i="1"/>
  <c r="Q13" i="1"/>
  <c r="R71" i="1"/>
  <c r="Q71" i="1"/>
  <c r="R53" i="1"/>
  <c r="Q53" i="1"/>
  <c r="R109" i="1"/>
  <c r="Q109" i="1"/>
  <c r="R150" i="1"/>
  <c r="Q150" i="1"/>
  <c r="R129" i="1"/>
  <c r="Q129" i="1"/>
  <c r="R34" i="1"/>
  <c r="Q34" i="1"/>
  <c r="R148" i="1"/>
  <c r="Q148" i="1"/>
  <c r="R14" i="1"/>
  <c r="Q14" i="1"/>
  <c r="R151" i="1"/>
  <c r="Q151" i="1"/>
  <c r="R33" i="1"/>
  <c r="Q33" i="1"/>
  <c r="R149" i="1"/>
  <c r="Q149" i="1"/>
  <c r="R188" i="1"/>
  <c r="Q188" i="1"/>
  <c r="R111" i="1"/>
  <c r="Q111" i="1"/>
  <c r="R18" i="1"/>
  <c r="Q18" i="1"/>
  <c r="R40" i="1"/>
  <c r="Q40" i="1"/>
  <c r="R115" i="1"/>
  <c r="Q115" i="1"/>
  <c r="R114" i="1"/>
  <c r="Q114" i="1"/>
  <c r="R19" i="1"/>
  <c r="Q19" i="1"/>
  <c r="R173" i="1"/>
  <c r="Q173" i="1"/>
  <c r="R56" i="1"/>
  <c r="Q56" i="1"/>
  <c r="R157" i="1"/>
  <c r="Q157" i="1"/>
  <c r="R96" i="1"/>
  <c r="Q96" i="1"/>
  <c r="R77" i="1"/>
  <c r="Q77" i="1"/>
  <c r="R116" i="1"/>
  <c r="Q116" i="1"/>
  <c r="R175" i="1"/>
  <c r="Q175" i="1"/>
  <c r="R174" i="1"/>
  <c r="Q174" i="1"/>
  <c r="R57" i="1"/>
  <c r="Q57" i="1"/>
  <c r="R20" i="1"/>
  <c r="Q20" i="1"/>
  <c r="R58" i="1"/>
  <c r="Q58" i="1"/>
  <c r="R6" i="1"/>
  <c r="Q6" i="1"/>
  <c r="R5" i="1"/>
  <c r="Q5" i="1"/>
  <c r="R161" i="1"/>
  <c r="Q161" i="1"/>
  <c r="R45" i="1"/>
  <c r="Q45" i="1"/>
  <c r="R83" i="1"/>
  <c r="Q83" i="1"/>
  <c r="R160" i="1"/>
  <c r="Q160" i="1"/>
  <c r="R44" i="1"/>
  <c r="Q44" i="1"/>
  <c r="R46" i="1"/>
  <c r="Q46" i="1"/>
  <c r="R121" i="1"/>
  <c r="Q121" i="1"/>
  <c r="R63" i="1"/>
  <c r="Q63" i="1"/>
  <c r="R162" i="1"/>
  <c r="Q162" i="1"/>
  <c r="R82" i="1"/>
  <c r="Q82" i="1"/>
  <c r="R100" i="1"/>
  <c r="Q100" i="1"/>
  <c r="R180" i="1"/>
  <c r="Q180" i="1"/>
  <c r="R181" i="1"/>
  <c r="Q181" i="1"/>
  <c r="R102" i="1"/>
  <c r="Q102" i="1"/>
  <c r="R141" i="1"/>
  <c r="Q141" i="1"/>
  <c r="R105" i="1"/>
  <c r="Q105" i="1"/>
  <c r="R103" i="1"/>
  <c r="Q103" i="1"/>
  <c r="R140" i="1"/>
  <c r="Q140" i="1"/>
  <c r="R123" i="1"/>
  <c r="Q123" i="1"/>
  <c r="R182" i="1"/>
  <c r="Q182" i="1"/>
  <c r="R47" i="1"/>
  <c r="Q47" i="1"/>
  <c r="R65" i="1"/>
  <c r="Q65" i="1"/>
  <c r="R27" i="1"/>
  <c r="Q27" i="1"/>
  <c r="R49" i="1"/>
  <c r="Q49" i="1"/>
  <c r="R164" i="1"/>
  <c r="Q164" i="1"/>
  <c r="R48" i="1"/>
  <c r="Q48" i="1"/>
  <c r="R104" i="1"/>
  <c r="Q104" i="1"/>
  <c r="R124" i="1"/>
  <c r="Q124" i="1"/>
  <c r="R7" i="1"/>
  <c r="Q7" i="1"/>
  <c r="R64" i="1"/>
  <c r="Q64" i="1"/>
  <c r="R189" i="1"/>
  <c r="Q189" i="1"/>
  <c r="R154" i="1"/>
  <c r="Q154" i="1"/>
  <c r="R153" i="1"/>
  <c r="Q153" i="1"/>
  <c r="R54" i="1"/>
  <c r="Q54" i="1"/>
  <c r="R190" i="1"/>
  <c r="Q190" i="1"/>
  <c r="R36" i="1"/>
  <c r="Q36" i="1"/>
  <c r="R91" i="1"/>
  <c r="Q91" i="1"/>
  <c r="R152" i="1"/>
  <c r="Q152" i="1"/>
  <c r="R93" i="1"/>
  <c r="Q93" i="1"/>
  <c r="R112" i="1"/>
  <c r="Q112" i="1"/>
  <c r="R74" i="1"/>
  <c r="Q74" i="1"/>
  <c r="R92" i="1"/>
  <c r="Q92" i="1"/>
  <c r="R35" i="1"/>
  <c r="Q35" i="1"/>
  <c r="R73" i="1"/>
  <c r="Q73" i="1"/>
  <c r="R72" i="1"/>
  <c r="Q72" i="1"/>
  <c r="R16" i="1"/>
  <c r="Q16" i="1"/>
  <c r="R128" i="1"/>
  <c r="Q128" i="1"/>
  <c r="R170" i="1"/>
  <c r="Q170" i="1"/>
  <c r="R167" i="1"/>
  <c r="Q167" i="1"/>
  <c r="R146" i="1"/>
  <c r="Q146" i="1"/>
  <c r="R168" i="1"/>
  <c r="Q168" i="1"/>
  <c r="R89" i="1"/>
  <c r="Q89" i="1"/>
  <c r="R186" i="1"/>
  <c r="Q186" i="1"/>
  <c r="R31" i="1"/>
  <c r="Q31" i="1"/>
  <c r="R88" i="1"/>
  <c r="Q88" i="1"/>
  <c r="R147" i="1"/>
  <c r="Q147" i="1"/>
  <c r="R69" i="1"/>
  <c r="Q69" i="1"/>
  <c r="R12" i="1"/>
  <c r="Q12" i="1"/>
  <c r="R169" i="1"/>
  <c r="Q169" i="1"/>
  <c r="R144" i="1"/>
  <c r="Q144" i="1"/>
  <c r="R145" i="1"/>
  <c r="Q145" i="1"/>
  <c r="R32" i="1"/>
  <c r="Q32" i="1"/>
  <c r="R30" i="1"/>
  <c r="Q30" i="1"/>
  <c r="R11" i="1"/>
  <c r="Q11" i="1"/>
  <c r="R108" i="1"/>
  <c r="Q108" i="1"/>
  <c r="R90" i="1"/>
  <c r="Q90" i="1"/>
  <c r="R87" i="1"/>
  <c r="Q87" i="1"/>
  <c r="R42" i="1"/>
  <c r="Q42" i="1"/>
  <c r="R97" i="1"/>
  <c r="Q97" i="1"/>
  <c r="R136" i="1"/>
  <c r="Q136" i="1"/>
  <c r="R78" i="1"/>
  <c r="Q78" i="1"/>
  <c r="R22" i="1"/>
  <c r="Q22" i="1"/>
  <c r="R159" i="1"/>
  <c r="Q159" i="1"/>
  <c r="R41" i="1"/>
  <c r="Q41" i="1"/>
  <c r="R59" i="1"/>
  <c r="Q59" i="1"/>
  <c r="R2" i="1"/>
  <c r="Q2" i="1"/>
  <c r="R137" i="1"/>
  <c r="Q137" i="1"/>
  <c r="R79" i="1"/>
  <c r="Q79" i="1"/>
  <c r="R3" i="1"/>
  <c r="Q3" i="1"/>
  <c r="R176" i="1"/>
  <c r="Q176" i="1"/>
  <c r="R21" i="1"/>
  <c r="Q21" i="1"/>
  <c r="R158" i="1"/>
  <c r="Q158" i="1"/>
  <c r="R117" i="1"/>
  <c r="Q117" i="1"/>
  <c r="R4" i="1"/>
  <c r="Q4" i="1"/>
  <c r="I28" i="1"/>
  <c r="I184" i="1"/>
  <c r="I51" i="1"/>
  <c r="I125" i="1"/>
  <c r="I86" i="1"/>
  <c r="I8" i="1"/>
  <c r="I183" i="1"/>
  <c r="I66" i="1"/>
  <c r="I142" i="1"/>
  <c r="I39" i="1"/>
  <c r="I76" i="1"/>
  <c r="I171" i="1"/>
  <c r="I191" i="1"/>
  <c r="I132" i="1"/>
  <c r="I17" i="1"/>
  <c r="I95" i="1"/>
  <c r="I135" i="1"/>
  <c r="I194" i="1"/>
  <c r="I113" i="1"/>
  <c r="I133" i="1"/>
  <c r="I38" i="1"/>
  <c r="I156" i="1"/>
  <c r="I55" i="1"/>
  <c r="I192" i="1"/>
  <c r="I131" i="1"/>
  <c r="I172" i="1"/>
  <c r="I134" i="1"/>
  <c r="I94" i="1"/>
  <c r="I62" i="1"/>
  <c r="I23" i="1"/>
  <c r="I177" i="1"/>
  <c r="I179" i="1"/>
  <c r="I24" i="1"/>
  <c r="I139" i="1"/>
  <c r="I119" i="1"/>
  <c r="I81" i="1"/>
  <c r="I98" i="1"/>
  <c r="I80" i="1"/>
  <c r="I60" i="1"/>
  <c r="I25" i="1"/>
  <c r="I138" i="1"/>
  <c r="I99" i="1"/>
  <c r="I178" i="1"/>
  <c r="I43" i="1"/>
  <c r="I118" i="1"/>
  <c r="I61" i="1"/>
  <c r="I120" i="1"/>
  <c r="I187" i="1"/>
  <c r="I52" i="1"/>
  <c r="I70" i="1"/>
  <c r="I110" i="1"/>
  <c r="I13" i="1"/>
  <c r="I71" i="1"/>
  <c r="I53" i="1"/>
  <c r="I109" i="1"/>
  <c r="I150" i="1"/>
  <c r="I129" i="1"/>
  <c r="I34" i="1"/>
  <c r="I148" i="1"/>
  <c r="I14" i="1"/>
  <c r="I151" i="1"/>
  <c r="I33" i="1"/>
  <c r="I149" i="1"/>
  <c r="I188" i="1"/>
  <c r="I111" i="1"/>
  <c r="I18" i="1"/>
  <c r="I40" i="1"/>
  <c r="I115" i="1"/>
  <c r="I114" i="1"/>
  <c r="I19" i="1"/>
  <c r="I173" i="1"/>
  <c r="I56" i="1"/>
  <c r="I157" i="1"/>
  <c r="I96" i="1"/>
  <c r="I77" i="1"/>
  <c r="I116" i="1"/>
  <c r="I175" i="1"/>
  <c r="I174" i="1"/>
  <c r="I57" i="1"/>
  <c r="I20" i="1"/>
  <c r="I58" i="1"/>
  <c r="I6" i="1"/>
  <c r="I5" i="1"/>
  <c r="I161" i="1"/>
  <c r="I45" i="1"/>
  <c r="I83" i="1"/>
  <c r="I160" i="1"/>
  <c r="I44" i="1"/>
  <c r="I46" i="1"/>
  <c r="I121" i="1"/>
  <c r="I63" i="1"/>
  <c r="I162" i="1"/>
  <c r="I82" i="1"/>
  <c r="I100" i="1"/>
  <c r="I180" i="1"/>
  <c r="I181" i="1"/>
  <c r="I102" i="1"/>
  <c r="I141" i="1"/>
  <c r="I105" i="1"/>
  <c r="I103" i="1"/>
  <c r="I140" i="1"/>
  <c r="I123" i="1"/>
  <c r="I182" i="1"/>
  <c r="I47" i="1"/>
  <c r="I65" i="1"/>
  <c r="I27" i="1"/>
  <c r="I49" i="1"/>
  <c r="I164" i="1"/>
  <c r="I48" i="1"/>
  <c r="I104" i="1"/>
  <c r="I124" i="1"/>
  <c r="I7" i="1"/>
  <c r="I64" i="1"/>
  <c r="I189" i="1"/>
  <c r="I154" i="1"/>
  <c r="I153" i="1"/>
  <c r="I54" i="1"/>
  <c r="I190" i="1"/>
  <c r="I36" i="1"/>
  <c r="I91" i="1"/>
  <c r="I152" i="1"/>
  <c r="I93" i="1"/>
  <c r="I112" i="1"/>
  <c r="I74" i="1"/>
  <c r="I92" i="1"/>
  <c r="I35" i="1"/>
  <c r="I73" i="1"/>
  <c r="I72" i="1"/>
  <c r="I16" i="1"/>
  <c r="I128" i="1"/>
  <c r="I170" i="1"/>
  <c r="I167" i="1"/>
  <c r="I146" i="1"/>
  <c r="I168" i="1"/>
  <c r="I89" i="1"/>
  <c r="I186" i="1"/>
  <c r="I31" i="1"/>
  <c r="I88" i="1"/>
  <c r="I147" i="1"/>
  <c r="I69" i="1"/>
  <c r="I12" i="1"/>
  <c r="I169" i="1"/>
  <c r="I144" i="1"/>
  <c r="I145" i="1"/>
  <c r="I32" i="1"/>
  <c r="I30" i="1"/>
  <c r="I11" i="1"/>
  <c r="I108" i="1"/>
  <c r="I90" i="1"/>
  <c r="I87" i="1"/>
  <c r="I42" i="1"/>
  <c r="I97" i="1"/>
  <c r="I136" i="1"/>
  <c r="I78" i="1"/>
  <c r="I22" i="1"/>
  <c r="I159" i="1"/>
  <c r="I41" i="1"/>
  <c r="I59" i="1"/>
  <c r="I2" i="1"/>
  <c r="I137" i="1"/>
  <c r="I79" i="1"/>
  <c r="I3" i="1"/>
  <c r="I176" i="1"/>
  <c r="I21" i="1"/>
  <c r="I158" i="1"/>
  <c r="I117" i="1"/>
  <c r="I4" i="1"/>
  <c r="AS28" i="1"/>
  <c r="AS184" i="1"/>
  <c r="AS51" i="1"/>
  <c r="AS125" i="1"/>
  <c r="AS86" i="1"/>
  <c r="AS8" i="1"/>
  <c r="AS183" i="1"/>
  <c r="AS66" i="1"/>
  <c r="AS142" i="1"/>
  <c r="AS39" i="1"/>
  <c r="AS76" i="1"/>
  <c r="AS171" i="1"/>
  <c r="AS191" i="1"/>
  <c r="AS132" i="1"/>
  <c r="AS17" i="1"/>
  <c r="AS95" i="1"/>
  <c r="AS135" i="1"/>
  <c r="AS194" i="1"/>
  <c r="AS113" i="1"/>
  <c r="AS133" i="1"/>
  <c r="AS38" i="1"/>
  <c r="AS156" i="1"/>
  <c r="AS55" i="1"/>
  <c r="AS192" i="1"/>
  <c r="AS131" i="1"/>
  <c r="AS172" i="1"/>
  <c r="AS134" i="1"/>
  <c r="AS94" i="1"/>
  <c r="AS62" i="1"/>
  <c r="AS23" i="1"/>
  <c r="AS177" i="1"/>
  <c r="AS179" i="1"/>
  <c r="AS24" i="1"/>
  <c r="AS139" i="1"/>
  <c r="AS119" i="1"/>
  <c r="AS81" i="1"/>
  <c r="AS98" i="1"/>
  <c r="AS80" i="1"/>
  <c r="AS60" i="1"/>
  <c r="AS25" i="1"/>
  <c r="AS138" i="1"/>
  <c r="AS99" i="1"/>
  <c r="AS178" i="1"/>
  <c r="AS43" i="1"/>
  <c r="AS118" i="1"/>
  <c r="AS61" i="1"/>
  <c r="AS120" i="1"/>
  <c r="AS187" i="1"/>
  <c r="AS52" i="1"/>
  <c r="AS70" i="1"/>
  <c r="AS110" i="1"/>
  <c r="AS13" i="1"/>
  <c r="AS71" i="1"/>
  <c r="AS53" i="1"/>
  <c r="AS109" i="1"/>
  <c r="AS150" i="1"/>
  <c r="AS129" i="1"/>
  <c r="AS34" i="1"/>
  <c r="AS148" i="1"/>
  <c r="AS14" i="1"/>
  <c r="AS151" i="1"/>
  <c r="AS33" i="1"/>
  <c r="AS149" i="1"/>
  <c r="AS188" i="1"/>
  <c r="AS111" i="1"/>
  <c r="AS18" i="1"/>
  <c r="AS40" i="1"/>
  <c r="AS115" i="1"/>
  <c r="AS114" i="1"/>
  <c r="AS19" i="1"/>
  <c r="AS173" i="1"/>
  <c r="AS56" i="1"/>
  <c r="AS157" i="1"/>
  <c r="AS96" i="1"/>
  <c r="AS77" i="1"/>
  <c r="AS116" i="1"/>
  <c r="AS175" i="1"/>
  <c r="AS174" i="1"/>
  <c r="AS57" i="1"/>
  <c r="AS20" i="1"/>
  <c r="AS58" i="1"/>
  <c r="AS6" i="1"/>
  <c r="AS5" i="1"/>
  <c r="AS161" i="1"/>
  <c r="AS45" i="1"/>
  <c r="AS83" i="1"/>
  <c r="AS160" i="1"/>
  <c r="AS44" i="1"/>
  <c r="AS46" i="1"/>
  <c r="AS121" i="1"/>
  <c r="AS63" i="1"/>
  <c r="AS162" i="1"/>
  <c r="AS82" i="1"/>
  <c r="AS100" i="1"/>
  <c r="AS180" i="1"/>
  <c r="AS181" i="1"/>
  <c r="AS102" i="1"/>
  <c r="AS141" i="1"/>
  <c r="AS105" i="1"/>
  <c r="AS103" i="1"/>
  <c r="AS140" i="1"/>
  <c r="AS123" i="1"/>
  <c r="AS182" i="1"/>
  <c r="AS47" i="1"/>
  <c r="AS65" i="1"/>
  <c r="AS27" i="1"/>
  <c r="AS49" i="1"/>
  <c r="AS164" i="1"/>
  <c r="AS48" i="1"/>
  <c r="AS104" i="1"/>
  <c r="AS124" i="1"/>
  <c r="AS7" i="1"/>
  <c r="AS64" i="1"/>
  <c r="AS189" i="1"/>
  <c r="AS154" i="1"/>
  <c r="AS153" i="1"/>
  <c r="AS54" i="1"/>
  <c r="AS190" i="1"/>
  <c r="AS36" i="1"/>
  <c r="AS91" i="1"/>
  <c r="AS152" i="1"/>
  <c r="AS93" i="1"/>
  <c r="AS112" i="1"/>
  <c r="AS74" i="1"/>
  <c r="AS92" i="1"/>
  <c r="AS35" i="1"/>
  <c r="AS73" i="1"/>
  <c r="AS72" i="1"/>
  <c r="AS16" i="1"/>
  <c r="AS128" i="1"/>
  <c r="AS170" i="1"/>
  <c r="AS167" i="1"/>
  <c r="AS146" i="1"/>
  <c r="AS168" i="1"/>
  <c r="AS89" i="1"/>
  <c r="AS186" i="1"/>
  <c r="AS31" i="1"/>
  <c r="AS88" i="1"/>
  <c r="AS147" i="1"/>
  <c r="AS69" i="1"/>
  <c r="AS12" i="1"/>
  <c r="AS169" i="1"/>
  <c r="AS144" i="1"/>
  <c r="AS145" i="1"/>
  <c r="AS32" i="1"/>
  <c r="AS30" i="1"/>
  <c r="AS11" i="1"/>
  <c r="AS108" i="1"/>
  <c r="AS90" i="1"/>
  <c r="AS87" i="1"/>
  <c r="AS42" i="1"/>
  <c r="AS97" i="1"/>
  <c r="AS136" i="1"/>
  <c r="AS78" i="1"/>
  <c r="AS22" i="1"/>
  <c r="AS159" i="1"/>
  <c r="AS41" i="1"/>
  <c r="AS59" i="1"/>
  <c r="AS2" i="1"/>
  <c r="AS137" i="1"/>
  <c r="AS79" i="1"/>
  <c r="AS3" i="1"/>
  <c r="AS176" i="1"/>
  <c r="AS21" i="1"/>
  <c r="AS158" i="1"/>
  <c r="AS117" i="1"/>
  <c r="AS4" i="1"/>
  <c r="L44" i="1" l="1"/>
  <c r="L53" i="1"/>
  <c r="L172" i="1"/>
  <c r="L156" i="1"/>
  <c r="L194" i="1"/>
  <c r="L61" i="1"/>
  <c r="L113" i="1"/>
  <c r="L131" i="1"/>
  <c r="L111" i="1"/>
  <c r="L23" i="1"/>
  <c r="L57" i="1"/>
  <c r="L182" i="1"/>
  <c r="L147" i="1"/>
  <c r="L140" i="1"/>
  <c r="L76" i="1"/>
  <c r="L104" i="1"/>
  <c r="L46" i="1"/>
  <c r="L120" i="1"/>
  <c r="L132" i="1"/>
  <c r="L91" i="1"/>
  <c r="L22" i="1"/>
  <c r="L180" i="1"/>
  <c r="L114" i="1"/>
  <c r="L154" i="1"/>
  <c r="L33" i="1"/>
  <c r="L153" i="1"/>
  <c r="L43" i="1"/>
  <c r="L125" i="1"/>
  <c r="L88" i="1"/>
  <c r="L78" i="1"/>
  <c r="L160" i="1"/>
  <c r="L148" i="1"/>
  <c r="L188" i="1"/>
  <c r="L103" i="1"/>
  <c r="L6" i="1"/>
  <c r="L55" i="1"/>
  <c r="L3" i="1"/>
  <c r="L52" i="1"/>
  <c r="L178" i="1"/>
  <c r="L99" i="1"/>
  <c r="L102" i="1"/>
  <c r="L27" i="1"/>
  <c r="L185" i="1"/>
  <c r="L149" i="1"/>
  <c r="L134" i="1"/>
  <c r="L173" i="1"/>
  <c r="L133" i="1"/>
  <c r="L191" i="1"/>
  <c r="L45" i="1"/>
  <c r="L187" i="1"/>
  <c r="L108" i="1"/>
  <c r="L20" i="1"/>
  <c r="L110" i="1"/>
  <c r="L176" i="1"/>
  <c r="L2" i="1"/>
  <c r="L47" i="1"/>
  <c r="L116" i="1"/>
  <c r="L141" i="1"/>
  <c r="L59" i="1"/>
  <c r="L62" i="1"/>
  <c r="L60" i="1"/>
  <c r="L69" i="1"/>
  <c r="L137" i="1"/>
  <c r="L179" i="1"/>
  <c r="L11" i="1"/>
  <c r="L92" i="1"/>
  <c r="L177" i="1"/>
  <c r="L73" i="1"/>
  <c r="L139" i="1"/>
  <c r="L5" i="1"/>
  <c r="L32" i="1"/>
  <c r="L67" i="1"/>
  <c r="L8" i="1"/>
  <c r="L97" i="1"/>
  <c r="L94" i="1"/>
  <c r="L166" i="1"/>
  <c r="L70" i="1"/>
  <c r="L175" i="1"/>
  <c r="L129" i="1"/>
  <c r="L150" i="1"/>
  <c r="L146" i="1"/>
  <c r="L35" i="1"/>
  <c r="L13" i="1"/>
  <c r="L135" i="1"/>
  <c r="L72" i="1"/>
  <c r="L12" i="1"/>
  <c r="L118" i="1"/>
  <c r="L174" i="1"/>
  <c r="L7" i="1"/>
  <c r="L192" i="1"/>
  <c r="L25" i="1"/>
  <c r="L183" i="1"/>
  <c r="L42" i="1"/>
  <c r="L186" i="1"/>
  <c r="L39" i="1"/>
  <c r="L49" i="1"/>
  <c r="L17" i="1"/>
  <c r="L36" i="1"/>
  <c r="L109" i="1"/>
  <c r="L19" i="1"/>
  <c r="L124" i="1"/>
  <c r="L4" i="1"/>
  <c r="L81" i="1"/>
  <c r="L96" i="1"/>
  <c r="L151" i="1"/>
  <c r="L41" i="1"/>
  <c r="L157" i="1"/>
  <c r="L66" i="1"/>
  <c r="L54" i="1"/>
  <c r="L189" i="1"/>
  <c r="L136" i="1"/>
  <c r="L126" i="1"/>
  <c r="L14" i="1"/>
  <c r="L142" i="1"/>
  <c r="L24" i="1"/>
  <c r="L38" i="1"/>
  <c r="L86" i="1"/>
  <c r="L58" i="1"/>
  <c r="L190" i="1"/>
  <c r="L181" i="1"/>
  <c r="L127" i="1"/>
  <c r="L159" i="1"/>
  <c r="L152" i="1"/>
  <c r="L128" i="1"/>
  <c r="L65" i="1"/>
  <c r="L28" i="1"/>
  <c r="L10" i="1"/>
  <c r="L143" i="1"/>
  <c r="L56" i="1"/>
  <c r="L161" i="1"/>
  <c r="L168" i="1"/>
  <c r="L144" i="1"/>
  <c r="L115" i="1"/>
  <c r="L123" i="1"/>
  <c r="L171" i="1"/>
  <c r="L117" i="1"/>
  <c r="L80" i="1"/>
  <c r="L112" i="1"/>
  <c r="L170" i="1"/>
  <c r="L74" i="1"/>
  <c r="L83" i="1"/>
  <c r="L162" i="1"/>
  <c r="L89" i="1"/>
  <c r="L79" i="1"/>
  <c r="L51" i="1"/>
  <c r="L82" i="1"/>
  <c r="L16" i="1"/>
  <c r="L184" i="1"/>
  <c r="L63" i="1"/>
  <c r="L71" i="1"/>
  <c r="L21" i="1"/>
  <c r="L98" i="1"/>
  <c r="L93" i="1"/>
  <c r="L164" i="1"/>
  <c r="L87" i="1"/>
  <c r="L90" i="1"/>
  <c r="L138" i="1"/>
  <c r="L40" i="1"/>
  <c r="L145" i="1"/>
  <c r="L48" i="1"/>
  <c r="L30" i="1"/>
  <c r="L119" i="1"/>
  <c r="L31" i="1"/>
  <c r="L169" i="1"/>
  <c r="L95" i="1"/>
  <c r="L121" i="1"/>
  <c r="L167" i="1"/>
  <c r="L105" i="1"/>
  <c r="L34" i="1"/>
  <c r="L77" i="1"/>
  <c r="L158" i="1"/>
  <c r="L18" i="1"/>
  <c r="L100" i="1"/>
  <c r="L64" i="1"/>
  <c r="M159" i="1"/>
  <c r="M10" i="1"/>
  <c r="M185" i="1"/>
  <c r="M66" i="1"/>
  <c r="M139" i="1"/>
  <c r="M61" i="1"/>
  <c r="M149" i="1"/>
  <c r="M20" i="1"/>
  <c r="M46" i="1"/>
  <c r="M47" i="1"/>
  <c r="M153" i="1"/>
  <c r="M73" i="1"/>
  <c r="M88" i="1"/>
  <c r="M3" i="1"/>
  <c r="M87" i="1"/>
  <c r="M125" i="1"/>
  <c r="M191" i="1"/>
  <c r="M113" i="1"/>
  <c r="M55" i="1"/>
  <c r="M62" i="1"/>
  <c r="M119" i="1"/>
  <c r="M138" i="1"/>
  <c r="M120" i="1"/>
  <c r="M71" i="1"/>
  <c r="M34" i="1"/>
  <c r="M188" i="1"/>
  <c r="M115" i="1"/>
  <c r="M56" i="1"/>
  <c r="M58" i="1"/>
  <c r="M83" i="1"/>
  <c r="M121" i="1"/>
  <c r="M180" i="1"/>
  <c r="M140" i="1"/>
  <c r="M65" i="1"/>
  <c r="M124" i="1"/>
  <c r="M54" i="1"/>
  <c r="M112" i="1"/>
  <c r="M72" i="1"/>
  <c r="M146" i="1"/>
  <c r="M147" i="1"/>
  <c r="M32" i="1"/>
  <c r="M42" i="1"/>
  <c r="M41" i="1"/>
  <c r="M176" i="1"/>
  <c r="M51" i="1"/>
  <c r="M171" i="1"/>
  <c r="M194" i="1"/>
  <c r="M94" i="1"/>
  <c r="M25" i="1"/>
  <c r="M13" i="1"/>
  <c r="M129" i="1"/>
  <c r="M100" i="1"/>
  <c r="M103" i="1"/>
  <c r="M104" i="1"/>
  <c r="M93" i="1"/>
  <c r="M167" i="1"/>
  <c r="M145" i="1"/>
  <c r="M67" i="1"/>
  <c r="M86" i="1"/>
  <c r="M132" i="1"/>
  <c r="M133" i="1"/>
  <c r="M192" i="1"/>
  <c r="M23" i="1"/>
  <c r="M81" i="1"/>
  <c r="M99" i="1"/>
  <c r="M187" i="1"/>
  <c r="M53" i="1"/>
  <c r="M148" i="1"/>
  <c r="M111" i="1"/>
  <c r="M114" i="1"/>
  <c r="M157" i="1"/>
  <c r="M175" i="1"/>
  <c r="M6" i="1"/>
  <c r="M160" i="1"/>
  <c r="M63" i="1"/>
  <c r="M181" i="1"/>
  <c r="M123" i="1"/>
  <c r="M27" i="1"/>
  <c r="M7" i="1"/>
  <c r="M190" i="1"/>
  <c r="M74" i="1"/>
  <c r="M21" i="1"/>
  <c r="M59" i="1"/>
  <c r="N59" i="1"/>
  <c r="M127" i="1"/>
  <c r="M126" i="1"/>
  <c r="M8" i="1"/>
  <c r="M142" i="1"/>
  <c r="M17" i="1"/>
  <c r="M38" i="1"/>
  <c r="M131" i="1"/>
  <c r="M177" i="1"/>
  <c r="M98" i="1"/>
  <c r="M178" i="1"/>
  <c r="M52" i="1"/>
  <c r="M109" i="1"/>
  <c r="M14" i="1"/>
  <c r="M18" i="1"/>
  <c r="M19" i="1"/>
  <c r="M96" i="1"/>
  <c r="M5" i="1"/>
  <c r="M102" i="1"/>
  <c r="M49" i="1"/>
  <c r="M64" i="1"/>
  <c r="M36" i="1"/>
  <c r="M92" i="1"/>
  <c r="M16" i="1"/>
  <c r="M89" i="1"/>
  <c r="M12" i="1"/>
  <c r="M11" i="1"/>
  <c r="M136" i="1"/>
  <c r="M2" i="1"/>
  <c r="M158" i="1"/>
  <c r="M30" i="1"/>
  <c r="M97" i="1"/>
  <c r="M28" i="1"/>
  <c r="M39" i="1"/>
  <c r="M95" i="1"/>
  <c r="M172" i="1"/>
  <c r="M179" i="1"/>
  <c r="M80" i="1"/>
  <c r="M43" i="1"/>
  <c r="M70" i="1"/>
  <c r="M151" i="1"/>
  <c r="M40" i="1"/>
  <c r="M173" i="1"/>
  <c r="M77" i="1"/>
  <c r="M174" i="1"/>
  <c r="M161" i="1"/>
  <c r="M44" i="1"/>
  <c r="M162" i="1"/>
  <c r="M141" i="1"/>
  <c r="M164" i="1"/>
  <c r="M189" i="1"/>
  <c r="M91" i="1"/>
  <c r="M35" i="1"/>
  <c r="M128" i="1"/>
  <c r="M186" i="1"/>
  <c r="M169" i="1"/>
  <c r="M108" i="1"/>
  <c r="M78" i="1"/>
  <c r="M137" i="1"/>
  <c r="M117" i="1"/>
  <c r="M69" i="1"/>
  <c r="M168" i="1"/>
  <c r="M143" i="1"/>
  <c r="M166" i="1"/>
  <c r="M184" i="1"/>
  <c r="M183" i="1"/>
  <c r="M76" i="1"/>
  <c r="M135" i="1"/>
  <c r="M156" i="1"/>
  <c r="M134" i="1"/>
  <c r="M24" i="1"/>
  <c r="M60" i="1"/>
  <c r="M118" i="1"/>
  <c r="M110" i="1"/>
  <c r="M150" i="1"/>
  <c r="M33" i="1"/>
  <c r="M116" i="1"/>
  <c r="M57" i="1"/>
  <c r="M45" i="1"/>
  <c r="M82" i="1"/>
  <c r="M105" i="1"/>
  <c r="M182" i="1"/>
  <c r="M48" i="1"/>
  <c r="M154" i="1"/>
  <c r="M152" i="1"/>
  <c r="M170" i="1"/>
  <c r="M31" i="1"/>
  <c r="M144" i="1"/>
  <c r="M90" i="1"/>
  <c r="M22" i="1"/>
  <c r="M79" i="1"/>
  <c r="M4" i="1"/>
  <c r="AE70" i="1" l="1"/>
  <c r="AE28" i="1"/>
  <c r="AE137" i="1"/>
  <c r="AE77" i="1"/>
  <c r="AE179" i="1"/>
  <c r="AE5" i="1"/>
  <c r="AE126" i="1"/>
  <c r="AE128" i="1"/>
  <c r="AE30" i="1"/>
  <c r="AE178" i="1"/>
  <c r="AE67" i="1"/>
  <c r="AE2" i="1"/>
  <c r="AE96" i="1"/>
  <c r="AE177" i="1"/>
  <c r="AE186" i="1"/>
  <c r="AE164" i="1"/>
  <c r="AE162" i="1"/>
  <c r="AE173" i="1"/>
  <c r="AE39" i="1"/>
  <c r="AE189" i="1"/>
  <c r="AE123" i="1"/>
  <c r="AE169" i="1"/>
  <c r="AE141" i="1"/>
  <c r="AE151" i="1"/>
  <c r="AE95" i="1"/>
  <c r="AE89" i="1"/>
  <c r="AE142" i="1"/>
  <c r="AE64" i="1"/>
  <c r="AE109" i="1"/>
  <c r="AE23" i="1"/>
  <c r="AE168" i="1"/>
  <c r="AE63" i="1"/>
  <c r="AE111" i="1"/>
  <c r="AE133" i="1"/>
  <c r="AE59" i="1"/>
  <c r="AE78" i="1"/>
  <c r="AE7" i="1"/>
  <c r="AE44" i="1"/>
  <c r="AE53" i="1"/>
  <c r="AE172" i="1"/>
  <c r="AE91" i="1"/>
  <c r="AE174" i="1"/>
  <c r="AE80" i="1"/>
  <c r="AE74" i="1"/>
  <c r="AE6" i="1"/>
  <c r="AE99" i="1"/>
  <c r="AE157" i="1"/>
  <c r="AE92" i="1"/>
  <c r="AE108" i="1"/>
  <c r="AE35" i="1"/>
  <c r="AE161" i="1"/>
  <c r="AE40" i="1"/>
  <c r="AE43" i="1"/>
  <c r="AE11" i="1"/>
  <c r="AE18" i="1"/>
  <c r="AE38" i="1"/>
  <c r="AE176" i="1"/>
  <c r="AE41" i="1"/>
  <c r="AE42" i="1"/>
  <c r="AE32" i="1"/>
  <c r="AE147" i="1"/>
  <c r="AE146" i="1"/>
  <c r="AE72" i="1"/>
  <c r="AE112" i="1"/>
  <c r="AE54" i="1"/>
  <c r="AE124" i="1"/>
  <c r="AE65" i="1"/>
  <c r="AE140" i="1"/>
  <c r="AE180" i="1"/>
  <c r="AE121" i="1"/>
  <c r="AE83" i="1"/>
  <c r="AE58" i="1"/>
  <c r="AE56" i="1"/>
  <c r="AE115" i="1"/>
  <c r="AE188" i="1"/>
  <c r="AE34" i="1"/>
  <c r="AE71" i="1"/>
  <c r="AE120" i="1"/>
  <c r="AE138" i="1"/>
  <c r="AE119" i="1"/>
  <c r="AE62" i="1"/>
  <c r="AE55" i="1"/>
  <c r="AE113" i="1"/>
  <c r="AE191" i="1"/>
  <c r="AE125" i="1"/>
  <c r="AE127" i="1"/>
  <c r="AE117" i="1"/>
  <c r="AE136" i="1"/>
  <c r="AE12" i="1"/>
  <c r="AE16" i="1"/>
  <c r="AE36" i="1"/>
  <c r="AE49" i="1"/>
  <c r="AE102" i="1"/>
  <c r="AE19" i="1"/>
  <c r="AE14" i="1"/>
  <c r="AE52" i="1"/>
  <c r="AE98" i="1"/>
  <c r="AE131" i="1"/>
  <c r="AE17" i="1"/>
  <c r="AE8" i="1"/>
  <c r="AE158" i="1"/>
  <c r="AE159" i="1"/>
  <c r="AE145" i="1"/>
  <c r="AE167" i="1"/>
  <c r="AE93" i="1"/>
  <c r="AE104" i="1"/>
  <c r="AE103" i="1"/>
  <c r="AE46" i="1"/>
  <c r="AE20" i="1"/>
  <c r="AE149" i="1"/>
  <c r="AE13" i="1"/>
  <c r="AE25" i="1"/>
  <c r="AE94" i="1"/>
  <c r="AE194" i="1"/>
  <c r="AE66" i="1"/>
  <c r="AE185" i="1"/>
  <c r="AE21" i="1"/>
  <c r="AE97" i="1"/>
  <c r="AE69" i="1"/>
  <c r="AE190" i="1"/>
  <c r="AE27" i="1"/>
  <c r="AE181" i="1"/>
  <c r="AE160" i="1"/>
  <c r="AE175" i="1"/>
  <c r="AE114" i="1"/>
  <c r="AE148" i="1"/>
  <c r="AE187" i="1"/>
  <c r="AE81" i="1"/>
  <c r="AE192" i="1"/>
  <c r="AE132" i="1"/>
  <c r="AE86" i="1"/>
  <c r="AE4" i="1"/>
  <c r="AE79" i="1"/>
  <c r="AE22" i="1"/>
  <c r="AE90" i="1"/>
  <c r="AE144" i="1"/>
  <c r="AE31" i="1"/>
  <c r="AE170" i="1"/>
  <c r="AE152" i="1"/>
  <c r="AE154" i="1"/>
  <c r="AE48" i="1"/>
  <c r="AE182" i="1"/>
  <c r="AE105" i="1"/>
  <c r="AE82" i="1"/>
  <c r="AE45" i="1"/>
  <c r="AE57" i="1"/>
  <c r="AE116" i="1"/>
  <c r="AE33" i="1"/>
  <c r="AE150" i="1"/>
  <c r="AE110" i="1"/>
  <c r="AE118" i="1"/>
  <c r="AE60" i="1"/>
  <c r="AE24" i="1"/>
  <c r="AE134" i="1"/>
  <c r="AE156" i="1"/>
  <c r="AE135" i="1"/>
  <c r="AE76" i="1"/>
  <c r="AE183" i="1"/>
  <c r="AE184" i="1"/>
  <c r="AE166" i="1"/>
  <c r="AE143" i="1"/>
  <c r="AE3" i="1"/>
  <c r="AE87" i="1"/>
  <c r="AE88" i="1"/>
  <c r="AE73" i="1"/>
  <c r="AE153" i="1"/>
  <c r="AE47" i="1"/>
  <c r="AE100" i="1"/>
  <c r="AE129" i="1"/>
  <c r="AE61" i="1"/>
  <c r="AE139" i="1"/>
  <c r="AE171" i="1"/>
  <c r="AE51" i="1"/>
  <c r="AE10" i="1"/>
</calcChain>
</file>

<file path=xl/sharedStrings.xml><?xml version="1.0" encoding="utf-8"?>
<sst xmlns="http://schemas.openxmlformats.org/spreadsheetml/2006/main" count="4248" uniqueCount="679">
  <si>
    <t>Season</t>
  </si>
  <si>
    <t>Team</t>
  </si>
  <si>
    <t>Player</t>
  </si>
  <si>
    <t>출전 경기 수</t>
  </si>
  <si>
    <t>m</t>
  </si>
  <si>
    <t>s</t>
  </si>
  <si>
    <t>출전 시간(초)</t>
  </si>
  <si>
    <t>득점</t>
  </si>
  <si>
    <t>평균 득점</t>
  </si>
  <si>
    <t>FGA</t>
  </si>
  <si>
    <t>FG</t>
  </si>
  <si>
    <t>평균 FG 시도</t>
  </si>
  <si>
    <t>평균 FG 성공</t>
  </si>
  <si>
    <t>FG%</t>
  </si>
  <si>
    <t>2PA</t>
  </si>
  <si>
    <t>2P</t>
  </si>
  <si>
    <t>평균 2p 시도</t>
  </si>
  <si>
    <t>평균 2p 성공</t>
  </si>
  <si>
    <t>2P%</t>
  </si>
  <si>
    <t>3PA</t>
  </si>
  <si>
    <t>3P</t>
  </si>
  <si>
    <t>평균 3p 시도</t>
  </si>
  <si>
    <t>평균 3p 성공</t>
  </si>
  <si>
    <t>3P%</t>
  </si>
  <si>
    <t>FTA</t>
  </si>
  <si>
    <t>FT</t>
  </si>
  <si>
    <t>평균 FT 시도</t>
  </si>
  <si>
    <t>평균 FT 성공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</si>
  <si>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</si>
  <si>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</si>
  <si>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</si>
  <si>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</si>
  <si>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</si>
  <si>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</si>
  <si>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</si>
  <si>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</si>
  <si>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</si>
  <si>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</si>
  <si>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</si>
  <si>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</si>
  <si>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</si>
  <si>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</si>
  <si>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</si>
  <si>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</si>
  <si>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</si>
  <si>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</si>
  <si>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</si>
  <si>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</si>
  <si>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</si>
  <si>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</si>
  <si>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</si>
  <si>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</si>
  <si>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</si>
  <si>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</si>
  <si>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</si>
  <si>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</si>
  <si>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</si>
  <si>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</si>
  <si>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</si>
  <si>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</si>
  <si>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</si>
  <si>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</si>
  <si>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</si>
  <si>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</si>
  <si>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BS%</t>
  </si>
  <si>
    <t>TOV%</t>
  </si>
  <si>
    <t>자밀 워니</t>
  </si>
  <si>
    <t>오세근</t>
  </si>
  <si>
    <t>최부경</t>
  </si>
  <si>
    <t>최원혁</t>
  </si>
  <si>
    <t>허일영</t>
  </si>
  <si>
    <t>오재현</t>
  </si>
  <si>
    <t>안영준</t>
  </si>
  <si>
    <t>김선형</t>
  </si>
  <si>
    <t>김형빈</t>
  </si>
  <si>
    <t>문가온</t>
  </si>
  <si>
    <t>하윤기</t>
  </si>
  <si>
    <t>문정현</t>
  </si>
  <si>
    <t>문성곤</t>
  </si>
  <si>
    <t>이두원</t>
  </si>
  <si>
    <t>한희원</t>
  </si>
  <si>
    <t>정성우</t>
  </si>
  <si>
    <t>최창진</t>
  </si>
  <si>
    <t>허훈</t>
  </si>
  <si>
    <t>이현석</t>
  </si>
  <si>
    <t>최성모</t>
  </si>
  <si>
    <t>이윤기</t>
  </si>
  <si>
    <t>박찬호</t>
  </si>
  <si>
    <t>박준영</t>
  </si>
  <si>
    <t>이승현</t>
  </si>
  <si>
    <t>최준용</t>
  </si>
  <si>
    <t>이호현</t>
  </si>
  <si>
    <t>정창영</t>
  </si>
  <si>
    <t>송교창</t>
  </si>
  <si>
    <t>이근휘</t>
  </si>
  <si>
    <t>허웅</t>
  </si>
  <si>
    <t>여준형</t>
  </si>
  <si>
    <t>전준범</t>
  </si>
  <si>
    <t>김동현</t>
  </si>
  <si>
    <t>이주영</t>
  </si>
  <si>
    <t>함지훈</t>
  </si>
  <si>
    <t>장재석</t>
  </si>
  <si>
    <t>김준일</t>
  </si>
  <si>
    <t>김국찬</t>
  </si>
  <si>
    <t>박무빈</t>
  </si>
  <si>
    <t>최진수</t>
  </si>
  <si>
    <t>미구엘 안드레 옥존</t>
  </si>
  <si>
    <t>서명진</t>
  </si>
  <si>
    <t>김종규</t>
  </si>
  <si>
    <t>강상재</t>
  </si>
  <si>
    <t>박인웅</t>
  </si>
  <si>
    <t>최승욱</t>
  </si>
  <si>
    <t>이선 알바노</t>
  </si>
  <si>
    <t>서민수</t>
  </si>
  <si>
    <t>김영현</t>
  </si>
  <si>
    <t>이용우</t>
  </si>
  <si>
    <t>박승재</t>
  </si>
  <si>
    <t>김훈</t>
  </si>
  <si>
    <t>이윤수</t>
  </si>
  <si>
    <t>최승빈</t>
  </si>
  <si>
    <t>김진유</t>
  </si>
  <si>
    <t>최현민</t>
  </si>
  <si>
    <t>이정현</t>
  </si>
  <si>
    <t>한호빈</t>
  </si>
  <si>
    <t>전성현</t>
  </si>
  <si>
    <t>박종하</t>
  </si>
  <si>
    <t>조은후</t>
  </si>
  <si>
    <t>이원석</t>
  </si>
  <si>
    <t>이동엽</t>
  </si>
  <si>
    <t>윤성원</t>
  </si>
  <si>
    <t>홍경기</t>
  </si>
  <si>
    <t>김한솔</t>
  </si>
  <si>
    <t>아셈 마레이</t>
  </si>
  <si>
    <t>유기상</t>
  </si>
  <si>
    <t>이재도</t>
  </si>
  <si>
    <t>저스틴 구탕</t>
  </si>
  <si>
    <t>정희재</t>
  </si>
  <si>
    <t>이관희</t>
  </si>
  <si>
    <t>박정현</t>
  </si>
  <si>
    <t>양준석</t>
  </si>
  <si>
    <t>정인덕</t>
  </si>
  <si>
    <t>이승우</t>
  </si>
  <si>
    <t>임동섭</t>
  </si>
  <si>
    <t>김준형</t>
  </si>
  <si>
    <t>한상혁</t>
  </si>
  <si>
    <t>앤드류 니콜슨</t>
  </si>
  <si>
    <t>차바위</t>
  </si>
  <si>
    <t>이대헌</t>
  </si>
  <si>
    <t>신승민</t>
  </si>
  <si>
    <t>박지훈</t>
  </si>
  <si>
    <t>신주영</t>
  </si>
  <si>
    <t>김낙현</t>
  </si>
  <si>
    <t>샘조세프 벨란겔</t>
  </si>
  <si>
    <t>양재혁</t>
  </si>
  <si>
    <t>이도헌</t>
  </si>
  <si>
    <t>김경원</t>
  </si>
  <si>
    <t>정효근</t>
  </si>
  <si>
    <t>정준원</t>
  </si>
  <si>
    <t>최성원</t>
  </si>
  <si>
    <t>배병준</t>
  </si>
  <si>
    <t>고찬혁</t>
  </si>
  <si>
    <t>나성호</t>
  </si>
  <si>
    <t>2024-25</t>
    <phoneticPr fontId="1" type="noConversion"/>
  </si>
  <si>
    <t>아이재아 힉스</t>
  </si>
  <si>
    <t>김태훈</t>
  </si>
  <si>
    <t>레이션 해먼즈</t>
  </si>
  <si>
    <t>조엘 카굴랑안</t>
  </si>
  <si>
    <t>박성재</t>
  </si>
  <si>
    <t>박지원</t>
  </si>
  <si>
    <t>최진광</t>
  </si>
  <si>
    <t>28</t>
  </si>
  <si>
    <t>31</t>
  </si>
  <si>
    <t>29</t>
  </si>
  <si>
    <t>17</t>
  </si>
  <si>
    <t>24</t>
  </si>
  <si>
    <t>21</t>
  </si>
  <si>
    <t>10</t>
  </si>
  <si>
    <t>26</t>
  </si>
  <si>
    <t>14</t>
  </si>
  <si>
    <t>44</t>
  </si>
  <si>
    <t>18</t>
  </si>
  <si>
    <t>15</t>
  </si>
  <si>
    <t>27</t>
  </si>
  <si>
    <t>16</t>
  </si>
  <si>
    <t>4</t>
  </si>
  <si>
    <t>12</t>
  </si>
  <si>
    <t>39</t>
  </si>
  <si>
    <t>7</t>
  </si>
  <si>
    <t>41</t>
  </si>
  <si>
    <t>8</t>
  </si>
  <si>
    <t>47</t>
  </si>
  <si>
    <t>19</t>
  </si>
  <si>
    <t>0</t>
  </si>
  <si>
    <t>3</t>
  </si>
  <si>
    <t>2</t>
  </si>
  <si>
    <t>숀 롱</t>
  </si>
  <si>
    <t>김동준</t>
  </si>
  <si>
    <t>이대균</t>
  </si>
  <si>
    <t>조한진</t>
  </si>
  <si>
    <t>33</t>
  </si>
  <si>
    <t>23</t>
  </si>
  <si>
    <t>54</t>
  </si>
  <si>
    <t>30</t>
  </si>
  <si>
    <t>9</t>
  </si>
  <si>
    <t>22</t>
  </si>
  <si>
    <t>56</t>
  </si>
  <si>
    <t>38</t>
  </si>
  <si>
    <t>13</t>
  </si>
  <si>
    <t>20</t>
  </si>
  <si>
    <t>52</t>
  </si>
  <si>
    <t>김보배</t>
  </si>
  <si>
    <t>11</t>
  </si>
  <si>
    <t>59</t>
  </si>
  <si>
    <t>34</t>
  </si>
  <si>
    <t>정호영</t>
  </si>
  <si>
    <t>57</t>
  </si>
  <si>
    <t>백승엽</t>
  </si>
  <si>
    <t>58</t>
  </si>
  <si>
    <t>48</t>
  </si>
  <si>
    <t>43</t>
  </si>
  <si>
    <t>42</t>
  </si>
  <si>
    <t>케빈 켐바오</t>
  </si>
  <si>
    <t>이근준</t>
  </si>
  <si>
    <t>50</t>
  </si>
  <si>
    <t>55</t>
  </si>
  <si>
    <t>정성조</t>
  </si>
  <si>
    <t>6</t>
  </si>
  <si>
    <t>박진철</t>
  </si>
  <si>
    <t>서동원</t>
  </si>
  <si>
    <t>5</t>
  </si>
  <si>
    <t>53</t>
  </si>
  <si>
    <t>1</t>
  </si>
  <si>
    <t>49</t>
  </si>
  <si>
    <t>51</t>
  </si>
  <si>
    <t>32</t>
  </si>
  <si>
    <t>37</t>
  </si>
  <si>
    <t>황영찬</t>
  </si>
  <si>
    <t>임동언</t>
  </si>
  <si>
    <t>칼 타마요</t>
  </si>
  <si>
    <t>대릴 먼로</t>
  </si>
  <si>
    <t>46</t>
  </si>
  <si>
    <t>장민국</t>
  </si>
  <si>
    <t>최형찬</t>
  </si>
  <si>
    <t>25</t>
  </si>
  <si>
    <t>전현우</t>
  </si>
  <si>
    <t>35</t>
  </si>
  <si>
    <t>우동현</t>
  </si>
  <si>
    <t>45</t>
  </si>
  <si>
    <t>손준</t>
  </si>
  <si>
    <t>박정웅</t>
  </si>
  <si>
    <t>변준형</t>
  </si>
  <si>
    <t>소준혁</t>
  </si>
  <si>
    <t>조니 오브라이언트</t>
  </si>
  <si>
    <t>한승희</t>
  </si>
  <si>
    <t>서울 SK</t>
  </si>
  <si>
    <t>수원 KT</t>
  </si>
  <si>
    <t>부산 KCC</t>
  </si>
  <si>
    <t>원주 DB</t>
  </si>
  <si>
    <t>고양 소노</t>
  </si>
  <si>
    <t>서울 삼성</t>
  </si>
  <si>
    <t>창원 LG</t>
  </si>
  <si>
    <t>구분</t>
    <phoneticPr fontId="1" type="noConversion"/>
  </si>
  <si>
    <t>연봉</t>
    <phoneticPr fontId="1" type="noConversion"/>
  </si>
  <si>
    <t>국내</t>
    <phoneticPr fontId="1" type="noConversion"/>
  </si>
  <si>
    <t>아시아쿼터</t>
    <phoneticPr fontId="1" type="noConversion"/>
  </si>
  <si>
    <t>외국인</t>
  </si>
  <si>
    <t>2023-24</t>
  </si>
  <si>
    <t>외국인</t>
    <phoneticPr fontId="1" type="noConversion"/>
  </si>
  <si>
    <t>2025-26</t>
    <phoneticPr fontId="1" type="noConversion"/>
  </si>
  <si>
    <t>1158</t>
  </si>
  <si>
    <t>헨리 엘런슨</t>
  </si>
  <si>
    <t>1156</t>
  </si>
  <si>
    <t>울산 모비스</t>
  </si>
  <si>
    <t>1063</t>
  </si>
  <si>
    <t>1051</t>
  </si>
  <si>
    <t>네이던 나이트</t>
  </si>
  <si>
    <t>974</t>
  </si>
  <si>
    <t>데릭 윌리엄스</t>
  </si>
  <si>
    <t>961</t>
  </si>
  <si>
    <t>952</t>
  </si>
  <si>
    <t>케렘 칸터</t>
  </si>
  <si>
    <t>934</t>
  </si>
  <si>
    <t>909</t>
  </si>
  <si>
    <t>안양 정관장</t>
  </si>
  <si>
    <t>857</t>
  </si>
  <si>
    <t>851</t>
  </si>
  <si>
    <t>대구 한국가스공사</t>
  </si>
  <si>
    <t>840</t>
  </si>
  <si>
    <t>826</t>
  </si>
  <si>
    <t>라건아</t>
  </si>
  <si>
    <t>820</t>
  </si>
  <si>
    <t>739</t>
  </si>
  <si>
    <t>701</t>
  </si>
  <si>
    <t>689</t>
  </si>
  <si>
    <t>651</t>
  </si>
  <si>
    <t>618</t>
  </si>
  <si>
    <t>557</t>
  </si>
  <si>
    <t>알빈 톨렌티노</t>
  </si>
  <si>
    <t>552</t>
  </si>
  <si>
    <t>550</t>
  </si>
  <si>
    <t>536</t>
  </si>
  <si>
    <t>40</t>
  </si>
  <si>
    <t>523</t>
  </si>
  <si>
    <t>476</t>
  </si>
  <si>
    <t>475</t>
  </si>
  <si>
    <t>459</t>
  </si>
  <si>
    <t>457</t>
  </si>
  <si>
    <t>449</t>
  </si>
  <si>
    <t>강성욱</t>
  </si>
  <si>
    <t>428</t>
  </si>
  <si>
    <t>426</t>
  </si>
  <si>
    <t>404</t>
  </si>
  <si>
    <t>389</t>
  </si>
  <si>
    <t>388</t>
  </si>
  <si>
    <t>378</t>
  </si>
  <si>
    <t>372</t>
  </si>
  <si>
    <t>368</t>
  </si>
  <si>
    <t>브라이스 워싱턴</t>
  </si>
  <si>
    <t>366</t>
  </si>
  <si>
    <t>렌즈 아반도</t>
  </si>
  <si>
    <t>363</t>
  </si>
  <si>
    <t>361</t>
  </si>
  <si>
    <t>드완 에르난데스</t>
  </si>
  <si>
    <t>317</t>
  </si>
  <si>
    <t>314</t>
  </si>
  <si>
    <t>에삼 무스타파</t>
  </si>
  <si>
    <t>312</t>
  </si>
  <si>
    <t>302</t>
  </si>
  <si>
    <t>296</t>
  </si>
  <si>
    <t>295</t>
  </si>
  <si>
    <t>293</t>
  </si>
  <si>
    <t>강지훈</t>
  </si>
  <si>
    <t>291</t>
  </si>
  <si>
    <t>288</t>
  </si>
  <si>
    <t>닉 퍼킨스</t>
  </si>
  <si>
    <t>283</t>
  </si>
  <si>
    <t>282</t>
  </si>
  <si>
    <t>278</t>
  </si>
  <si>
    <t>마이클 에릭</t>
  </si>
  <si>
    <t>275</t>
  </si>
  <si>
    <t>268</t>
  </si>
  <si>
    <t>254</t>
  </si>
  <si>
    <t>253</t>
  </si>
  <si>
    <t>249</t>
  </si>
  <si>
    <t>베니 보트라이트</t>
  </si>
  <si>
    <t>241</t>
  </si>
  <si>
    <t>윤기찬</t>
  </si>
  <si>
    <t>240</t>
  </si>
  <si>
    <t>239</t>
  </si>
  <si>
    <t>238</t>
  </si>
  <si>
    <t>양홍석</t>
  </si>
  <si>
    <t>235</t>
  </si>
  <si>
    <t>232</t>
  </si>
  <si>
    <t>이규태</t>
  </si>
  <si>
    <t>225</t>
  </si>
  <si>
    <t>224</t>
  </si>
  <si>
    <t>문유현</t>
  </si>
  <si>
    <t>219</t>
  </si>
  <si>
    <t>윌리엄 나바로</t>
  </si>
  <si>
    <t>217</t>
  </si>
  <si>
    <t>216</t>
  </si>
  <si>
    <t>에디 다니엘</t>
  </si>
  <si>
    <t>215</t>
  </si>
  <si>
    <t>212</t>
  </si>
  <si>
    <t>존 이그부누</t>
  </si>
  <si>
    <t>209</t>
  </si>
  <si>
    <t>203</t>
  </si>
  <si>
    <t>188</t>
  </si>
  <si>
    <t>187</t>
  </si>
  <si>
    <t>윤원상</t>
  </si>
  <si>
    <t>184</t>
  </si>
  <si>
    <t>36</t>
  </si>
  <si>
    <t>180</t>
  </si>
  <si>
    <t>172</t>
  </si>
  <si>
    <t>171</t>
  </si>
  <si>
    <t>170</t>
  </si>
  <si>
    <t>양우혁</t>
  </si>
  <si>
    <t>169</t>
  </si>
  <si>
    <t>165</t>
  </si>
  <si>
    <t>163</t>
  </si>
  <si>
    <t>161</t>
  </si>
  <si>
    <t>157</t>
  </si>
  <si>
    <t>150</t>
  </si>
  <si>
    <t>149</t>
  </si>
  <si>
    <t>133</t>
  </si>
  <si>
    <t>131</t>
  </si>
  <si>
    <t>제일린 존슨</t>
  </si>
  <si>
    <t>130</t>
  </si>
  <si>
    <t>127</t>
  </si>
  <si>
    <t>123</t>
  </si>
  <si>
    <t>108</t>
  </si>
  <si>
    <t>김건하</t>
  </si>
  <si>
    <t>99</t>
  </si>
  <si>
    <t>김민규</t>
  </si>
  <si>
    <t>98</t>
  </si>
  <si>
    <t>이유진</t>
  </si>
  <si>
    <t>97</t>
  </si>
  <si>
    <t>87</t>
  </si>
  <si>
    <t>이기디우스 모츠카비추스</t>
  </si>
  <si>
    <t>86</t>
  </si>
  <si>
    <t>84</t>
  </si>
  <si>
    <t>신동혁</t>
  </si>
  <si>
    <t>82</t>
  </si>
  <si>
    <t>이대성</t>
  </si>
  <si>
    <t>81</t>
  </si>
  <si>
    <t>78</t>
  </si>
  <si>
    <t>에릭 로메로</t>
  </si>
  <si>
    <t>73</t>
  </si>
  <si>
    <t>최강민</t>
  </si>
  <si>
    <t>71</t>
  </si>
  <si>
    <t>이민서</t>
  </si>
  <si>
    <t>70</t>
  </si>
  <si>
    <t>69</t>
  </si>
  <si>
    <t>66</t>
  </si>
  <si>
    <t>62</t>
  </si>
  <si>
    <t>조나단 윌리엄스</t>
  </si>
  <si>
    <t>표승빈</t>
  </si>
  <si>
    <t>존킴웰 피게로아</t>
  </si>
  <si>
    <t>카이린 갤러웨이</t>
  </si>
  <si>
    <t>안성우</t>
  </si>
  <si>
    <t>망콕 마티앙</t>
  </si>
  <si>
    <t>박민재</t>
  </si>
  <si>
    <t>박정환</t>
  </si>
  <si>
    <t>김명진</t>
  </si>
  <si>
    <t>박준은</t>
  </si>
  <si>
    <t>김세창</t>
  </si>
  <si>
    <t>송한준</t>
  </si>
  <si>
    <t>프레디</t>
  </si>
  <si>
    <t>주현우</t>
  </si>
  <si>
    <t>김선우</t>
  </si>
  <si>
    <t>김휴범</t>
  </si>
  <si>
    <t>인승찬</t>
  </si>
  <si>
    <t>임정현</t>
  </si>
  <si>
    <t>강재민</t>
  </si>
  <si>
    <t>김준영</t>
  </si>
  <si>
    <t>강태현</t>
  </si>
  <si>
    <t>김건우</t>
  </si>
  <si>
    <t>김윤성</t>
  </si>
  <si>
    <t>김준환</t>
  </si>
  <si>
    <t>김태완</t>
  </si>
  <si>
    <t>신지원</t>
  </si>
  <si>
    <t>이현호</t>
  </si>
  <si>
    <t>조석호</t>
  </si>
  <si>
    <t>1091</t>
  </si>
  <si>
    <t>482</t>
  </si>
  <si>
    <t>902</t>
  </si>
  <si>
    <t>419</t>
  </si>
  <si>
    <t>876</t>
  </si>
  <si>
    <t>417</t>
  </si>
  <si>
    <t>727</t>
  </si>
  <si>
    <t>437</t>
  </si>
  <si>
    <t>702</t>
  </si>
  <si>
    <t>342</t>
  </si>
  <si>
    <t>771</t>
  </si>
  <si>
    <t>335</t>
  </si>
  <si>
    <t>762</t>
  </si>
  <si>
    <t>338</t>
  </si>
  <si>
    <t>626</t>
  </si>
  <si>
    <t>327</t>
  </si>
  <si>
    <t>716</t>
  </si>
  <si>
    <t>285</t>
  </si>
  <si>
    <t>817</t>
  </si>
  <si>
    <t>330</t>
  </si>
  <si>
    <t>673</t>
  </si>
  <si>
    <t>353</t>
  </si>
  <si>
    <t>305</t>
  </si>
  <si>
    <t>724</t>
  </si>
  <si>
    <t>308</t>
  </si>
  <si>
    <t>595</t>
  </si>
  <si>
    <t>344</t>
  </si>
  <si>
    <t>597</t>
  </si>
  <si>
    <t>246</t>
  </si>
  <si>
    <t>546</t>
  </si>
  <si>
    <t>267</t>
  </si>
  <si>
    <t>577</t>
  </si>
  <si>
    <t>625</t>
  </si>
  <si>
    <t>266</t>
  </si>
  <si>
    <t>492</t>
  </si>
  <si>
    <t>514</t>
  </si>
  <si>
    <t>202</t>
  </si>
  <si>
    <t>384</t>
  </si>
  <si>
    <t>179</t>
  </si>
  <si>
    <t>434</t>
  </si>
  <si>
    <t>198</t>
  </si>
  <si>
    <t>438</t>
  </si>
  <si>
    <t>444</t>
  </si>
  <si>
    <t>185</t>
  </si>
  <si>
    <t>421</t>
  </si>
  <si>
    <t>357</t>
  </si>
  <si>
    <t>177</t>
  </si>
  <si>
    <t>395</t>
  </si>
  <si>
    <t>159</t>
  </si>
  <si>
    <t>383</t>
  </si>
  <si>
    <t>156</t>
  </si>
  <si>
    <t>392</t>
  </si>
  <si>
    <t>385</t>
  </si>
  <si>
    <t>470</t>
  </si>
  <si>
    <t>195</t>
  </si>
  <si>
    <t>140</t>
  </si>
  <si>
    <t>340</t>
  </si>
  <si>
    <t>151</t>
  </si>
  <si>
    <t>343</t>
  </si>
  <si>
    <t>134</t>
  </si>
  <si>
    <t>354</t>
  </si>
  <si>
    <t>313</t>
  </si>
  <si>
    <t>300</t>
  </si>
  <si>
    <t>153</t>
  </si>
  <si>
    <t>309</t>
  </si>
  <si>
    <t>144</t>
  </si>
  <si>
    <t>334</t>
  </si>
  <si>
    <t>124</t>
  </si>
  <si>
    <t>294</t>
  </si>
  <si>
    <t>244</t>
  </si>
  <si>
    <t>264</t>
  </si>
  <si>
    <t>106</t>
  </si>
  <si>
    <t>274</t>
  </si>
  <si>
    <t>114</t>
  </si>
  <si>
    <t>111</t>
  </si>
  <si>
    <t>105</t>
  </si>
  <si>
    <t>271</t>
  </si>
  <si>
    <t>112</t>
  </si>
  <si>
    <t>270</t>
  </si>
  <si>
    <t>120</t>
  </si>
  <si>
    <t>94</t>
  </si>
  <si>
    <t>113</t>
  </si>
  <si>
    <t>110</t>
  </si>
  <si>
    <t>200</t>
  </si>
  <si>
    <t>122</t>
  </si>
  <si>
    <t>221</t>
  </si>
  <si>
    <t>95</t>
  </si>
  <si>
    <t>96</t>
  </si>
  <si>
    <t>182</t>
  </si>
  <si>
    <t>226</t>
  </si>
  <si>
    <t>104</t>
  </si>
  <si>
    <t>248</t>
  </si>
  <si>
    <t>90</t>
  </si>
  <si>
    <t>211</t>
  </si>
  <si>
    <t>79</t>
  </si>
  <si>
    <t>183</t>
  </si>
  <si>
    <t>83</t>
  </si>
  <si>
    <t>236</t>
  </si>
  <si>
    <t>89</t>
  </si>
  <si>
    <t>190</t>
  </si>
  <si>
    <t>186</t>
  </si>
  <si>
    <t>189</t>
  </si>
  <si>
    <t>167</t>
  </si>
  <si>
    <t>91</t>
  </si>
  <si>
    <t>147</t>
  </si>
  <si>
    <t>67</t>
  </si>
  <si>
    <t>160</t>
  </si>
  <si>
    <t>68</t>
  </si>
  <si>
    <t>152</t>
  </si>
  <si>
    <t>72</t>
  </si>
  <si>
    <t>60</t>
  </si>
  <si>
    <t>61</t>
  </si>
  <si>
    <t>178</t>
  </si>
  <si>
    <t>63</t>
  </si>
  <si>
    <t>132</t>
  </si>
  <si>
    <t>162</t>
  </si>
  <si>
    <t>118</t>
  </si>
  <si>
    <t>154</t>
  </si>
  <si>
    <t>121</t>
  </si>
  <si>
    <t>138</t>
  </si>
  <si>
    <t>146</t>
  </si>
  <si>
    <t>128</t>
  </si>
  <si>
    <t>109</t>
  </si>
  <si>
    <t>85</t>
  </si>
  <si>
    <t>102</t>
  </si>
  <si>
    <t>100</t>
  </si>
  <si>
    <t>93</t>
  </si>
  <si>
    <t>119</t>
  </si>
  <si>
    <t>77</t>
  </si>
  <si>
    <t>64</t>
  </si>
  <si>
    <t>794</t>
  </si>
  <si>
    <t>396</t>
  </si>
  <si>
    <t>622</t>
  </si>
  <si>
    <t>333</t>
  </si>
  <si>
    <t>624</t>
  </si>
  <si>
    <t>667</t>
  </si>
  <si>
    <t>414</t>
  </si>
  <si>
    <t>518</t>
  </si>
  <si>
    <t>286</t>
  </si>
  <si>
    <t>432</t>
  </si>
  <si>
    <t>220</t>
  </si>
  <si>
    <t>559</t>
  </si>
  <si>
    <t>337</t>
  </si>
  <si>
    <t>508</t>
  </si>
  <si>
    <t>665</t>
  </si>
  <si>
    <t>349</t>
  </si>
  <si>
    <t>382</t>
  </si>
  <si>
    <t>356</t>
  </si>
  <si>
    <t>192</t>
  </si>
  <si>
    <t>458</t>
  </si>
  <si>
    <t>284</t>
  </si>
  <si>
    <t>250</t>
  </si>
  <si>
    <t>375</t>
  </si>
  <si>
    <t>193</t>
  </si>
  <si>
    <t>460</t>
  </si>
  <si>
    <t>139</t>
  </si>
  <si>
    <t>261</t>
  </si>
  <si>
    <t>230</t>
  </si>
  <si>
    <t>103</t>
  </si>
  <si>
    <t>218</t>
  </si>
  <si>
    <t>115</t>
  </si>
  <si>
    <t>135</t>
  </si>
  <si>
    <t>439</t>
  </si>
  <si>
    <t>228</t>
  </si>
  <si>
    <t>174</t>
  </si>
  <si>
    <t>92</t>
  </si>
  <si>
    <t>126</t>
  </si>
  <si>
    <t>65</t>
  </si>
  <si>
    <t>125</t>
  </si>
  <si>
    <t>158</t>
  </si>
  <si>
    <t>76</t>
  </si>
  <si>
    <t>213</t>
  </si>
  <si>
    <t>148</t>
  </si>
  <si>
    <t>88</t>
  </si>
  <si>
    <t>297</t>
  </si>
  <si>
    <t>280</t>
  </si>
  <si>
    <t>252</t>
  </si>
  <si>
    <t>75</t>
  </si>
  <si>
    <t>339</t>
  </si>
  <si>
    <t>336</t>
  </si>
  <si>
    <t>379</t>
  </si>
  <si>
    <t>116</t>
  </si>
  <si>
    <t>137</t>
  </si>
  <si>
    <t>347</t>
  </si>
  <si>
    <t>74</t>
  </si>
  <si>
    <t>175</t>
  </si>
  <si>
    <t>155</t>
  </si>
  <si>
    <t>117</t>
  </si>
  <si>
    <t>164</t>
  </si>
  <si>
    <t>199</t>
  </si>
  <si>
    <t>229</t>
  </si>
  <si>
    <t>181</t>
  </si>
  <si>
    <t>101</t>
  </si>
  <si>
    <t>298</t>
  </si>
  <si>
    <t>234</t>
  </si>
  <si>
    <t>176</t>
  </si>
  <si>
    <t>255</t>
  </si>
  <si>
    <t>141</t>
  </si>
  <si>
    <t>80</t>
  </si>
  <si>
    <t>543</t>
  </si>
  <si>
    <t>487</t>
  </si>
  <si>
    <t>454</t>
  </si>
  <si>
    <t>674</t>
  </si>
  <si>
    <t>281</t>
  </si>
  <si>
    <t>493</t>
  </si>
  <si>
    <t>499</t>
  </si>
  <si>
    <t>260</t>
  </si>
  <si>
    <t>143</t>
  </si>
  <si>
    <t>207</t>
  </si>
  <si>
    <t>129</t>
  </si>
  <si>
    <t>194</t>
  </si>
  <si>
    <t>223</t>
  </si>
  <si>
    <t>233</t>
  </si>
  <si>
    <t>208</t>
  </si>
  <si>
    <t>173</t>
  </si>
  <si>
    <t>206</t>
  </si>
  <si>
    <t>259</t>
  </si>
  <si>
    <t>166</t>
  </si>
  <si>
    <t>391</t>
  </si>
  <si>
    <t>329</t>
  </si>
  <si>
    <t>381</t>
  </si>
  <si>
    <t>409</t>
  </si>
  <si>
    <t>242</t>
  </si>
  <si>
    <t>277</t>
  </si>
  <si>
    <t>480</t>
  </si>
  <si>
    <t>237</t>
  </si>
  <si>
    <t>107</t>
  </si>
  <si>
    <t>136</t>
  </si>
  <si>
    <t>256</t>
  </si>
  <si>
    <t>279</t>
  </si>
  <si>
    <t>257</t>
  </si>
  <si>
    <t>214</t>
  </si>
  <si>
    <t>276</t>
  </si>
  <si>
    <t>142</t>
  </si>
  <si>
    <t>아시안쿼터</t>
    <phoneticPr fontId="1" type="noConversion"/>
  </si>
  <si>
    <t>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</si>
</sst>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#,##0_);[Red]\(#,##0\)"/>
    <numFmt numFmtId="177" formatCode="0_);[Red]\(0\)"/>
    <numFmt numFmtId="178" formatCode="0.00_);[Red]\(0.00\)"/>
    <numFmt numFmtId="179" formatCode="0.000_ "/>
    <numFmt numFmtId="180" formatCode="#,##0.000_);[Red]\(#,##0.00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rgb="FF444444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7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0" fontId="0" fillId="2" borderId="0" xfId="0" applyFill="1">
      <alignment vertical="center"/>
    </xf>
    <xf numFmtId="0" fontId="3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 wrapText="1"/>
    </xf>
    <xf numFmtId="177" fontId="4" fillId="0" borderId="0" xfId="0" applyNumberFormat="1" applyFont="1" applyBorder="1" applyAlignment="1">
      <alignment horizontal="center" vertical="center" wrapText="1"/>
    </xf>
    <xf numFmtId="49" fontId="5" fillId="0" borderId="0" xfId="0" applyNumberFormat="1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1" fontId="4" fillId="0" borderId="0" xfId="0" applyNumberFormat="1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/>
    </xf>
    <xf numFmtId="176" fontId="8" fillId="0" borderId="0" xfId="0" applyNumberFormat="1" applyFont="1" applyBorder="1" applyAlignment="1">
      <alignment horizontal="center" vertical="center"/>
    </xf>
    <xf numFmtId="177" fontId="8" fillId="0" borderId="0" xfId="0" applyNumberFormat="1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78" fontId="8" fillId="2" borderId="0" xfId="0" applyNumberFormat="1" applyFont="1" applyFill="1" applyBorder="1" applyAlignment="1">
      <alignment horizontal="center" vertical="center"/>
    </xf>
    <xf numFmtId="10" fontId="8" fillId="2" borderId="0" xfId="1" applyNumberFormat="1" applyFont="1" applyFill="1" applyBorder="1" applyAlignment="1">
      <alignment horizontal="center" vertical="center"/>
    </xf>
    <xf numFmtId="179" fontId="8" fillId="0" borderId="0" xfId="0" applyNumberFormat="1" applyFont="1" applyBorder="1" applyAlignment="1">
      <alignment horizontal="center" vertical="center"/>
    </xf>
    <xf numFmtId="10" fontId="8" fillId="0" borderId="0" xfId="1" applyNumberFormat="1" applyFont="1" applyBorder="1" applyAlignment="1">
      <alignment horizontal="center" vertical="center"/>
    </xf>
    <xf numFmtId="0" fontId="8" fillId="0" borderId="0" xfId="0" applyFont="1" applyBorder="1">
      <alignment vertical="center"/>
    </xf>
    <xf numFmtId="0" fontId="9" fillId="0" borderId="0" xfId="0" applyFont="1" applyBorder="1" applyAlignment="1">
      <alignment horizontal="center" vertical="center"/>
    </xf>
    <xf numFmtId="178" fontId="8" fillId="0" borderId="0" xfId="0" applyNumberFormat="1" applyFont="1" applyBorder="1" applyAlignment="1">
      <alignment horizontal="center" vertical="center"/>
    </xf>
    <xf numFmtId="180" fontId="8" fillId="0" borderId="0" xfId="0" applyNumberFormat="1" applyFont="1" applyBorder="1" applyAlignment="1">
      <alignment horizontal="center" vertical="center"/>
    </xf>
    <xf numFmtId="0" fontId="8" fillId="3" borderId="0" xfId="0" applyFont="1" applyFill="1" applyBorder="1" applyAlignment="1">
      <alignment horizontal="center" vertical="center"/>
    </xf>
  </cellXfs>
  <cellStyles count="3">
    <cellStyle name="백분율" xfId="1" builtinId="5"/>
    <cellStyle name="표준" xfId="0" builtinId="0"/>
    <cellStyle name="표준 2 8" xfId="2" xr:uid="{0C98966D-A9AE-4EB3-94F4-9942DFF677B3}"/>
  </cellStyles>
  <dxfs count="0"/>
  <tableStyles count="1" defaultTableStyle="TableStyleMedium2" defaultPivotStyle="PivotStyleLight16">
    <tableStyle name="Invisible" pivot="0" table="0" count="0" xr9:uid="{76F0114F-B418-455F-ADC7-0A849209B89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B66F-BA9D-4F4E-80F0-8D4A27B7E2E2}">
  <dimension ref="A1:BP194"/>
  <sheetViews>
    <sheetView tabSelected="1" zoomScale="85" zoomScaleNormal="85" workbookViewId="0">
      <pane xSplit="4" ySplit="1" topLeftCell="E6" activePane="bottomRight" state="frozen"/>
      <selection pane="topRight" activeCell="E1" sqref="E1"/>
      <selection pane="bottomLeft" activeCell="A2" sqref="A2"/>
      <selection pane="bottomRight" activeCell="C17" sqref="C17"/>
    </sheetView>
  </sheetViews>
  <sheetFormatPr defaultRowHeight="16.5" x14ac:dyDescent="0.3"/>
  <cols>
    <col min="1" max="1" width="11.5" bestFit="1" customWidth="1"/>
    <col min="2" max="2" width="18.5" bestFit="1" customWidth="1"/>
    <col min="3" max="3" width="20" style="1" bestFit="1" customWidth="1"/>
    <col min="4" max="4" width="16.375" bestFit="1" customWidth="1"/>
    <col min="5" max="5" width="7.125" bestFit="1" customWidth="1"/>
    <col min="6" max="6" width="6.25" bestFit="1" customWidth="1"/>
    <col min="7" max="7" width="17" style="2" bestFit="1" customWidth="1"/>
    <col min="8" max="8" width="9.25" style="2" bestFit="1" customWidth="1"/>
    <col min="9" max="9" width="13.625" style="3" bestFit="1" customWidth="1"/>
    <col min="10" max="10" width="9" style="2" bestFit="1" customWidth="1"/>
    <col min="11" max="11" width="7.75" bestFit="1" customWidth="1"/>
    <col min="12" max="13" width="16.75" style="3" bestFit="1" customWidth="1"/>
    <col min="14" max="14" width="9.375" style="3" bestFit="1" customWidth="1"/>
    <col min="15" max="15" width="8.875" bestFit="1" customWidth="1"/>
    <col min="16" max="16" width="7.625" bestFit="1" customWidth="1"/>
    <col min="17" max="18" width="16.625" style="3" bestFit="1" customWidth="1"/>
    <col min="19" max="19" width="9.25" style="3" bestFit="1" customWidth="1"/>
    <col min="20" max="20" width="8.875" bestFit="1" customWidth="1"/>
    <col min="21" max="21" width="7.625" bestFit="1" customWidth="1"/>
    <col min="22" max="23" width="16.625" style="3" bestFit="1" customWidth="1"/>
    <col min="24" max="24" width="9.25" style="3" bestFit="1" customWidth="1"/>
    <col min="25" max="25" width="8.625" bestFit="1" customWidth="1"/>
    <col min="26" max="26" width="7.375" bestFit="1" customWidth="1"/>
    <col min="27" max="28" width="16.375" style="3" bestFit="1" customWidth="1"/>
    <col min="29" max="29" width="9" style="3" bestFit="1" customWidth="1"/>
    <col min="30" max="30" width="13" bestFit="1" customWidth="1"/>
    <col min="31" max="31" width="17.75" style="3" bestFit="1" customWidth="1"/>
    <col min="32" max="32" width="17.75" bestFit="1" customWidth="1"/>
    <col min="33" max="33" width="22.625" style="3" bestFit="1" customWidth="1"/>
    <col min="34" max="34" width="17.75" bestFit="1" customWidth="1"/>
    <col min="35" max="35" width="22.625" style="3" bestFit="1" customWidth="1"/>
    <col min="36" max="36" width="13" bestFit="1" customWidth="1"/>
    <col min="37" max="37" width="17.75" style="3" bestFit="1" customWidth="1"/>
    <col min="38" max="38" width="9.25" bestFit="1" customWidth="1"/>
    <col min="39" max="39" width="13.625" style="3" bestFit="1" customWidth="1"/>
    <col min="40" max="40" width="9.25" bestFit="1" customWidth="1"/>
    <col min="41" max="41" width="13.625" style="3" bestFit="1" customWidth="1"/>
    <col min="42" max="42" width="11.125" bestFit="1" customWidth="1"/>
    <col min="43" max="43" width="15.625" style="3" bestFit="1" customWidth="1"/>
    <col min="44" max="44" width="9.25" bestFit="1" customWidth="1"/>
    <col min="45" max="45" width="13.625" style="3" bestFit="1" customWidth="1"/>
    <col min="46" max="46" width="11.625" customWidth="1"/>
    <col min="47" max="47" width="11" bestFit="1" customWidth="1"/>
    <col min="48" max="48" width="17.375" bestFit="1" customWidth="1"/>
    <col min="49" max="49" width="17.625" bestFit="1" customWidth="1"/>
    <col min="50" max="50" width="19.875" bestFit="1" customWidth="1"/>
    <col min="51" max="51" width="20.125" bestFit="1" customWidth="1"/>
    <col min="52" max="52" width="8.75" bestFit="1" customWidth="1"/>
    <col min="53" max="53" width="9.875" customWidth="1"/>
    <col min="54" max="54" width="11" bestFit="1" customWidth="1"/>
    <col min="55" max="55" width="9.125" bestFit="1" customWidth="1"/>
    <col min="56" max="56" width="10.375" bestFit="1" customWidth="1"/>
    <col min="57" max="57" width="10.875" bestFit="1" customWidth="1"/>
    <col min="58" max="58" width="9.5" bestFit="1" customWidth="1"/>
    <col min="59" max="59" width="8.5" bestFit="1" customWidth="1"/>
    <col min="60" max="60" width="10.875" bestFit="1" customWidth="1"/>
    <col min="61" max="61" width="10.75" bestFit="1" customWidth="1"/>
    <col min="62" max="63" width="10.375" bestFit="1" customWidth="1"/>
    <col min="64" max="64" width="10" bestFit="1" customWidth="1"/>
    <col min="65" max="65" width="9.25" bestFit="1" customWidth="1"/>
    <col min="66" max="66" width="10.875" bestFit="1" customWidth="1"/>
    <col min="67" max="67" width="11" bestFit="1" customWidth="1"/>
    <col min="68" max="68" width="9.25" bestFit="1" customWidth="1"/>
  </cols>
  <sheetData>
    <row r="1" spans="1:68" x14ac:dyDescent="0.3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4" t="s">
        <v>6</v>
      </c>
      <c r="H1" s="14" t="s">
        <v>7</v>
      </c>
      <c r="I1" s="17" t="s">
        <v>8</v>
      </c>
      <c r="J1" s="14" t="s">
        <v>9</v>
      </c>
      <c r="K1" s="16" t="s">
        <v>10</v>
      </c>
      <c r="L1" s="17" t="s">
        <v>11</v>
      </c>
      <c r="M1" s="17" t="s">
        <v>12</v>
      </c>
      <c r="N1" s="17" t="s">
        <v>13</v>
      </c>
      <c r="O1" s="16" t="s">
        <v>14</v>
      </c>
      <c r="P1" s="16" t="s">
        <v>15</v>
      </c>
      <c r="Q1" s="17" t="s">
        <v>16</v>
      </c>
      <c r="R1" s="17" t="s">
        <v>17</v>
      </c>
      <c r="S1" s="17" t="s">
        <v>18</v>
      </c>
      <c r="T1" s="16" t="s">
        <v>19</v>
      </c>
      <c r="U1" s="16" t="s">
        <v>20</v>
      </c>
      <c r="V1" s="17" t="s">
        <v>21</v>
      </c>
      <c r="W1" s="17" t="s">
        <v>22</v>
      </c>
      <c r="X1" s="17" t="s">
        <v>23</v>
      </c>
      <c r="Y1" s="16" t="s">
        <v>24</v>
      </c>
      <c r="Z1" s="16" t="s">
        <v>25</v>
      </c>
      <c r="AA1" s="17" t="s">
        <v>26</v>
      </c>
      <c r="AB1" s="17" t="s">
        <v>27</v>
      </c>
      <c r="AC1" s="17" t="s">
        <v>28</v>
      </c>
      <c r="AD1" s="16" t="s">
        <v>29</v>
      </c>
      <c r="AE1" s="17" t="s">
        <v>30</v>
      </c>
      <c r="AF1" s="16" t="s">
        <v>31</v>
      </c>
      <c r="AG1" s="17" t="s">
        <v>32</v>
      </c>
      <c r="AH1" s="16" t="s">
        <v>33</v>
      </c>
      <c r="AI1" s="17" t="s">
        <v>34</v>
      </c>
      <c r="AJ1" s="16" t="s">
        <v>35</v>
      </c>
      <c r="AK1" s="17" t="s">
        <v>36</v>
      </c>
      <c r="AL1" s="16" t="s">
        <v>37</v>
      </c>
      <c r="AM1" s="17" t="s">
        <v>38</v>
      </c>
      <c r="AN1" s="16" t="s">
        <v>39</v>
      </c>
      <c r="AO1" s="17" t="s">
        <v>40</v>
      </c>
      <c r="AP1" s="16" t="s">
        <v>41</v>
      </c>
      <c r="AQ1" s="17" t="s">
        <v>42</v>
      </c>
      <c r="AR1" s="16" t="s">
        <v>43</v>
      </c>
      <c r="AS1" s="17" t="s">
        <v>44</v>
      </c>
      <c r="AT1" s="16" t="s">
        <v>45</v>
      </c>
      <c r="AU1" s="16" t="s">
        <v>46</v>
      </c>
      <c r="AV1" s="16" t="s">
        <v>47</v>
      </c>
      <c r="AW1" s="16" t="s">
        <v>48</v>
      </c>
      <c r="AX1" s="16" t="s">
        <v>49</v>
      </c>
      <c r="AY1" s="16" t="s">
        <v>50</v>
      </c>
      <c r="AZ1" s="16" t="s">
        <v>51</v>
      </c>
      <c r="BA1" s="16" t="s">
        <v>52</v>
      </c>
      <c r="BB1" s="16" t="s">
        <v>53</v>
      </c>
      <c r="BC1" s="16" t="s">
        <v>54</v>
      </c>
      <c r="BD1" s="16" t="s">
        <v>55</v>
      </c>
      <c r="BE1" s="16" t="s">
        <v>56</v>
      </c>
      <c r="BF1" s="16" t="s">
        <v>57</v>
      </c>
      <c r="BG1" s="16" t="s">
        <v>58</v>
      </c>
      <c r="BH1" s="16" t="s">
        <v>59</v>
      </c>
      <c r="BI1" s="16" t="s">
        <v>60</v>
      </c>
      <c r="BJ1" s="16" t="s">
        <v>61</v>
      </c>
      <c r="BK1" s="16" t="s">
        <v>62</v>
      </c>
      <c r="BL1" s="16" t="s">
        <v>63</v>
      </c>
      <c r="BM1" s="16" t="s">
        <v>64</v>
      </c>
      <c r="BN1" s="16" t="s">
        <v>65</v>
      </c>
      <c r="BO1" s="16" t="s">
        <v>261</v>
      </c>
      <c r="BP1" s="16" t="s">
        <v>262</v>
      </c>
    </row>
    <row r="2" spans="1:68" x14ac:dyDescent="0.3">
      <c r="A2" s="16" t="s">
        <v>162</v>
      </c>
      <c r="B2" s="16" t="s">
        <v>258</v>
      </c>
      <c r="C2" s="16" t="s">
        <v>275</v>
      </c>
      <c r="D2" s="15">
        <v>54</v>
      </c>
      <c r="E2" s="15">
        <v>30</v>
      </c>
      <c r="F2" s="15">
        <v>38</v>
      </c>
      <c r="G2" s="14">
        <v>99253</v>
      </c>
      <c r="H2" s="8" t="s">
        <v>276</v>
      </c>
      <c r="I2" s="18">
        <f>H2/$D2</f>
        <v>18.037037037037038</v>
      </c>
      <c r="J2" s="6" t="s">
        <v>451</v>
      </c>
      <c r="K2" s="6" t="s">
        <v>452</v>
      </c>
      <c r="L2" s="18">
        <f>J2/$D2</f>
        <v>13</v>
      </c>
      <c r="M2" s="18">
        <f>K2/$D2</f>
        <v>6.333333333333333</v>
      </c>
      <c r="N2" s="19">
        <f>K2/J2</f>
        <v>0.48717948717948717</v>
      </c>
      <c r="O2" s="12" t="s">
        <v>580</v>
      </c>
      <c r="P2" s="5" t="s">
        <v>581</v>
      </c>
      <c r="Q2" s="18">
        <f>O2/$D2</f>
        <v>9.5925925925925934</v>
      </c>
      <c r="R2" s="18">
        <f>P2/$D2</f>
        <v>5.2962962962962967</v>
      </c>
      <c r="S2" s="19">
        <f>P2/O2</f>
        <v>0.55212355212355213</v>
      </c>
      <c r="T2" s="12" t="s">
        <v>370</v>
      </c>
      <c r="U2" s="6" t="s">
        <v>205</v>
      </c>
      <c r="V2" s="18">
        <f>T2/$D2</f>
        <v>3.4074074074074074</v>
      </c>
      <c r="W2" s="18">
        <f>U2/$D2</f>
        <v>1.037037037037037</v>
      </c>
      <c r="X2" s="19">
        <f>U2/T2</f>
        <v>0.30434782608695654</v>
      </c>
      <c r="Y2" s="5" t="s">
        <v>488</v>
      </c>
      <c r="Z2" s="5" t="s">
        <v>637</v>
      </c>
      <c r="AA2" s="18">
        <f>Y2/$D2</f>
        <v>6.6111111111111107</v>
      </c>
      <c r="AB2" s="18">
        <f>Z2/$D2</f>
        <v>4.333333333333333</v>
      </c>
      <c r="AC2" s="19">
        <f>Z2/Y2</f>
        <v>0.65546218487394958</v>
      </c>
      <c r="AD2" s="15">
        <v>615</v>
      </c>
      <c r="AE2" s="18">
        <f>AD2/$D2</f>
        <v>11.388888888888889</v>
      </c>
      <c r="AF2" s="15" t="s">
        <v>658</v>
      </c>
      <c r="AG2" s="18">
        <f>AF2/$D2</f>
        <v>3.8148148148148149</v>
      </c>
      <c r="AH2" s="8" t="s">
        <v>664</v>
      </c>
      <c r="AI2" s="18">
        <f>AH2/$D2</f>
        <v>7.5740740740740744</v>
      </c>
      <c r="AJ2" s="8" t="s">
        <v>557</v>
      </c>
      <c r="AK2" s="18">
        <f>AJ2/$D2</f>
        <v>2.4444444444444446</v>
      </c>
      <c r="AL2" s="8" t="s">
        <v>205</v>
      </c>
      <c r="AM2" s="18">
        <f>AL2/$D2</f>
        <v>1.037037037037037</v>
      </c>
      <c r="AN2" s="8" t="s">
        <v>232</v>
      </c>
      <c r="AO2" s="18">
        <f>AN2/$D2</f>
        <v>0.90740740740740744</v>
      </c>
      <c r="AP2" s="8" t="s">
        <v>625</v>
      </c>
      <c r="AQ2" s="18">
        <f>AP2/$D2</f>
        <v>2.5370370370370372</v>
      </c>
      <c r="AR2" s="8" t="s">
        <v>383</v>
      </c>
      <c r="AS2" s="18">
        <f>AR2/$D2</f>
        <v>2.7592592592592591</v>
      </c>
      <c r="AT2" s="20">
        <v>6.2579585086624245</v>
      </c>
      <c r="AU2" s="20">
        <v>0.15132289949612923</v>
      </c>
      <c r="AV2" s="20">
        <v>3.9055013010504029</v>
      </c>
      <c r="AW2" s="20">
        <v>2.3524572076120216</v>
      </c>
      <c r="AX2" s="20">
        <v>111.74393963082684</v>
      </c>
      <c r="AY2" s="20">
        <v>101.35859014487406</v>
      </c>
      <c r="AZ2" s="20">
        <v>17.643350691200133</v>
      </c>
      <c r="BA2" s="20">
        <v>22.333333333333332</v>
      </c>
      <c r="BB2" s="20">
        <v>29.162132752992381</v>
      </c>
      <c r="BC2" s="21">
        <v>0.56688550542440752</v>
      </c>
      <c r="BD2" s="21">
        <v>0.52706552706552712</v>
      </c>
      <c r="BE2" s="20">
        <v>29.04685670987211</v>
      </c>
      <c r="BF2" s="21">
        <v>0.2621082621082621</v>
      </c>
      <c r="BG2" s="21">
        <v>0.50854700854700852</v>
      </c>
      <c r="BH2" s="20">
        <v>14.292668994043565</v>
      </c>
      <c r="BI2" s="20">
        <v>28.377192323125328</v>
      </c>
      <c r="BJ2" s="20">
        <v>19.931665177193313</v>
      </c>
      <c r="BK2" s="20">
        <v>15.207081277241221</v>
      </c>
      <c r="BL2" s="20">
        <v>1.9075369545446914</v>
      </c>
      <c r="BM2" s="20">
        <v>3.2862141639183746</v>
      </c>
      <c r="BN2" s="20">
        <v>13.753915348164805</v>
      </c>
      <c r="BO2" s="22" t="s">
        <v>265</v>
      </c>
      <c r="BP2" s="22">
        <v>80000</v>
      </c>
    </row>
    <row r="3" spans="1:68" x14ac:dyDescent="0.3">
      <c r="A3" s="16" t="s">
        <v>162</v>
      </c>
      <c r="B3" s="16" t="s">
        <v>258</v>
      </c>
      <c r="C3" s="16" t="s">
        <v>122</v>
      </c>
      <c r="D3" s="15">
        <v>49</v>
      </c>
      <c r="E3" s="15">
        <v>33</v>
      </c>
      <c r="F3" s="15">
        <v>55</v>
      </c>
      <c r="G3" s="14">
        <v>99702</v>
      </c>
      <c r="H3" s="8" t="s">
        <v>282</v>
      </c>
      <c r="I3" s="18">
        <f>H3/$D3</f>
        <v>18.551020408163264</v>
      </c>
      <c r="J3" s="6" t="s">
        <v>459</v>
      </c>
      <c r="K3" s="6" t="s">
        <v>460</v>
      </c>
      <c r="L3" s="18">
        <f>J3/$D3</f>
        <v>14.612244897959183</v>
      </c>
      <c r="M3" s="18">
        <f>K3/$D3</f>
        <v>5.8163265306122449</v>
      </c>
      <c r="N3" s="19">
        <f>K3/J3</f>
        <v>0.39804469273743015</v>
      </c>
      <c r="O3" s="12" t="s">
        <v>585</v>
      </c>
      <c r="P3" s="5" t="s">
        <v>545</v>
      </c>
      <c r="Q3" s="18">
        <f>O3/$D3</f>
        <v>6.8775510204081636</v>
      </c>
      <c r="R3" s="18">
        <f>P3/$D3</f>
        <v>3.4081632653061225</v>
      </c>
      <c r="S3" s="19">
        <f>P3/O3</f>
        <v>0.49554896142433236</v>
      </c>
      <c r="T3" s="12" t="s">
        <v>623</v>
      </c>
      <c r="U3" s="6" t="s">
        <v>559</v>
      </c>
      <c r="V3" s="18">
        <f>T3/$D3</f>
        <v>7.7346938775510203</v>
      </c>
      <c r="W3" s="18">
        <f>U3/$D3</f>
        <v>2.4081632653061225</v>
      </c>
      <c r="X3" s="19">
        <f>U3/T3</f>
        <v>0.31134564643799473</v>
      </c>
      <c r="Y3" s="5" t="s">
        <v>342</v>
      </c>
      <c r="Z3" s="5" t="s">
        <v>528</v>
      </c>
      <c r="AA3" s="18">
        <f>Y3/$D3</f>
        <v>5.1632653061224492</v>
      </c>
      <c r="AB3" s="18">
        <f>Z3/$D3</f>
        <v>4.5102040816326534</v>
      </c>
      <c r="AC3" s="19">
        <f>Z3/Y3</f>
        <v>0.87351778656126478</v>
      </c>
      <c r="AD3" s="15">
        <v>126</v>
      </c>
      <c r="AE3" s="18">
        <f>AD3/$D3</f>
        <v>2.5714285714285716</v>
      </c>
      <c r="AF3" s="15" t="s">
        <v>183</v>
      </c>
      <c r="AG3" s="18">
        <f>AF3/$D3</f>
        <v>0.32653061224489793</v>
      </c>
      <c r="AH3" s="8" t="s">
        <v>525</v>
      </c>
      <c r="AI3" s="18">
        <f>AH3/$D3</f>
        <v>2.2448979591836733</v>
      </c>
      <c r="AJ3" s="8" t="s">
        <v>671</v>
      </c>
      <c r="AK3" s="18">
        <f>AJ3/$D3</f>
        <v>5.2244897959183669</v>
      </c>
      <c r="AL3" s="8" t="s">
        <v>550</v>
      </c>
      <c r="AM3" s="18">
        <f>AL3/$D3</f>
        <v>1.3877551020408163</v>
      </c>
      <c r="AN3" s="8" t="s">
        <v>203</v>
      </c>
      <c r="AO3" s="18">
        <f>AN3/$D3</f>
        <v>0.18367346938775511</v>
      </c>
      <c r="AP3" s="12" t="s">
        <v>561</v>
      </c>
      <c r="AQ3" s="18">
        <f>AP3/$D3</f>
        <v>2.4693877551020407</v>
      </c>
      <c r="AR3" s="12" t="s">
        <v>522</v>
      </c>
      <c r="AS3" s="18">
        <f>AR3/$D3</f>
        <v>2.4489795918367347</v>
      </c>
      <c r="AT3" s="20">
        <v>4.6241336350969258</v>
      </c>
      <c r="AU3" s="20">
        <v>0.11129640198799198</v>
      </c>
      <c r="AV3" s="20">
        <v>3.7824588876413205</v>
      </c>
      <c r="AW3" s="20">
        <v>0.841674747455605</v>
      </c>
      <c r="AX3" s="20">
        <v>112.32180568288422</v>
      </c>
      <c r="AY3" s="20">
        <v>109.54060205172649</v>
      </c>
      <c r="AZ3" s="20">
        <v>11.482364100548269</v>
      </c>
      <c r="BA3" s="20">
        <v>16</v>
      </c>
      <c r="BB3" s="20">
        <v>18.86977886977887</v>
      </c>
      <c r="BC3" s="21">
        <v>0.54936421215490983</v>
      </c>
      <c r="BD3" s="21">
        <v>0.48044692737430167</v>
      </c>
      <c r="BE3" s="20">
        <v>24.977037483290612</v>
      </c>
      <c r="BF3" s="21">
        <v>0.52932960893854752</v>
      </c>
      <c r="BG3" s="21">
        <v>0.35335195530726254</v>
      </c>
      <c r="BH3" s="20">
        <v>1.0026449983942014</v>
      </c>
      <c r="BI3" s="20">
        <v>6.8931843639601347</v>
      </c>
      <c r="BJ3" s="20">
        <v>3.6882479175852221</v>
      </c>
      <c r="BK3" s="20">
        <v>24.272113143444081</v>
      </c>
      <c r="BL3" s="20">
        <v>2.3055397760846881</v>
      </c>
      <c r="BM3" s="20">
        <v>0.54515925086032946</v>
      </c>
      <c r="BN3" s="20">
        <v>12.75940610764299</v>
      </c>
      <c r="BO3" s="22" t="s">
        <v>263</v>
      </c>
      <c r="BP3" s="22"/>
    </row>
    <row r="4" spans="1:68" x14ac:dyDescent="0.3">
      <c r="A4" s="16" t="s">
        <v>162</v>
      </c>
      <c r="B4" s="16" t="s">
        <v>258</v>
      </c>
      <c r="C4" s="16" t="s">
        <v>221</v>
      </c>
      <c r="D4" s="15">
        <v>54</v>
      </c>
      <c r="E4" s="15">
        <v>34</v>
      </c>
      <c r="F4" s="15">
        <v>46</v>
      </c>
      <c r="G4" s="14">
        <v>112629</v>
      </c>
      <c r="H4" s="8" t="s">
        <v>288</v>
      </c>
      <c r="I4" s="18">
        <f>H4/$D4</f>
        <v>15.296296296296296</v>
      </c>
      <c r="J4" s="6" t="s">
        <v>466</v>
      </c>
      <c r="K4" s="6" t="s">
        <v>467</v>
      </c>
      <c r="L4" s="18">
        <f>J4/$D4</f>
        <v>13.407407407407407</v>
      </c>
      <c r="M4" s="18">
        <f>K4/$D4</f>
        <v>5.7037037037037033</v>
      </c>
      <c r="N4" s="19">
        <f>K4/J4</f>
        <v>0.425414364640884</v>
      </c>
      <c r="O4" s="12" t="s">
        <v>590</v>
      </c>
      <c r="P4" s="5" t="s">
        <v>591</v>
      </c>
      <c r="Q4" s="18">
        <f>O4/$D4</f>
        <v>6.5925925925925926</v>
      </c>
      <c r="R4" s="18">
        <f>P4/$D4</f>
        <v>3.5555555555555554</v>
      </c>
      <c r="S4" s="19">
        <f>P4/O4</f>
        <v>0.5393258426966292</v>
      </c>
      <c r="T4" s="12" t="s">
        <v>316</v>
      </c>
      <c r="U4" s="6" t="s">
        <v>624</v>
      </c>
      <c r="V4" s="18">
        <f>T4/$D4</f>
        <v>6.8148148148148149</v>
      </c>
      <c r="W4" s="18">
        <f>U4/$D4</f>
        <v>2.1481481481481484</v>
      </c>
      <c r="X4" s="19">
        <f>U4/T4</f>
        <v>0.31521739130434784</v>
      </c>
      <c r="Y4" s="5" t="s">
        <v>514</v>
      </c>
      <c r="Z4" s="5" t="s">
        <v>523</v>
      </c>
      <c r="AA4" s="18">
        <f>Y4/$D4</f>
        <v>1.962962962962963</v>
      </c>
      <c r="AB4" s="18">
        <f>Z4/$D4</f>
        <v>1.7407407407407407</v>
      </c>
      <c r="AC4" s="19">
        <f>Z4/Y4</f>
        <v>0.8867924528301887</v>
      </c>
      <c r="AD4" s="15">
        <v>353</v>
      </c>
      <c r="AE4" s="18">
        <f>AD4/$D4</f>
        <v>6.5370370370370372</v>
      </c>
      <c r="AF4" s="15" t="s">
        <v>624</v>
      </c>
      <c r="AG4" s="18">
        <f>AF4/$D4</f>
        <v>2.1481481481481484</v>
      </c>
      <c r="AH4" s="8" t="s">
        <v>668</v>
      </c>
      <c r="AI4" s="18">
        <f>AH4/$D4</f>
        <v>4.3888888888888893</v>
      </c>
      <c r="AJ4" s="8" t="s">
        <v>360</v>
      </c>
      <c r="AK4" s="18">
        <f>AJ4/$D4</f>
        <v>4</v>
      </c>
      <c r="AL4" s="8" t="s">
        <v>212</v>
      </c>
      <c r="AM4" s="18">
        <f>AL4/$D4</f>
        <v>1.0925925925925926</v>
      </c>
      <c r="AN4" s="8" t="s">
        <v>175</v>
      </c>
      <c r="AO4" s="18">
        <f>AN4/$D4</f>
        <v>0.3888888888888889</v>
      </c>
      <c r="AP4" s="12" t="s">
        <v>516</v>
      </c>
      <c r="AQ4" s="18">
        <f>AP4/$D4</f>
        <v>2.1111111111111112</v>
      </c>
      <c r="AR4" s="12" t="s">
        <v>405</v>
      </c>
      <c r="AS4" s="18">
        <f>AR4/$D4</f>
        <v>1.4444444444444444</v>
      </c>
      <c r="AT4" s="20">
        <v>4.4410332229247036</v>
      </c>
      <c r="AU4" s="20">
        <v>9.4620927302113633E-2</v>
      </c>
      <c r="AV4" s="20">
        <v>3.1645976559886915</v>
      </c>
      <c r="AW4" s="20">
        <v>1.2764355669360117</v>
      </c>
      <c r="AX4" s="20">
        <v>110.54140905272325</v>
      </c>
      <c r="AY4" s="20">
        <v>107.9907460141726</v>
      </c>
      <c r="AZ4" s="20">
        <v>13.115850532157109</v>
      </c>
      <c r="BA4" s="20">
        <v>17.277777777777779</v>
      </c>
      <c r="BB4" s="20">
        <v>19.878555449025246</v>
      </c>
      <c r="BC4" s="21">
        <v>0.53591819786151773</v>
      </c>
      <c r="BD4" s="21">
        <v>0.50552486187845302</v>
      </c>
      <c r="BE4" s="20">
        <v>22.730170728426806</v>
      </c>
      <c r="BF4" s="21">
        <v>0.50828729281767959</v>
      </c>
      <c r="BG4" s="21">
        <v>0.14640883977900551</v>
      </c>
      <c r="BH4" s="20">
        <v>7.0914542881392375</v>
      </c>
      <c r="BI4" s="20">
        <v>14.488574709387924</v>
      </c>
      <c r="BJ4" s="20">
        <v>10.080321313811396</v>
      </c>
      <c r="BK4" s="20">
        <v>20.276295821143044</v>
      </c>
      <c r="BL4" s="20">
        <v>1.7707944324812992</v>
      </c>
      <c r="BM4" s="20">
        <v>1.240938563199967</v>
      </c>
      <c r="BN4" s="20">
        <v>12.88659793814433</v>
      </c>
      <c r="BO4" s="22" t="s">
        <v>264</v>
      </c>
      <c r="BP4" s="22"/>
    </row>
    <row r="5" spans="1:68" x14ac:dyDescent="0.3">
      <c r="A5" s="16" t="s">
        <v>162</v>
      </c>
      <c r="B5" s="16" t="s">
        <v>258</v>
      </c>
      <c r="C5" s="4" t="s">
        <v>331</v>
      </c>
      <c r="D5" s="5">
        <v>38</v>
      </c>
      <c r="E5" s="7">
        <v>20</v>
      </c>
      <c r="F5" s="7">
        <v>7</v>
      </c>
      <c r="G5" s="14">
        <v>45860</v>
      </c>
      <c r="H5" s="5" t="s">
        <v>332</v>
      </c>
      <c r="I5" s="18">
        <f>H5/$D5</f>
        <v>7.6578947368421053</v>
      </c>
      <c r="J5" s="6" t="s">
        <v>513</v>
      </c>
      <c r="K5" s="6" t="s">
        <v>522</v>
      </c>
      <c r="L5" s="18">
        <f>J5/$D5</f>
        <v>6.9473684210526319</v>
      </c>
      <c r="M5" s="18">
        <f>K5/$D5</f>
        <v>3.1578947368421053</v>
      </c>
      <c r="N5" s="19">
        <f>K5/J5</f>
        <v>0.45454545454545453</v>
      </c>
      <c r="O5" s="14" t="s">
        <v>388</v>
      </c>
      <c r="P5" s="15" t="s">
        <v>613</v>
      </c>
      <c r="Q5" s="18">
        <f>O5/$D5</f>
        <v>3.3421052631578947</v>
      </c>
      <c r="R5" s="18">
        <f>P5/$D5</f>
        <v>2</v>
      </c>
      <c r="S5" s="19">
        <f>P5/O5</f>
        <v>0.59842519685039375</v>
      </c>
      <c r="T5" s="15" t="s">
        <v>625</v>
      </c>
      <c r="U5" s="15" t="s">
        <v>179</v>
      </c>
      <c r="V5" s="18">
        <f>T5/$D5</f>
        <v>3.6052631578947367</v>
      </c>
      <c r="W5" s="18">
        <f>U5/$D5</f>
        <v>1.1578947368421053</v>
      </c>
      <c r="X5" s="19">
        <f>U5/T5</f>
        <v>0.32116788321167883</v>
      </c>
      <c r="Y5" s="15" t="s">
        <v>185</v>
      </c>
      <c r="Z5" s="15" t="s">
        <v>187</v>
      </c>
      <c r="AA5" s="18">
        <f>Y5/$D5</f>
        <v>0.31578947368421051</v>
      </c>
      <c r="AB5" s="18">
        <f>Z5/$D5</f>
        <v>0.18421052631578946</v>
      </c>
      <c r="AC5" s="19">
        <f>Z5/Y5</f>
        <v>0.58333333333333337</v>
      </c>
      <c r="AD5" s="15">
        <v>121</v>
      </c>
      <c r="AE5" s="18">
        <f>AD5/$D5</f>
        <v>3.1842105263157894</v>
      </c>
      <c r="AF5" s="15" t="s">
        <v>182</v>
      </c>
      <c r="AG5" s="18">
        <f>AF5/$D5</f>
        <v>0.71052631578947367</v>
      </c>
      <c r="AH5" s="15" t="s">
        <v>523</v>
      </c>
      <c r="AI5" s="18">
        <f>AH5/$D5</f>
        <v>2.4736842105263159</v>
      </c>
      <c r="AJ5" s="15" t="s">
        <v>183</v>
      </c>
      <c r="AK5" s="18">
        <f>AJ5/$D5</f>
        <v>0.42105263157894735</v>
      </c>
      <c r="AL5" s="15" t="s">
        <v>207</v>
      </c>
      <c r="AM5" s="18">
        <f>AL5/$D5</f>
        <v>0.34210526315789475</v>
      </c>
      <c r="AN5" s="15" t="s">
        <v>207</v>
      </c>
      <c r="AO5" s="18">
        <f>AN5/$D5</f>
        <v>0.34210526315789475</v>
      </c>
      <c r="AP5" s="15" t="s">
        <v>191</v>
      </c>
      <c r="AQ5" s="18">
        <f>AP5/$D5</f>
        <v>0.5</v>
      </c>
      <c r="AR5" s="15" t="s">
        <v>223</v>
      </c>
      <c r="AS5" s="18">
        <f>AR5/$D5</f>
        <v>1.3157894736842106</v>
      </c>
      <c r="AT5" s="20">
        <v>1.1302680600209158</v>
      </c>
      <c r="AU5" s="20">
        <v>5.9142793006806749E-2</v>
      </c>
      <c r="AV5" s="20">
        <v>0.74179714087273418</v>
      </c>
      <c r="AW5" s="20">
        <v>0.38847091914818171</v>
      </c>
      <c r="AX5" s="20">
        <v>107.94010381594828</v>
      </c>
      <c r="AY5" s="20">
        <v>109.52511370925825</v>
      </c>
      <c r="AZ5" s="20">
        <v>6.5663966651064678</v>
      </c>
      <c r="BA5" s="20">
        <v>7.5263157894736841</v>
      </c>
      <c r="BB5" s="20">
        <v>14.965333798456374</v>
      </c>
      <c r="BC5" s="21">
        <v>0.54032976827094481</v>
      </c>
      <c r="BD5" s="21">
        <v>0.53787878787878785</v>
      </c>
      <c r="BE5" s="20">
        <v>12.801406029088632</v>
      </c>
      <c r="BF5" s="21">
        <v>0.51893939393939392</v>
      </c>
      <c r="BG5" s="21">
        <v>4.5454545454545456E-2</v>
      </c>
      <c r="BH5" s="20">
        <v>2.8526475474714887</v>
      </c>
      <c r="BI5" s="20">
        <v>9.9314396097155555</v>
      </c>
      <c r="BJ5" s="20">
        <v>5.9716187713641142</v>
      </c>
      <c r="BK5" s="20">
        <v>2.3717465689968251</v>
      </c>
      <c r="BL5" s="20">
        <v>0.95824527332809029</v>
      </c>
      <c r="BM5" s="20">
        <v>1.3276431907861561</v>
      </c>
      <c r="BN5" s="20">
        <v>6.5908144859164706</v>
      </c>
      <c r="BO5" s="22" t="s">
        <v>263</v>
      </c>
      <c r="BP5" s="22">
        <v>48000</v>
      </c>
    </row>
    <row r="6" spans="1:68" x14ac:dyDescent="0.3">
      <c r="A6" s="16" t="s">
        <v>162</v>
      </c>
      <c r="B6" s="16" t="s">
        <v>258</v>
      </c>
      <c r="C6" s="4" t="s">
        <v>111</v>
      </c>
      <c r="D6" s="5">
        <v>48</v>
      </c>
      <c r="E6" s="7">
        <v>24</v>
      </c>
      <c r="F6" s="7">
        <v>51</v>
      </c>
      <c r="G6" s="14">
        <v>71567</v>
      </c>
      <c r="H6" s="5" t="s">
        <v>337</v>
      </c>
      <c r="I6" s="18">
        <f>H6/$D6</f>
        <v>5.791666666666667</v>
      </c>
      <c r="J6" s="6" t="s">
        <v>473</v>
      </c>
      <c r="K6" s="6" t="s">
        <v>390</v>
      </c>
      <c r="L6" s="18">
        <f>J6/$D6</f>
        <v>5.5625</v>
      </c>
      <c r="M6" s="18">
        <f>K6/$D6</f>
        <v>2.25</v>
      </c>
      <c r="N6" s="19">
        <f>K6/J6</f>
        <v>0.4044943820224719</v>
      </c>
      <c r="O6" s="14" t="s">
        <v>522</v>
      </c>
      <c r="P6" s="15" t="s">
        <v>212</v>
      </c>
      <c r="Q6" s="18">
        <f>O6/$D6</f>
        <v>2.5</v>
      </c>
      <c r="R6" s="18">
        <f>P6/$D6</f>
        <v>1.2291666666666667</v>
      </c>
      <c r="S6" s="19">
        <f>P6/O6</f>
        <v>0.49166666666666664</v>
      </c>
      <c r="T6" s="15" t="s">
        <v>547</v>
      </c>
      <c r="U6" s="15" t="s">
        <v>232</v>
      </c>
      <c r="V6" s="18">
        <f>T6/$D6</f>
        <v>3.0625</v>
      </c>
      <c r="W6" s="18">
        <f>U6/$D6</f>
        <v>1.0208333333333333</v>
      </c>
      <c r="X6" s="19">
        <f>U6/T6</f>
        <v>0.33333333333333331</v>
      </c>
      <c r="Y6" s="15" t="s">
        <v>183</v>
      </c>
      <c r="Z6" s="15" t="s">
        <v>207</v>
      </c>
      <c r="AA6" s="18">
        <f>Y6/$D6</f>
        <v>0.33333333333333331</v>
      </c>
      <c r="AB6" s="18">
        <f>Z6/$D6</f>
        <v>0.27083333333333331</v>
      </c>
      <c r="AC6" s="19">
        <f>Z6/Y6</f>
        <v>0.8125</v>
      </c>
      <c r="AD6" s="15">
        <v>111</v>
      </c>
      <c r="AE6" s="18">
        <f>AD6/$D6</f>
        <v>2.3125</v>
      </c>
      <c r="AF6" s="15" t="s">
        <v>218</v>
      </c>
      <c r="AG6" s="18">
        <f>AF6/$D6</f>
        <v>1</v>
      </c>
      <c r="AH6" s="15" t="s">
        <v>556</v>
      </c>
      <c r="AI6" s="18">
        <f>AH6/$D6</f>
        <v>1.3125</v>
      </c>
      <c r="AJ6" s="15" t="s">
        <v>554</v>
      </c>
      <c r="AK6" s="18">
        <f>AJ6/$D6</f>
        <v>1.2708333333333333</v>
      </c>
      <c r="AL6" s="15" t="s">
        <v>206</v>
      </c>
      <c r="AM6" s="18">
        <f>AL6/$D6</f>
        <v>0.79166666666666663</v>
      </c>
      <c r="AN6" s="15" t="s">
        <v>203</v>
      </c>
      <c r="AO6" s="18">
        <f>AN6/$D6</f>
        <v>0.1875</v>
      </c>
      <c r="AP6" s="15" t="s">
        <v>174</v>
      </c>
      <c r="AQ6" s="18">
        <f>AP6/$D6</f>
        <v>0.5</v>
      </c>
      <c r="AR6" s="15" t="s">
        <v>566</v>
      </c>
      <c r="AS6" s="18">
        <f>AR6/$D6</f>
        <v>1.7708333333333333</v>
      </c>
      <c r="AT6" s="20">
        <v>1.4209851588366851</v>
      </c>
      <c r="AU6" s="20">
        <v>4.7652084468031021E-2</v>
      </c>
      <c r="AV6" s="20">
        <v>1.0283836366019066</v>
      </c>
      <c r="AW6" s="20">
        <v>0.39260152223477857</v>
      </c>
      <c r="AX6" s="20">
        <v>110.4763408991154</v>
      </c>
      <c r="AY6" s="20">
        <v>111.12493426644788</v>
      </c>
      <c r="AZ6" s="20">
        <v>5.7417284353370937</v>
      </c>
      <c r="BA6" s="20">
        <v>6.479166666666667</v>
      </c>
      <c r="BB6" s="20">
        <v>10.429242119382964</v>
      </c>
      <c r="BC6" s="21">
        <v>0.5072252225952415</v>
      </c>
      <c r="BD6" s="21">
        <v>0.49625468164794007</v>
      </c>
      <c r="BE6" s="20">
        <v>10.713893882842541</v>
      </c>
      <c r="BF6" s="21">
        <v>0.550561797752809</v>
      </c>
      <c r="BG6" s="21">
        <v>5.9925093632958802E-2</v>
      </c>
      <c r="BH6" s="20">
        <v>4.1053975286362165</v>
      </c>
      <c r="BI6" s="20">
        <v>5.3883342563350345</v>
      </c>
      <c r="BJ6" s="20">
        <v>4.4346495952633145</v>
      </c>
      <c r="BK6" s="20">
        <v>6.9828005609134882</v>
      </c>
      <c r="BL6" s="20">
        <v>1.7951011118481348</v>
      </c>
      <c r="BM6" s="20">
        <v>0.74406376626476889</v>
      </c>
      <c r="BN6" s="20">
        <v>8.0526103878674</v>
      </c>
      <c r="BO6" s="22" t="s">
        <v>263</v>
      </c>
      <c r="BP6" s="22">
        <v>45000</v>
      </c>
    </row>
    <row r="7" spans="1:68" x14ac:dyDescent="0.3">
      <c r="A7" s="16" t="s">
        <v>162</v>
      </c>
      <c r="B7" s="16" t="s">
        <v>258</v>
      </c>
      <c r="C7" s="13" t="s">
        <v>142</v>
      </c>
      <c r="D7" s="5">
        <v>48</v>
      </c>
      <c r="E7" s="5">
        <v>12</v>
      </c>
      <c r="F7" s="5">
        <v>50</v>
      </c>
      <c r="G7" s="14">
        <v>36937</v>
      </c>
      <c r="H7" s="5" t="s">
        <v>349</v>
      </c>
      <c r="I7" s="18">
        <f>H7/$D7</f>
        <v>4.958333333333333</v>
      </c>
      <c r="J7" s="6" t="s">
        <v>360</v>
      </c>
      <c r="K7" s="6" t="s">
        <v>539</v>
      </c>
      <c r="L7" s="18">
        <f>J7/$D7</f>
        <v>4.5</v>
      </c>
      <c r="M7" s="18">
        <f>K7/$D7</f>
        <v>1.7291666666666667</v>
      </c>
      <c r="N7" s="19">
        <f>K7/J7</f>
        <v>0.38425925925925924</v>
      </c>
      <c r="O7" s="14" t="s">
        <v>548</v>
      </c>
      <c r="P7" s="15" t="s">
        <v>213</v>
      </c>
      <c r="Q7" s="18">
        <f>O7/$D7</f>
        <v>1.3958333333333333</v>
      </c>
      <c r="R7" s="18">
        <f>P7/$D7</f>
        <v>0.70833333333333337</v>
      </c>
      <c r="S7" s="19">
        <f>P7/O7</f>
        <v>0.5074626865671642</v>
      </c>
      <c r="T7" s="15" t="s">
        <v>383</v>
      </c>
      <c r="U7" s="15" t="s">
        <v>232</v>
      </c>
      <c r="V7" s="18">
        <f>T7/$D7</f>
        <v>3.1041666666666665</v>
      </c>
      <c r="W7" s="18">
        <f>U7/$D7</f>
        <v>1.0208333333333333</v>
      </c>
      <c r="X7" s="19">
        <f>U7/T7</f>
        <v>0.32885906040268459</v>
      </c>
      <c r="Y7" s="15" t="s">
        <v>199</v>
      </c>
      <c r="Z7" s="15" t="s">
        <v>200</v>
      </c>
      <c r="AA7" s="18">
        <f>Y7/$D7</f>
        <v>0.6875</v>
      </c>
      <c r="AB7" s="18">
        <f>Z7/$D7</f>
        <v>0.47916666666666669</v>
      </c>
      <c r="AC7" s="19">
        <f>Z7/Y7</f>
        <v>0.69696969696969702</v>
      </c>
      <c r="AD7" s="15" t="s">
        <v>566</v>
      </c>
      <c r="AE7" s="18">
        <f>AD7/$D7</f>
        <v>1.7708333333333333</v>
      </c>
      <c r="AF7" s="15" t="s">
        <v>234</v>
      </c>
      <c r="AG7" s="18">
        <f>AF7/$D7</f>
        <v>0.66666666666666663</v>
      </c>
      <c r="AH7" s="15" t="s">
        <v>230</v>
      </c>
      <c r="AI7" s="18">
        <f>AH7/$D7</f>
        <v>1.1041666666666667</v>
      </c>
      <c r="AJ7" s="15" t="s">
        <v>213</v>
      </c>
      <c r="AK7" s="18">
        <f>AJ7/$D7</f>
        <v>0.70833333333333337</v>
      </c>
      <c r="AL7" s="15" t="s">
        <v>175</v>
      </c>
      <c r="AM7" s="18">
        <f>AL7/$D7</f>
        <v>0.4375</v>
      </c>
      <c r="AN7" s="15" t="s">
        <v>203</v>
      </c>
      <c r="AO7" s="18">
        <f>AN7/$D7</f>
        <v>0.1875</v>
      </c>
      <c r="AP7" s="15" t="s">
        <v>183</v>
      </c>
      <c r="AQ7" s="18">
        <f>AP7/$D7</f>
        <v>0.33333333333333331</v>
      </c>
      <c r="AR7" s="15" t="s">
        <v>537</v>
      </c>
      <c r="AS7" s="18">
        <f>AR7/$D7</f>
        <v>1.6458333333333333</v>
      </c>
      <c r="AT7" s="20">
        <v>1.2187199375289766</v>
      </c>
      <c r="AU7" s="20">
        <v>7.9137658281102377E-2</v>
      </c>
      <c r="AV7" s="20">
        <v>0.85808931103555508</v>
      </c>
      <c r="AW7" s="20">
        <v>0.36063062649342142</v>
      </c>
      <c r="AX7" s="20">
        <v>111.03678947951154</v>
      </c>
      <c r="AY7" s="20">
        <v>108.83476836096132</v>
      </c>
      <c r="AZ7" s="20">
        <v>7.6921237383512988</v>
      </c>
      <c r="BA7" s="20">
        <v>4.75</v>
      </c>
      <c r="BB7" s="20">
        <v>14.805194805194805</v>
      </c>
      <c r="BC7" s="21">
        <v>0.51622418879056042</v>
      </c>
      <c r="BD7" s="21">
        <v>0.49768518518518517</v>
      </c>
      <c r="BE7" s="20">
        <v>17.15978582983514</v>
      </c>
      <c r="BF7" s="21">
        <v>0.68981481481481477</v>
      </c>
      <c r="BG7" s="21">
        <v>0.15277777777777779</v>
      </c>
      <c r="BH7" s="20">
        <v>5.2996949915122071</v>
      </c>
      <c r="BI7" s="20">
        <v>8.7776198296920924</v>
      </c>
      <c r="BJ7" s="20">
        <v>6.5757027782344242</v>
      </c>
      <c r="BK7" s="20">
        <v>8.020444269707097</v>
      </c>
      <c r="BL7" s="20">
        <v>1.9209299696882076</v>
      </c>
      <c r="BM7" s="20">
        <v>1.4407780201308706</v>
      </c>
      <c r="BN7" s="20">
        <v>6.4903456109037805</v>
      </c>
      <c r="BO7" s="22" t="s">
        <v>263</v>
      </c>
      <c r="BP7" s="22"/>
    </row>
    <row r="8" spans="1:68" x14ac:dyDescent="0.3">
      <c r="A8" s="16" t="s">
        <v>162</v>
      </c>
      <c r="B8" s="16" t="s">
        <v>258</v>
      </c>
      <c r="C8" s="4" t="s">
        <v>134</v>
      </c>
      <c r="D8" s="5">
        <v>36</v>
      </c>
      <c r="E8" s="11">
        <v>16</v>
      </c>
      <c r="F8" s="11">
        <v>42</v>
      </c>
      <c r="G8" s="14">
        <v>36077</v>
      </c>
      <c r="H8" s="5" t="s">
        <v>372</v>
      </c>
      <c r="I8" s="18">
        <f>H8/$D8</f>
        <v>5</v>
      </c>
      <c r="J8" s="6" t="s">
        <v>486</v>
      </c>
      <c r="K8" s="6" t="s">
        <v>552</v>
      </c>
      <c r="L8" s="18">
        <f>J8/$D8</f>
        <v>5.1388888888888893</v>
      </c>
      <c r="M8" s="18">
        <f>K8/$D8</f>
        <v>2</v>
      </c>
      <c r="N8" s="19">
        <f>K8/J8</f>
        <v>0.38918918918918921</v>
      </c>
      <c r="O8" s="14" t="s">
        <v>616</v>
      </c>
      <c r="P8" s="15" t="s">
        <v>209</v>
      </c>
      <c r="Q8" s="18">
        <f>O8/$D8</f>
        <v>2.4444444444444446</v>
      </c>
      <c r="R8" s="18">
        <f>P8/$D8</f>
        <v>1.4444444444444444</v>
      </c>
      <c r="S8" s="19">
        <f>P8/O8</f>
        <v>0.59090909090909094</v>
      </c>
      <c r="T8" s="15" t="s">
        <v>396</v>
      </c>
      <c r="U8" s="15" t="s">
        <v>208</v>
      </c>
      <c r="V8" s="18">
        <f>T8/$D8</f>
        <v>2.6944444444444446</v>
      </c>
      <c r="W8" s="18">
        <f>U8/$D8</f>
        <v>0.55555555555555558</v>
      </c>
      <c r="X8" s="19">
        <f>U8/T8</f>
        <v>0.20618556701030927</v>
      </c>
      <c r="Y8" s="15" t="s">
        <v>175</v>
      </c>
      <c r="Z8" s="15" t="s">
        <v>183</v>
      </c>
      <c r="AA8" s="18">
        <f>Y8/$D8</f>
        <v>0.58333333333333337</v>
      </c>
      <c r="AB8" s="18">
        <f>Z8/$D8</f>
        <v>0.44444444444444442</v>
      </c>
      <c r="AC8" s="19">
        <f>Z8/Y8</f>
        <v>0.76190476190476186</v>
      </c>
      <c r="AD8" s="15" t="s">
        <v>548</v>
      </c>
      <c r="AE8" s="18">
        <f>AD8/$D8</f>
        <v>1.8611111111111112</v>
      </c>
      <c r="AF8" s="15" t="s">
        <v>204</v>
      </c>
      <c r="AG8" s="18">
        <f>AF8/$D8</f>
        <v>0.61111111111111116</v>
      </c>
      <c r="AH8" s="15" t="s">
        <v>247</v>
      </c>
      <c r="AI8" s="18">
        <f>AH8/$D8</f>
        <v>1.25</v>
      </c>
      <c r="AJ8" s="15" t="s">
        <v>616</v>
      </c>
      <c r="AK8" s="18">
        <f>AJ8/$D8</f>
        <v>2.4444444444444446</v>
      </c>
      <c r="AL8" s="15" t="s">
        <v>243</v>
      </c>
      <c r="AM8" s="18">
        <f>AL8/$D8</f>
        <v>0.69444444444444442</v>
      </c>
      <c r="AN8" s="15" t="s">
        <v>226</v>
      </c>
      <c r="AO8" s="18">
        <f>AN8/$D8</f>
        <v>0.16666666666666666</v>
      </c>
      <c r="AP8" s="15" t="s">
        <v>371</v>
      </c>
      <c r="AQ8" s="18">
        <f>AP8/$D8</f>
        <v>1</v>
      </c>
      <c r="AR8" s="15" t="s">
        <v>179</v>
      </c>
      <c r="AS8" s="18">
        <f>AR8/$D8</f>
        <v>1.2222222222222223</v>
      </c>
      <c r="AT8" s="20">
        <v>0.55928315045712296</v>
      </c>
      <c r="AU8" s="20">
        <v>3.7211121121565063E-2</v>
      </c>
      <c r="AV8" s="20">
        <v>0.20654960971720343</v>
      </c>
      <c r="AW8" s="20">
        <v>0.35273354073991953</v>
      </c>
      <c r="AX8" s="20">
        <v>100.40002793036862</v>
      </c>
      <c r="AY8" s="20">
        <v>108.82336228495737</v>
      </c>
      <c r="AZ8" s="20">
        <v>5.5441168686041236</v>
      </c>
      <c r="BA8" s="20">
        <v>5.8888888888888893</v>
      </c>
      <c r="BB8" s="20">
        <v>14.105123087159015</v>
      </c>
      <c r="BC8" s="21">
        <v>0.46334431630971989</v>
      </c>
      <c r="BD8" s="21">
        <v>0.44324324324324327</v>
      </c>
      <c r="BE8" s="20">
        <v>12.315824293669502</v>
      </c>
      <c r="BF8" s="21">
        <v>0.5243243243243243</v>
      </c>
      <c r="BG8" s="21">
        <v>0.11351351351351352</v>
      </c>
      <c r="BH8" s="20">
        <v>2.7999261837642462</v>
      </c>
      <c r="BI8" s="20">
        <v>5.7271217395177763</v>
      </c>
      <c r="BJ8" s="20">
        <v>3.9830985831761643</v>
      </c>
      <c r="BK8" s="20">
        <v>14.974900025525399</v>
      </c>
      <c r="BL8" s="20">
        <v>2.343117062161264</v>
      </c>
      <c r="BM8" s="20">
        <v>0.73812313739239555</v>
      </c>
      <c r="BN8" s="20">
        <v>15.635858234885337</v>
      </c>
      <c r="BO8" s="22" t="s">
        <v>263</v>
      </c>
      <c r="BP8" s="22">
        <v>137000</v>
      </c>
    </row>
    <row r="9" spans="1:68" x14ac:dyDescent="0.3">
      <c r="A9" s="16" t="s">
        <v>162</v>
      </c>
      <c r="B9" s="16" t="s">
        <v>258</v>
      </c>
      <c r="C9" s="26" t="s">
        <v>136</v>
      </c>
      <c r="D9" s="5">
        <v>49</v>
      </c>
      <c r="E9" s="11">
        <v>16</v>
      </c>
      <c r="F9" s="11">
        <v>6</v>
      </c>
      <c r="G9" s="14">
        <v>47320</v>
      </c>
      <c r="H9" s="5" t="s">
        <v>385</v>
      </c>
      <c r="I9" s="18">
        <v>13.333333333333334</v>
      </c>
      <c r="J9" s="6" t="s">
        <v>563</v>
      </c>
      <c r="K9" s="6" t="s">
        <v>301</v>
      </c>
      <c r="L9" s="18">
        <v>11.62962962962963</v>
      </c>
      <c r="M9" s="18">
        <v>5.5555555555555554</v>
      </c>
      <c r="N9" s="19">
        <f>K9/J9</f>
        <v>0.27397260273972601</v>
      </c>
      <c r="O9" s="14" t="s">
        <v>200</v>
      </c>
      <c r="P9" s="15" t="s">
        <v>203</v>
      </c>
      <c r="Q9" s="18">
        <v>8.8888888888888893</v>
      </c>
      <c r="R9" s="18">
        <v>4.8518518518518521</v>
      </c>
      <c r="S9" s="19">
        <f>P9/O9</f>
        <v>0.39130434782608697</v>
      </c>
      <c r="T9" s="15" t="s">
        <v>389</v>
      </c>
      <c r="U9" s="15" t="s">
        <v>171</v>
      </c>
      <c r="V9" s="18">
        <v>2.7407407407407409</v>
      </c>
      <c r="W9" s="18">
        <v>0.70370370370370372</v>
      </c>
      <c r="X9" s="19">
        <f>U9/T9</f>
        <v>0.25203252032520324</v>
      </c>
      <c r="Y9" s="15" t="s">
        <v>174</v>
      </c>
      <c r="Z9" s="15" t="s">
        <v>208</v>
      </c>
      <c r="AA9" s="18">
        <v>2.2592592592592591</v>
      </c>
      <c r="AB9" s="18">
        <v>1.5185185185185186</v>
      </c>
      <c r="AC9" s="19">
        <f>Z9/Y9</f>
        <v>0.83333333333333337</v>
      </c>
      <c r="AD9" s="15" t="s">
        <v>518</v>
      </c>
      <c r="AE9" s="18">
        <v>10.555555555555555</v>
      </c>
      <c r="AF9" s="15" t="s">
        <v>186</v>
      </c>
      <c r="AG9" s="18">
        <v>2.925925925925926</v>
      </c>
      <c r="AH9" s="15" t="s">
        <v>413</v>
      </c>
      <c r="AI9" s="18">
        <v>7.6296296296296298</v>
      </c>
      <c r="AJ9" s="15" t="s">
        <v>220</v>
      </c>
      <c r="AK9" s="18">
        <v>1.9259259259259258</v>
      </c>
      <c r="AL9" s="15" t="s">
        <v>177</v>
      </c>
      <c r="AM9" s="18">
        <v>0.44444444444444442</v>
      </c>
      <c r="AN9" s="15" t="s">
        <v>189</v>
      </c>
      <c r="AO9" s="18">
        <v>1.3703703703703705</v>
      </c>
      <c r="AP9" s="15" t="s">
        <v>170</v>
      </c>
      <c r="AQ9" s="18">
        <v>2.0370370370370372</v>
      </c>
      <c r="AR9" s="15" t="s">
        <v>517</v>
      </c>
      <c r="AS9" s="18">
        <v>2.1481481481481484</v>
      </c>
      <c r="AT9" s="20">
        <v>0.25174096385543443</v>
      </c>
      <c r="AU9" s="20">
        <v>1.2764150784912382E-2</v>
      </c>
      <c r="AV9" s="20">
        <v>-0.16956545324080977</v>
      </c>
      <c r="AW9" s="20">
        <v>0.42130641709624422</v>
      </c>
      <c r="AX9" s="20">
        <v>93.794751094560141</v>
      </c>
      <c r="AY9" s="20">
        <v>109.29402710770762</v>
      </c>
      <c r="AZ9" s="20">
        <v>2.2725077463212875</v>
      </c>
      <c r="BA9" s="20">
        <v>3.5510204081632653</v>
      </c>
      <c r="BB9" s="20">
        <v>8.8224109519584246</v>
      </c>
      <c r="BC9" s="21">
        <v>0.41836995401124172</v>
      </c>
      <c r="BD9" s="21">
        <v>0.38013698630136988</v>
      </c>
      <c r="BE9" s="20">
        <v>10.240257662105231</v>
      </c>
      <c r="BF9" s="21">
        <v>0.84246575342465757</v>
      </c>
      <c r="BG9" s="21">
        <v>0.16438356164383561</v>
      </c>
      <c r="BH9" s="20">
        <v>5.148480868113082</v>
      </c>
      <c r="BI9" s="20">
        <v>8.7128137768067528</v>
      </c>
      <c r="BJ9" s="20">
        <v>6.474796853248729</v>
      </c>
      <c r="BK9" s="20">
        <v>7.0475711049584691</v>
      </c>
      <c r="BL9" s="20">
        <v>1.8570531840311908</v>
      </c>
      <c r="BM9" s="20">
        <v>1.0208411092714702</v>
      </c>
      <c r="BN9" s="20">
        <v>15.17121803207629</v>
      </c>
      <c r="BO9" s="22" t="s">
        <v>263</v>
      </c>
      <c r="BP9" s="22"/>
    </row>
    <row r="10" spans="1:68" x14ac:dyDescent="0.3">
      <c r="A10" s="16" t="s">
        <v>162</v>
      </c>
      <c r="B10" s="16" t="s">
        <v>258</v>
      </c>
      <c r="C10" s="16" t="s">
        <v>386</v>
      </c>
      <c r="D10" s="5">
        <v>35</v>
      </c>
      <c r="E10" s="11">
        <v>8</v>
      </c>
      <c r="F10" s="11">
        <v>29</v>
      </c>
      <c r="G10" s="14">
        <v>17811</v>
      </c>
      <c r="H10" s="5" t="s">
        <v>387</v>
      </c>
      <c r="I10" s="18">
        <f>H10/$D10</f>
        <v>3.7142857142857144</v>
      </c>
      <c r="J10" s="6" t="s">
        <v>564</v>
      </c>
      <c r="K10" s="6" t="s">
        <v>230</v>
      </c>
      <c r="L10" s="18">
        <f>J10/$D10</f>
        <v>3.657142857142857</v>
      </c>
      <c r="M10" s="18">
        <f>K10/$D10</f>
        <v>1.5142857142857142</v>
      </c>
      <c r="N10" s="19">
        <f>K10/J10</f>
        <v>0.4140625</v>
      </c>
      <c r="O10" s="14" t="s">
        <v>616</v>
      </c>
      <c r="P10" s="15" t="s">
        <v>220</v>
      </c>
      <c r="Q10" s="18">
        <f>O10/$D10</f>
        <v>2.5142857142857142</v>
      </c>
      <c r="R10" s="18">
        <f>P10/$D10</f>
        <v>1.2</v>
      </c>
      <c r="S10" s="19">
        <f>P10/O10</f>
        <v>0.47727272727272729</v>
      </c>
      <c r="T10" s="15" t="s">
        <v>301</v>
      </c>
      <c r="U10" s="15" t="s">
        <v>211</v>
      </c>
      <c r="V10" s="18">
        <f>T10/$D10</f>
        <v>1.1428571428571428</v>
      </c>
      <c r="W10" s="18">
        <f>U10/$D10</f>
        <v>0.31428571428571428</v>
      </c>
      <c r="X10" s="19">
        <f>U10/T10</f>
        <v>0.27500000000000002</v>
      </c>
      <c r="Y10" s="15" t="s">
        <v>204</v>
      </c>
      <c r="Z10" s="15" t="s">
        <v>207</v>
      </c>
      <c r="AA10" s="18">
        <f>Y10/$D10</f>
        <v>0.62857142857142856</v>
      </c>
      <c r="AB10" s="18">
        <f>Z10/$D10</f>
        <v>0.37142857142857144</v>
      </c>
      <c r="AC10" s="19">
        <f>Z10/Y10</f>
        <v>0.59090909090909094</v>
      </c>
      <c r="AD10" s="15" t="s">
        <v>568</v>
      </c>
      <c r="AE10" s="18">
        <f>AD10/$D10</f>
        <v>2.8571428571428572</v>
      </c>
      <c r="AF10" s="15" t="s">
        <v>188</v>
      </c>
      <c r="AG10" s="18">
        <f>AF10/$D10</f>
        <v>1.1714285714285715</v>
      </c>
      <c r="AH10" s="15" t="s">
        <v>212</v>
      </c>
      <c r="AI10" s="18">
        <f>AH10/$D10</f>
        <v>1.6857142857142857</v>
      </c>
      <c r="AJ10" s="15" t="s">
        <v>208</v>
      </c>
      <c r="AK10" s="18">
        <f>AJ10/$D10</f>
        <v>0.5714285714285714</v>
      </c>
      <c r="AL10" s="15" t="s">
        <v>187</v>
      </c>
      <c r="AM10" s="18">
        <f>AL10/$D10</f>
        <v>0.2</v>
      </c>
      <c r="AN10" s="15" t="s">
        <v>185</v>
      </c>
      <c r="AO10" s="18">
        <f>AN10/$D10</f>
        <v>0.34285714285714286</v>
      </c>
      <c r="AP10" s="15" t="s">
        <v>191</v>
      </c>
      <c r="AQ10" s="18">
        <f>AP10/$D10</f>
        <v>0.54285714285714282</v>
      </c>
      <c r="AR10" s="15" t="s">
        <v>205</v>
      </c>
      <c r="AS10" s="18">
        <f>AR10/$D10</f>
        <v>1.6</v>
      </c>
      <c r="AT10" s="20">
        <v>0.46973400451570813</v>
      </c>
      <c r="AU10" s="20">
        <v>6.3281594770569716E-2</v>
      </c>
      <c r="AV10" s="20">
        <v>0.12580221564224256</v>
      </c>
      <c r="AW10" s="20">
        <v>0.34393178887346559</v>
      </c>
      <c r="AX10" s="20">
        <v>100.17104492896603</v>
      </c>
      <c r="AY10" s="20">
        <v>103.71551113187363</v>
      </c>
      <c r="AZ10" s="20">
        <v>6.7301659554406807</v>
      </c>
      <c r="BA10" s="20">
        <v>4.7428571428571429</v>
      </c>
      <c r="BB10" s="20">
        <v>22.363177097951162</v>
      </c>
      <c r="BC10" s="21">
        <v>0.47210923881464262</v>
      </c>
      <c r="BD10" s="21">
        <v>0.45703125</v>
      </c>
      <c r="BE10" s="20">
        <v>16.498566431686232</v>
      </c>
      <c r="BF10" s="21">
        <v>0.3125</v>
      </c>
      <c r="BG10" s="21">
        <v>0.171875</v>
      </c>
      <c r="BH10" s="20">
        <v>10.272063536471045</v>
      </c>
      <c r="BI10" s="20">
        <v>14.78174996711687</v>
      </c>
      <c r="BJ10" s="20">
        <v>11.702972701353303</v>
      </c>
      <c r="BK10" s="20">
        <v>7.0898939470030422</v>
      </c>
      <c r="BL10" s="20">
        <v>1.3284230831635542</v>
      </c>
      <c r="BM10" s="20">
        <v>2.9060879515409832</v>
      </c>
      <c r="BN10" s="20">
        <v>12.126627521062037</v>
      </c>
      <c r="BO10" s="22" t="s">
        <v>265</v>
      </c>
      <c r="BP10" s="22"/>
    </row>
    <row r="11" spans="1:68" x14ac:dyDescent="0.3">
      <c r="A11" s="16" t="s">
        <v>162</v>
      </c>
      <c r="B11" s="16" t="s">
        <v>258</v>
      </c>
      <c r="C11" s="4" t="s">
        <v>120</v>
      </c>
      <c r="D11" s="5">
        <v>42</v>
      </c>
      <c r="E11" s="5">
        <v>11</v>
      </c>
      <c r="F11" s="5">
        <v>28</v>
      </c>
      <c r="G11" s="14">
        <v>28880</v>
      </c>
      <c r="H11" s="5" t="s">
        <v>397</v>
      </c>
      <c r="I11" s="18">
        <f>H11/$D11</f>
        <v>2.0714285714285716</v>
      </c>
      <c r="J11" s="6" t="s">
        <v>530</v>
      </c>
      <c r="K11" s="6" t="s">
        <v>171</v>
      </c>
      <c r="L11" s="18">
        <f>J11/$D11</f>
        <v>2.2857142857142856</v>
      </c>
      <c r="M11" s="18">
        <f>K11/$D11</f>
        <v>0.73809523809523814</v>
      </c>
      <c r="N11" s="19">
        <f>K11/J11</f>
        <v>0.32291666666666669</v>
      </c>
      <c r="O11" s="14" t="s">
        <v>182</v>
      </c>
      <c r="P11" s="15" t="s">
        <v>178</v>
      </c>
      <c r="Q11" s="18">
        <f>O11/$D11</f>
        <v>0.6428571428571429</v>
      </c>
      <c r="R11" s="18">
        <f>P11/$D11</f>
        <v>0.33333333333333331</v>
      </c>
      <c r="S11" s="19">
        <f>P11/O11</f>
        <v>0.51851851851851849</v>
      </c>
      <c r="T11" s="15" t="s">
        <v>412</v>
      </c>
      <c r="U11" s="15" t="s">
        <v>173</v>
      </c>
      <c r="V11" s="18">
        <f>T11/$D11</f>
        <v>1.6428571428571428</v>
      </c>
      <c r="W11" s="18">
        <f>U11/$D11</f>
        <v>0.40476190476190477</v>
      </c>
      <c r="X11" s="19">
        <f>U11/T11</f>
        <v>0.24637681159420291</v>
      </c>
      <c r="Y11" s="15" t="s">
        <v>185</v>
      </c>
      <c r="Z11" s="15" t="s">
        <v>189</v>
      </c>
      <c r="AA11" s="18">
        <f>Y11/$D11</f>
        <v>0.2857142857142857</v>
      </c>
      <c r="AB11" s="18">
        <f>Z11/$D11</f>
        <v>0.19047619047619047</v>
      </c>
      <c r="AC11" s="19">
        <f>Z11/Y11</f>
        <v>0.66666666666666663</v>
      </c>
      <c r="AD11" s="15" t="s">
        <v>641</v>
      </c>
      <c r="AE11" s="18">
        <f>AD11/$D11</f>
        <v>1.9047619047619047</v>
      </c>
      <c r="AF11" s="15" t="s">
        <v>301</v>
      </c>
      <c r="AG11" s="18">
        <f>AF11/$D11</f>
        <v>0.95238095238095233</v>
      </c>
      <c r="AH11" s="15" t="s">
        <v>301</v>
      </c>
      <c r="AI11" s="18">
        <f>AH11/$D11</f>
        <v>0.95238095238095233</v>
      </c>
      <c r="AJ11" s="15" t="s">
        <v>204</v>
      </c>
      <c r="AK11" s="18">
        <f>AJ11/$D11</f>
        <v>0.52380952380952384</v>
      </c>
      <c r="AL11" s="15" t="s">
        <v>199</v>
      </c>
      <c r="AM11" s="18">
        <f>AL11/$D11</f>
        <v>0.7857142857142857</v>
      </c>
      <c r="AN11" s="15" t="s">
        <v>187</v>
      </c>
      <c r="AO11" s="18">
        <f>AN11/$D11</f>
        <v>0.16666666666666666</v>
      </c>
      <c r="AP11" s="15" t="s">
        <v>181</v>
      </c>
      <c r="AQ11" s="18">
        <f>AP11/$D11</f>
        <v>0.35714285714285715</v>
      </c>
      <c r="AR11" s="15" t="s">
        <v>608</v>
      </c>
      <c r="AS11" s="18">
        <f>AR11/$D11</f>
        <v>2.1904761904761907</v>
      </c>
      <c r="AT11" s="20">
        <v>0.59921848193941707</v>
      </c>
      <c r="AU11" s="20">
        <v>4.9768976905267194E-2</v>
      </c>
      <c r="AV11" s="20">
        <v>7.7948851678470793E-2</v>
      </c>
      <c r="AW11" s="20">
        <v>0.5212696302609463</v>
      </c>
      <c r="AX11" s="20">
        <v>99.575623433814442</v>
      </c>
      <c r="AY11" s="20">
        <v>104.39438524820159</v>
      </c>
      <c r="AZ11" s="20">
        <v>3.4979743086818127</v>
      </c>
      <c r="BA11" s="20">
        <v>3.4523809523809526</v>
      </c>
      <c r="BB11" s="20">
        <v>12.043189368770763</v>
      </c>
      <c r="BC11" s="21">
        <v>0.42950236966824645</v>
      </c>
      <c r="BD11" s="21">
        <v>0.41145833333333331</v>
      </c>
      <c r="BE11" s="20">
        <v>9.0587237140164749</v>
      </c>
      <c r="BF11" s="21">
        <v>0.71875</v>
      </c>
      <c r="BG11" s="21">
        <v>0.125</v>
      </c>
      <c r="BH11" s="20">
        <v>7.4141808565850287</v>
      </c>
      <c r="BI11" s="20">
        <v>7.4141808565850287</v>
      </c>
      <c r="BJ11" s="20">
        <v>6.9265268662660828</v>
      </c>
      <c r="BK11" s="20">
        <v>5.2140938536893664</v>
      </c>
      <c r="BL11" s="20">
        <v>3.8610054208018796</v>
      </c>
      <c r="BM11" s="20">
        <v>1.2541656215286487</v>
      </c>
      <c r="BN11" s="20">
        <v>12.899896800825593</v>
      </c>
      <c r="BO11" s="22" t="s">
        <v>263</v>
      </c>
      <c r="BP11" s="22">
        <v>80000</v>
      </c>
    </row>
    <row r="12" spans="1:68" x14ac:dyDescent="0.3">
      <c r="A12" s="16" t="s">
        <v>162</v>
      </c>
      <c r="B12" s="16" t="s">
        <v>258</v>
      </c>
      <c r="C12" s="4" t="s">
        <v>398</v>
      </c>
      <c r="D12" s="5">
        <v>19</v>
      </c>
      <c r="E12" s="5">
        <v>11</v>
      </c>
      <c r="F12" s="5">
        <v>14</v>
      </c>
      <c r="G12" s="14">
        <v>12805</v>
      </c>
      <c r="H12" s="5" t="s">
        <v>399</v>
      </c>
      <c r="I12" s="18">
        <f>H12/$D12</f>
        <v>4.5263157894736841</v>
      </c>
      <c r="J12" s="6" t="s">
        <v>217</v>
      </c>
      <c r="K12" s="6" t="s">
        <v>235</v>
      </c>
      <c r="L12" s="18">
        <f>J12/$D12</f>
        <v>3.0526315789473686</v>
      </c>
      <c r="M12" s="18">
        <f>K12/$D12</f>
        <v>1.9473684210526316</v>
      </c>
      <c r="N12" s="19">
        <f>K12/J12</f>
        <v>0.63793103448275867</v>
      </c>
      <c r="O12" s="14" t="s">
        <v>209</v>
      </c>
      <c r="P12" s="15" t="s">
        <v>245</v>
      </c>
      <c r="Q12" s="18">
        <f>O12/$D12</f>
        <v>2.736842105263158</v>
      </c>
      <c r="R12" s="18">
        <f>P12/$D12</f>
        <v>1.8421052631578947</v>
      </c>
      <c r="S12" s="19">
        <f>P12/O12</f>
        <v>0.67307692307692313</v>
      </c>
      <c r="T12" s="15" t="s">
        <v>226</v>
      </c>
      <c r="U12" s="15" t="s">
        <v>194</v>
      </c>
      <c r="V12" s="18">
        <f>T12/$D12</f>
        <v>0.31578947368421051</v>
      </c>
      <c r="W12" s="18">
        <f>U12/$D12</f>
        <v>0.10526315789473684</v>
      </c>
      <c r="X12" s="19">
        <f>U12/T12</f>
        <v>0.33333333333333331</v>
      </c>
      <c r="Y12" s="15" t="s">
        <v>180</v>
      </c>
      <c r="Z12" s="15" t="s">
        <v>176</v>
      </c>
      <c r="AA12" s="18">
        <f>Y12/$D12</f>
        <v>0.94736842105263153</v>
      </c>
      <c r="AB12" s="18">
        <f>Z12/$D12</f>
        <v>0.52631578947368418</v>
      </c>
      <c r="AC12" s="19">
        <f>Z12/Y12</f>
        <v>0.55555555555555558</v>
      </c>
      <c r="AD12" s="15" t="s">
        <v>525</v>
      </c>
      <c r="AE12" s="18">
        <f>AD12/$D12</f>
        <v>5.7894736842105265</v>
      </c>
      <c r="AF12" s="15" t="s">
        <v>301</v>
      </c>
      <c r="AG12" s="18">
        <f>AF12/$D12</f>
        <v>2.1052631578947367</v>
      </c>
      <c r="AH12" s="15" t="s">
        <v>411</v>
      </c>
      <c r="AI12" s="18">
        <f>AH12/$D12</f>
        <v>3.6842105263157894</v>
      </c>
      <c r="AJ12" s="15" t="s">
        <v>183</v>
      </c>
      <c r="AK12" s="18">
        <f>AJ12/$D12</f>
        <v>0.84210526315789469</v>
      </c>
      <c r="AL12" s="15" t="s">
        <v>187</v>
      </c>
      <c r="AM12" s="18">
        <f>AL12/$D12</f>
        <v>0.36842105263157893</v>
      </c>
      <c r="AN12" s="15" t="s">
        <v>229</v>
      </c>
      <c r="AO12" s="18">
        <f>AN12/$D12</f>
        <v>0.26315789473684209</v>
      </c>
      <c r="AP12" s="15" t="s">
        <v>178</v>
      </c>
      <c r="AQ12" s="18">
        <f>AP12/$D12</f>
        <v>0.73684210526315785</v>
      </c>
      <c r="AR12" s="15" t="s">
        <v>213</v>
      </c>
      <c r="AS12" s="18">
        <f>AR12/$D12</f>
        <v>1.7894736842105263</v>
      </c>
      <c r="AT12" s="20">
        <v>1.0005614789316839</v>
      </c>
      <c r="AU12" s="20">
        <v>0.18751737852850547</v>
      </c>
      <c r="AV12" s="20">
        <v>0.62204945148081103</v>
      </c>
      <c r="AW12" s="20">
        <v>0.37851202745087298</v>
      </c>
      <c r="AX12" s="20">
        <v>123.69053026056346</v>
      </c>
      <c r="AY12" s="20">
        <v>98.21922344773067</v>
      </c>
      <c r="AZ12" s="20">
        <v>6.227203369576757</v>
      </c>
      <c r="BA12" s="20">
        <v>9.526315789473685</v>
      </c>
      <c r="BB12" s="20">
        <v>33.921599250351392</v>
      </c>
      <c r="BC12" s="21">
        <v>0.65230582524271841</v>
      </c>
      <c r="BD12" s="21">
        <v>0.65517241379310343</v>
      </c>
      <c r="BE12" s="20">
        <v>6.3554456329478857</v>
      </c>
      <c r="BF12" s="21">
        <v>0.10344827586206896</v>
      </c>
      <c r="BG12" s="21">
        <v>0.31034482758620691</v>
      </c>
      <c r="BH12" s="20">
        <v>7.5681846132499997</v>
      </c>
      <c r="BI12" s="20">
        <v>13.244323073187497</v>
      </c>
      <c r="BJ12" s="20">
        <v>9.7218018033942339</v>
      </c>
      <c r="BK12" s="20">
        <v>3.9339425480473715</v>
      </c>
      <c r="BL12" s="20">
        <v>1.8480288323097547</v>
      </c>
      <c r="BM12" s="20">
        <v>0.91444038534517835</v>
      </c>
      <c r="BN12" s="20">
        <v>17.517517517517518</v>
      </c>
      <c r="BO12" s="22" t="s">
        <v>265</v>
      </c>
      <c r="BP12" s="22">
        <v>48931</v>
      </c>
    </row>
    <row r="13" spans="1:68" x14ac:dyDescent="0.3">
      <c r="A13" s="16" t="s">
        <v>162</v>
      </c>
      <c r="B13" s="16" t="s">
        <v>258</v>
      </c>
      <c r="C13" s="4" t="s">
        <v>130</v>
      </c>
      <c r="D13" s="5">
        <v>18</v>
      </c>
      <c r="E13" s="7">
        <v>8</v>
      </c>
      <c r="F13" s="7">
        <v>32</v>
      </c>
      <c r="G13" s="14">
        <v>9219</v>
      </c>
      <c r="H13" s="5" t="s">
        <v>224</v>
      </c>
      <c r="I13" s="18">
        <f>H13/$D13</f>
        <v>3.0555555555555554</v>
      </c>
      <c r="J13" s="6" t="s">
        <v>224</v>
      </c>
      <c r="K13" s="6" t="s">
        <v>208</v>
      </c>
      <c r="L13" s="18">
        <f>J13/$D13</f>
        <v>3.0555555555555554</v>
      </c>
      <c r="M13" s="18">
        <f>K13/$D13</f>
        <v>1.1111111111111112</v>
      </c>
      <c r="N13" s="19">
        <f>K13/J13</f>
        <v>0.36363636363636365</v>
      </c>
      <c r="O13" s="14" t="s">
        <v>191</v>
      </c>
      <c r="P13" s="15" t="s">
        <v>185</v>
      </c>
      <c r="Q13" s="18">
        <f>O13/$D13</f>
        <v>1.0555555555555556</v>
      </c>
      <c r="R13" s="18">
        <f>P13/$D13</f>
        <v>0.66666666666666663</v>
      </c>
      <c r="S13" s="19">
        <f>P13/O13</f>
        <v>0.63157894736842102</v>
      </c>
      <c r="T13" s="15" t="s">
        <v>371</v>
      </c>
      <c r="U13" s="15" t="s">
        <v>189</v>
      </c>
      <c r="V13" s="18">
        <f>T13/$D13</f>
        <v>2</v>
      </c>
      <c r="W13" s="18">
        <f>U13/$D13</f>
        <v>0.44444444444444442</v>
      </c>
      <c r="X13" s="19">
        <f>U13/T13</f>
        <v>0.22222222222222221</v>
      </c>
      <c r="Y13" s="15" t="s">
        <v>176</v>
      </c>
      <c r="Z13" s="15" t="s">
        <v>187</v>
      </c>
      <c r="AA13" s="18">
        <f>Y13/$D13</f>
        <v>0.55555555555555558</v>
      </c>
      <c r="AB13" s="18">
        <f>Z13/$D13</f>
        <v>0.3888888888888889</v>
      </c>
      <c r="AC13" s="19">
        <f>Z13/Y13</f>
        <v>0.7</v>
      </c>
      <c r="AD13" s="15" t="s">
        <v>226</v>
      </c>
      <c r="AE13" s="18">
        <f>AD13/$D13</f>
        <v>0.33333333333333331</v>
      </c>
      <c r="AF13" s="15" t="s">
        <v>231</v>
      </c>
      <c r="AG13" s="18">
        <f>AF13/$D13</f>
        <v>5.5555555555555552E-2</v>
      </c>
      <c r="AH13" s="15" t="s">
        <v>229</v>
      </c>
      <c r="AI13" s="18">
        <f>AH13/$D13</f>
        <v>0.27777777777777779</v>
      </c>
      <c r="AJ13" s="15" t="s">
        <v>211</v>
      </c>
      <c r="AK13" s="18">
        <f>AJ13/$D13</f>
        <v>0.61111111111111116</v>
      </c>
      <c r="AL13" s="15" t="s">
        <v>193</v>
      </c>
      <c r="AM13" s="18">
        <f>AL13/$D13</f>
        <v>0.16666666666666666</v>
      </c>
      <c r="AN13" s="15" t="s">
        <v>192</v>
      </c>
      <c r="AO13" s="18">
        <f>AN13/$D13</f>
        <v>0</v>
      </c>
      <c r="AP13" s="15" t="s">
        <v>187</v>
      </c>
      <c r="AQ13" s="18">
        <f>AP13/$D13</f>
        <v>0.3888888888888889</v>
      </c>
      <c r="AR13" s="15" t="s">
        <v>180</v>
      </c>
      <c r="AS13" s="18">
        <f>AR13/$D13</f>
        <v>1</v>
      </c>
      <c r="AT13" s="20">
        <v>-2.7113157171635989E-2</v>
      </c>
      <c r="AU13" s="20">
        <v>-7.0607180134468726E-3</v>
      </c>
      <c r="AV13" s="20">
        <v>-3.153436141215428E-2</v>
      </c>
      <c r="AW13" s="20">
        <v>4.4212042405182917E-3</v>
      </c>
      <c r="AX13" s="20">
        <v>95.266870137419076</v>
      </c>
      <c r="AY13" s="20">
        <v>113.80882435775037</v>
      </c>
      <c r="AZ13" s="20">
        <v>1.1991945182598689</v>
      </c>
      <c r="BA13" s="20">
        <v>1.6666666666666667</v>
      </c>
      <c r="BB13" s="20">
        <v>7.8125</v>
      </c>
      <c r="BC13" s="21">
        <v>0.46296296296296297</v>
      </c>
      <c r="BD13" s="21">
        <v>0.43636363636363634</v>
      </c>
      <c r="BE13" s="20">
        <v>6.9510201529336095</v>
      </c>
      <c r="BF13" s="21">
        <v>0.65454545454545454</v>
      </c>
      <c r="BG13" s="21">
        <v>0.18181818181818182</v>
      </c>
      <c r="BH13" s="20">
        <v>0.24907013815090329</v>
      </c>
      <c r="BI13" s="20">
        <v>1.2453506907545164</v>
      </c>
      <c r="BJ13" s="20">
        <v>0.69806403574087861</v>
      </c>
      <c r="BK13" s="20">
        <v>3.4693019343986542</v>
      </c>
      <c r="BL13" s="20">
        <v>1.1005327951338688</v>
      </c>
      <c r="BM13" s="20">
        <v>0</v>
      </c>
      <c r="BN13" s="20">
        <v>10.542168674698795</v>
      </c>
      <c r="BO13" s="22" t="s">
        <v>263</v>
      </c>
      <c r="BP13" s="22">
        <v>40000</v>
      </c>
    </row>
    <row r="14" spans="1:68" x14ac:dyDescent="0.3">
      <c r="A14" s="16" t="s">
        <v>162</v>
      </c>
      <c r="B14" s="16" t="s">
        <v>258</v>
      </c>
      <c r="C14" s="4" t="s">
        <v>222</v>
      </c>
      <c r="D14" s="5">
        <v>26</v>
      </c>
      <c r="E14" s="11">
        <v>6</v>
      </c>
      <c r="F14" s="11">
        <v>38</v>
      </c>
      <c r="G14" s="14">
        <v>10340</v>
      </c>
      <c r="H14" s="5" t="s">
        <v>235</v>
      </c>
      <c r="I14" s="18">
        <f>H14/$D14</f>
        <v>1.4230769230769231</v>
      </c>
      <c r="J14" s="6" t="s">
        <v>233</v>
      </c>
      <c r="K14" s="6" t="s">
        <v>178</v>
      </c>
      <c r="L14" s="18">
        <f>J14/$D14</f>
        <v>1.9615384615384615</v>
      </c>
      <c r="M14" s="18">
        <f>K14/$D14</f>
        <v>0.53846153846153844</v>
      </c>
      <c r="N14" s="19">
        <f>K14/J14</f>
        <v>0.27450980392156865</v>
      </c>
      <c r="O14" s="14" t="s">
        <v>173</v>
      </c>
      <c r="P14" s="15" t="s">
        <v>189</v>
      </c>
      <c r="Q14" s="18">
        <f>O14/$D14</f>
        <v>0.65384615384615385</v>
      </c>
      <c r="R14" s="18">
        <f>P14/$D14</f>
        <v>0.30769230769230771</v>
      </c>
      <c r="S14" s="19">
        <f>P14/O14</f>
        <v>0.47058823529411764</v>
      </c>
      <c r="T14" s="15" t="s">
        <v>213</v>
      </c>
      <c r="U14" s="15" t="s">
        <v>226</v>
      </c>
      <c r="V14" s="18">
        <f>T14/$D14</f>
        <v>1.3076923076923077</v>
      </c>
      <c r="W14" s="18">
        <f>U14/$D14</f>
        <v>0.23076923076923078</v>
      </c>
      <c r="X14" s="19">
        <f>U14/T14</f>
        <v>0.17647058823529413</v>
      </c>
      <c r="Y14" s="15" t="s">
        <v>226</v>
      </c>
      <c r="Z14" s="15" t="s">
        <v>193</v>
      </c>
      <c r="AA14" s="18">
        <f>Y14/$D14</f>
        <v>0.23076923076923078</v>
      </c>
      <c r="AB14" s="18">
        <f>Z14/$D14</f>
        <v>0.11538461538461539</v>
      </c>
      <c r="AC14" s="19">
        <f>Z14/Y14</f>
        <v>0.5</v>
      </c>
      <c r="AD14" s="15" t="s">
        <v>200</v>
      </c>
      <c r="AE14" s="18">
        <f>AD14/$D14</f>
        <v>0.88461538461538458</v>
      </c>
      <c r="AF14" s="15" t="s">
        <v>185</v>
      </c>
      <c r="AG14" s="18">
        <f>AF14/$D14</f>
        <v>0.46153846153846156</v>
      </c>
      <c r="AH14" s="15" t="s">
        <v>211</v>
      </c>
      <c r="AI14" s="18">
        <f>AH14/$D14</f>
        <v>0.42307692307692307</v>
      </c>
      <c r="AJ14" s="15" t="s">
        <v>184</v>
      </c>
      <c r="AK14" s="18">
        <f>AJ14/$D14</f>
        <v>0.15384615384615385</v>
      </c>
      <c r="AL14" s="15" t="s">
        <v>189</v>
      </c>
      <c r="AM14" s="18">
        <f>AL14/$D14</f>
        <v>0.30769230769230771</v>
      </c>
      <c r="AN14" s="15" t="s">
        <v>194</v>
      </c>
      <c r="AO14" s="18">
        <f>AN14/$D14</f>
        <v>7.6923076923076927E-2</v>
      </c>
      <c r="AP14" s="15" t="s">
        <v>226</v>
      </c>
      <c r="AQ14" s="18">
        <f>AP14/$D14</f>
        <v>0.23076923076923078</v>
      </c>
      <c r="AR14" s="15" t="s">
        <v>173</v>
      </c>
      <c r="AS14" s="18">
        <f>AR14/$D14</f>
        <v>0.65384615384615385</v>
      </c>
      <c r="AT14" s="20">
        <v>-0.15945799632710245</v>
      </c>
      <c r="AU14" s="20">
        <v>-3.6982913721013325E-2</v>
      </c>
      <c r="AV14" s="20">
        <v>-0.26693668900443973</v>
      </c>
      <c r="AW14" s="20">
        <v>0.10747869267733728</v>
      </c>
      <c r="AX14" s="20">
        <v>79.676024304289726</v>
      </c>
      <c r="AY14" s="20">
        <v>108.49748501547236</v>
      </c>
      <c r="AZ14" s="20">
        <v>1.2855201092353714</v>
      </c>
      <c r="BA14" s="20">
        <v>1.0769230769230769</v>
      </c>
      <c r="BB14" s="20">
        <v>6.4940085040587547</v>
      </c>
      <c r="BC14" s="21">
        <v>0.34489187173750929</v>
      </c>
      <c r="BD14" s="21">
        <v>0.33333333333333331</v>
      </c>
      <c r="BE14" s="20">
        <v>8.0316540179637563</v>
      </c>
      <c r="BF14" s="21">
        <v>0.66666666666666663</v>
      </c>
      <c r="BG14" s="21">
        <v>0.11764705882352941</v>
      </c>
      <c r="BH14" s="20">
        <v>3.8449420321586678</v>
      </c>
      <c r="BI14" s="20">
        <v>3.5245301961454456</v>
      </c>
      <c r="BJ14" s="20">
        <v>3.4423794325312338</v>
      </c>
      <c r="BK14" s="20">
        <v>1.6127948390565152</v>
      </c>
      <c r="BL14" s="20">
        <v>2.6137122123318481</v>
      </c>
      <c r="BM14" s="20">
        <v>0.61942996957050267</v>
      </c>
      <c r="BN14" s="20">
        <v>10.060362173038229</v>
      </c>
      <c r="BO14" s="22" t="s">
        <v>263</v>
      </c>
      <c r="BP14" s="22">
        <v>250000</v>
      </c>
    </row>
    <row r="15" spans="1:68" x14ac:dyDescent="0.3">
      <c r="A15" s="16" t="s">
        <v>162</v>
      </c>
      <c r="B15" s="16" t="s">
        <v>258</v>
      </c>
      <c r="C15" s="9" t="s">
        <v>126</v>
      </c>
      <c r="D15" s="5">
        <v>42</v>
      </c>
      <c r="E15" s="7">
        <v>5</v>
      </c>
      <c r="F15" s="7">
        <v>50</v>
      </c>
      <c r="G15" s="14">
        <v>14708</v>
      </c>
      <c r="H15" s="5" t="s">
        <v>199</v>
      </c>
      <c r="I15" s="18">
        <v>16.416666666666668</v>
      </c>
      <c r="J15" s="6" t="s">
        <v>371</v>
      </c>
      <c r="K15" s="6" t="s">
        <v>178</v>
      </c>
      <c r="L15" s="18">
        <v>14.666666666666666</v>
      </c>
      <c r="M15" s="18">
        <v>6.333333333333333</v>
      </c>
      <c r="N15" s="19">
        <f>K15/J15</f>
        <v>0.3888888888888889</v>
      </c>
      <c r="O15" s="14" t="s">
        <v>243</v>
      </c>
      <c r="P15" s="15" t="s">
        <v>185</v>
      </c>
      <c r="Q15" s="18">
        <v>10.708333333333334</v>
      </c>
      <c r="R15" s="18">
        <v>5.416666666666667</v>
      </c>
      <c r="S15" s="19">
        <f>P15/O15</f>
        <v>0.48</v>
      </c>
      <c r="T15" s="15" t="s">
        <v>211</v>
      </c>
      <c r="U15" s="15" t="s">
        <v>194</v>
      </c>
      <c r="V15" s="18">
        <v>3.9583333333333335</v>
      </c>
      <c r="W15" s="18">
        <v>0.91666666666666663</v>
      </c>
      <c r="X15" s="19">
        <f>U15/T15</f>
        <v>0.18181818181818182</v>
      </c>
      <c r="Y15" s="15" t="s">
        <v>176</v>
      </c>
      <c r="Z15" s="15" t="s">
        <v>193</v>
      </c>
      <c r="AA15" s="18">
        <v>3.6666666666666665</v>
      </c>
      <c r="AB15" s="18">
        <v>2.8333333333333335</v>
      </c>
      <c r="AC15" s="19">
        <f>Z15/Y15</f>
        <v>0.3</v>
      </c>
      <c r="AD15" s="15" t="s">
        <v>175</v>
      </c>
      <c r="AE15" s="18">
        <v>7.625</v>
      </c>
      <c r="AF15" s="15" t="s">
        <v>185</v>
      </c>
      <c r="AG15" s="18">
        <v>1.25</v>
      </c>
      <c r="AH15" s="15" t="s">
        <v>203</v>
      </c>
      <c r="AI15" s="18">
        <v>6.375</v>
      </c>
      <c r="AJ15" s="15" t="s">
        <v>182</v>
      </c>
      <c r="AK15" s="18">
        <v>3.0416666666666665</v>
      </c>
      <c r="AL15" s="15" t="s">
        <v>207</v>
      </c>
      <c r="AM15" s="18">
        <v>1.7916666666666667</v>
      </c>
      <c r="AN15" s="15" t="s">
        <v>192</v>
      </c>
      <c r="AO15" s="18">
        <v>1.2083333333333333</v>
      </c>
      <c r="AP15" s="15" t="s">
        <v>181</v>
      </c>
      <c r="AQ15" s="18">
        <v>2.1666666666666665</v>
      </c>
      <c r="AR15" s="15" t="s">
        <v>223</v>
      </c>
      <c r="AS15" s="18">
        <v>1.4166666666666667</v>
      </c>
      <c r="AT15" s="20">
        <v>-2.1624149879526433E-2</v>
      </c>
      <c r="AU15" s="20">
        <v>-3.5304734497186015E-3</v>
      </c>
      <c r="AV15" s="20">
        <v>-0.15801649853380934</v>
      </c>
      <c r="AW15" s="20">
        <v>0.1363923486542829</v>
      </c>
      <c r="AX15" s="20">
        <v>87.874467868335316</v>
      </c>
      <c r="AY15" s="20">
        <v>109.09154084303141</v>
      </c>
      <c r="AZ15" s="20">
        <v>0.89376368179912469</v>
      </c>
      <c r="BA15" s="20">
        <v>1.1904761904761905</v>
      </c>
      <c r="BB15" s="20">
        <v>8.1632653061224492</v>
      </c>
      <c r="BC15" s="21">
        <v>0.40841584158415845</v>
      </c>
      <c r="BD15" s="21">
        <v>0.41666666666666669</v>
      </c>
      <c r="BE15" s="20">
        <v>8.4838337536114992</v>
      </c>
      <c r="BF15" s="21">
        <v>0.30555555555555558</v>
      </c>
      <c r="BG15" s="21">
        <v>0.27777777777777779</v>
      </c>
      <c r="BH15" s="20">
        <v>4.372248367997571</v>
      </c>
      <c r="BI15" s="20">
        <v>3.2791862759981782</v>
      </c>
      <c r="BJ15" s="20">
        <v>3.5740878629932986</v>
      </c>
      <c r="BK15" s="20">
        <v>12.475933769734308</v>
      </c>
      <c r="BL15" s="20">
        <v>2.989855626290217</v>
      </c>
      <c r="BM15" s="20">
        <v>0</v>
      </c>
      <c r="BN15" s="20">
        <v>27.075812274368232</v>
      </c>
      <c r="BO15" s="22" t="s">
        <v>263</v>
      </c>
      <c r="BP15" s="22"/>
    </row>
    <row r="16" spans="1:68" x14ac:dyDescent="0.3">
      <c r="A16" s="16" t="s">
        <v>162</v>
      </c>
      <c r="B16" s="16" t="s">
        <v>258</v>
      </c>
      <c r="C16" s="4" t="s">
        <v>128</v>
      </c>
      <c r="D16" s="5">
        <v>16</v>
      </c>
      <c r="E16" s="7">
        <v>3</v>
      </c>
      <c r="F16" s="7">
        <v>19</v>
      </c>
      <c r="G16" s="14">
        <v>3181</v>
      </c>
      <c r="H16" s="5" t="s">
        <v>207</v>
      </c>
      <c r="I16" s="18">
        <f>H16/$D16</f>
        <v>0.8125</v>
      </c>
      <c r="J16" s="6" t="s">
        <v>207</v>
      </c>
      <c r="K16" s="6" t="s">
        <v>229</v>
      </c>
      <c r="L16" s="18">
        <f>J16/$D16</f>
        <v>0.8125</v>
      </c>
      <c r="M16" s="18">
        <f>K16/$D16</f>
        <v>0.3125</v>
      </c>
      <c r="N16" s="19">
        <f>K16/J16</f>
        <v>0.38461538461538464</v>
      </c>
      <c r="O16" s="14" t="s">
        <v>211</v>
      </c>
      <c r="P16" s="15" t="s">
        <v>229</v>
      </c>
      <c r="Q16" s="18">
        <f>O16/$D16</f>
        <v>0.6875</v>
      </c>
      <c r="R16" s="18">
        <f>P16/$D16</f>
        <v>0.3125</v>
      </c>
      <c r="S16" s="19">
        <f>P16/O16</f>
        <v>0.45454545454545453</v>
      </c>
      <c r="T16" s="15" t="s">
        <v>194</v>
      </c>
      <c r="U16" s="15" t="s">
        <v>192</v>
      </c>
      <c r="V16" s="18">
        <f>T16/$D16</f>
        <v>0.125</v>
      </c>
      <c r="W16" s="18">
        <f>U16/$D16</f>
        <v>0</v>
      </c>
      <c r="X16" s="19">
        <f>U16/T16</f>
        <v>0</v>
      </c>
      <c r="Y16" s="15" t="s">
        <v>184</v>
      </c>
      <c r="Z16" s="15" t="s">
        <v>193</v>
      </c>
      <c r="AA16" s="18">
        <f>Y16/$D16</f>
        <v>0.25</v>
      </c>
      <c r="AB16" s="18">
        <f>Z16/$D16</f>
        <v>0.1875</v>
      </c>
      <c r="AC16" s="19">
        <f>Z16/Y16</f>
        <v>0.75</v>
      </c>
      <c r="AD16" s="15" t="s">
        <v>193</v>
      </c>
      <c r="AE16" s="18">
        <f>AD16/$D16</f>
        <v>0.1875</v>
      </c>
      <c r="AF16" s="15" t="s">
        <v>231</v>
      </c>
      <c r="AG16" s="18">
        <f>AF16/$D16</f>
        <v>6.25E-2</v>
      </c>
      <c r="AH16" s="15" t="s">
        <v>194</v>
      </c>
      <c r="AI16" s="18">
        <f>AH16/$D16</f>
        <v>0.125</v>
      </c>
      <c r="AJ16" s="15" t="s">
        <v>184</v>
      </c>
      <c r="AK16" s="18">
        <f>AJ16/$D16</f>
        <v>0.25</v>
      </c>
      <c r="AL16" s="15" t="s">
        <v>194</v>
      </c>
      <c r="AM16" s="18">
        <f>AL16/$D16</f>
        <v>0.125</v>
      </c>
      <c r="AN16" s="15" t="s">
        <v>192</v>
      </c>
      <c r="AO16" s="18">
        <f>AN16/$D16</f>
        <v>0</v>
      </c>
      <c r="AP16" s="15" t="s">
        <v>194</v>
      </c>
      <c r="AQ16" s="18">
        <f>AP16/$D16</f>
        <v>0.125</v>
      </c>
      <c r="AR16" s="15" t="s">
        <v>203</v>
      </c>
      <c r="AS16" s="18">
        <f>AR16/$D16</f>
        <v>0.5625</v>
      </c>
      <c r="AT16" s="20">
        <v>9.8154996056556837E-3</v>
      </c>
      <c r="AU16" s="20">
        <v>7.3986177932078012E-3</v>
      </c>
      <c r="AV16" s="20">
        <v>-7.7111753431599213E-3</v>
      </c>
      <c r="AW16" s="20">
        <v>1.7526674948815605E-2</v>
      </c>
      <c r="AX16" s="20">
        <v>95.423211705674362</v>
      </c>
      <c r="AY16" s="20">
        <v>111.11480355402155</v>
      </c>
      <c r="AZ16" s="20">
        <v>0.64476874907204673</v>
      </c>
      <c r="BA16" s="20">
        <v>0.6875</v>
      </c>
      <c r="BB16" s="20">
        <v>8.2914572864321592</v>
      </c>
      <c r="BC16" s="21">
        <v>0.44037940379403795</v>
      </c>
      <c r="BD16" s="21">
        <v>0.38461538461538464</v>
      </c>
      <c r="BE16" s="20">
        <v>4.5141019899756047</v>
      </c>
      <c r="BF16" s="21">
        <v>0.15384615384615385</v>
      </c>
      <c r="BG16" s="21">
        <v>0.30769230769230771</v>
      </c>
      <c r="BH16" s="20">
        <v>0.64082367202644464</v>
      </c>
      <c r="BI16" s="20">
        <v>1.2816473440528893</v>
      </c>
      <c r="BJ16" s="20">
        <v>0.89801202587771323</v>
      </c>
      <c r="BK16" s="20">
        <v>3.1743932279611138</v>
      </c>
      <c r="BL16" s="20">
        <v>2.1236411725196267</v>
      </c>
      <c r="BM16" s="20">
        <v>0</v>
      </c>
      <c r="BN16" s="20">
        <v>11.933174224343677</v>
      </c>
      <c r="BO16" s="22" t="s">
        <v>263</v>
      </c>
      <c r="BP16" s="22">
        <v>600000</v>
      </c>
    </row>
    <row r="17" spans="1:68" x14ac:dyDescent="0.3">
      <c r="A17" s="16" t="s">
        <v>162</v>
      </c>
      <c r="B17" s="16" t="s">
        <v>258</v>
      </c>
      <c r="C17" s="4" t="s">
        <v>125</v>
      </c>
      <c r="D17" s="5">
        <v>11</v>
      </c>
      <c r="E17" s="7">
        <v>2</v>
      </c>
      <c r="F17" s="7">
        <v>0</v>
      </c>
      <c r="G17" s="14">
        <v>1319</v>
      </c>
      <c r="H17" s="5" t="s">
        <v>187</v>
      </c>
      <c r="I17" s="18">
        <f>H17/$D17</f>
        <v>0.63636363636363635</v>
      </c>
      <c r="J17" s="6" t="s">
        <v>211</v>
      </c>
      <c r="K17" s="6" t="s">
        <v>194</v>
      </c>
      <c r="L17" s="18">
        <f>J17/$D17</f>
        <v>1</v>
      </c>
      <c r="M17" s="18">
        <f>K17/$D17</f>
        <v>0.18181818181818182</v>
      </c>
      <c r="N17" s="19">
        <f>K17/J17</f>
        <v>0.18181818181818182</v>
      </c>
      <c r="O17" s="14" t="s">
        <v>231</v>
      </c>
      <c r="P17" s="15" t="s">
        <v>192</v>
      </c>
      <c r="Q17" s="18">
        <f>O17/$D17</f>
        <v>9.0909090909090912E-2</v>
      </c>
      <c r="R17" s="18">
        <f>P17/$D17</f>
        <v>0</v>
      </c>
      <c r="S17" s="19">
        <f>P17/O17</f>
        <v>0</v>
      </c>
      <c r="T17" s="15" t="s">
        <v>176</v>
      </c>
      <c r="U17" s="15" t="s">
        <v>194</v>
      </c>
      <c r="V17" s="18">
        <f>T17/$D17</f>
        <v>0.90909090909090906</v>
      </c>
      <c r="W17" s="18">
        <f>U17/$D17</f>
        <v>0.18181818181818182</v>
      </c>
      <c r="X17" s="19">
        <f>U17/T17</f>
        <v>0.2</v>
      </c>
      <c r="Y17" s="15" t="s">
        <v>194</v>
      </c>
      <c r="Z17" s="15" t="s">
        <v>231</v>
      </c>
      <c r="AA17" s="18">
        <f>Y17/$D17</f>
        <v>0.18181818181818182</v>
      </c>
      <c r="AB17" s="18">
        <f>Z17/$D17</f>
        <v>9.0909090909090912E-2</v>
      </c>
      <c r="AC17" s="19">
        <f>Z17/Y17</f>
        <v>0.5</v>
      </c>
      <c r="AD17" s="15" t="s">
        <v>193</v>
      </c>
      <c r="AE17" s="18">
        <f>AD17/$D17</f>
        <v>0.27272727272727271</v>
      </c>
      <c r="AF17" s="15" t="s">
        <v>231</v>
      </c>
      <c r="AG17" s="18">
        <f>AF17/$D17</f>
        <v>9.0909090909090912E-2</v>
      </c>
      <c r="AH17" s="15" t="s">
        <v>194</v>
      </c>
      <c r="AI17" s="18">
        <f>AH17/$D17</f>
        <v>0.18181818181818182</v>
      </c>
      <c r="AJ17" s="15" t="s">
        <v>192</v>
      </c>
      <c r="AK17" s="18">
        <f>AJ17/$D17</f>
        <v>0</v>
      </c>
      <c r="AL17" s="15" t="s">
        <v>231</v>
      </c>
      <c r="AM17" s="18">
        <f>AL17/$D17</f>
        <v>9.0909090909090912E-2</v>
      </c>
      <c r="AN17" s="15" t="s">
        <v>192</v>
      </c>
      <c r="AO17" s="18">
        <f>AN17/$D17</f>
        <v>0</v>
      </c>
      <c r="AP17" s="15" t="s">
        <v>192</v>
      </c>
      <c r="AQ17" s="18">
        <f>AP17/$D17</f>
        <v>0</v>
      </c>
      <c r="AR17" s="15" t="s">
        <v>194</v>
      </c>
      <c r="AS17" s="18">
        <f>AR17/$D17</f>
        <v>0.18181818181818182</v>
      </c>
      <c r="AT17" s="20">
        <v>-5.2261414264873074E-2</v>
      </c>
      <c r="AU17" s="20">
        <v>-9.5020753208860123E-2</v>
      </c>
      <c r="AV17" s="20">
        <v>-6.6755036379482532E-2</v>
      </c>
      <c r="AW17" s="20">
        <v>1.4493622114609457E-2</v>
      </c>
      <c r="AX17" s="20">
        <v>72.882099298561499</v>
      </c>
      <c r="AY17" s="20">
        <v>108.17923702849711</v>
      </c>
      <c r="AZ17" s="20">
        <v>4.934993099162506E-2</v>
      </c>
      <c r="BA17" s="20">
        <v>9.0909090909090912E-2</v>
      </c>
      <c r="BB17" s="20">
        <v>1.8181818181818183</v>
      </c>
      <c r="BC17" s="21">
        <v>0.2946127946127946</v>
      </c>
      <c r="BD17" s="21">
        <v>0.27272727272727271</v>
      </c>
      <c r="BE17" s="20">
        <v>5.3062245408418498</v>
      </c>
      <c r="BF17" s="21">
        <v>0.90909090909090906</v>
      </c>
      <c r="BG17" s="21">
        <v>0.18181818181818182</v>
      </c>
      <c r="BH17" s="20">
        <v>1.0626992561105209</v>
      </c>
      <c r="BI17" s="20">
        <v>2.1253985122210417</v>
      </c>
      <c r="BJ17" s="20">
        <v>1.4892032762472078</v>
      </c>
      <c r="BK17" s="20">
        <v>0</v>
      </c>
      <c r="BL17" s="20">
        <v>2.561239959584277</v>
      </c>
      <c r="BM17" s="20">
        <v>0</v>
      </c>
      <c r="BN17" s="20">
        <v>0</v>
      </c>
      <c r="BO17" s="22" t="s">
        <v>263</v>
      </c>
      <c r="BP17" s="22">
        <v>75000</v>
      </c>
    </row>
    <row r="18" spans="1:68" x14ac:dyDescent="0.3">
      <c r="A18" s="16" t="s">
        <v>162</v>
      </c>
      <c r="B18" s="16" t="s">
        <v>258</v>
      </c>
      <c r="C18" s="4" t="s">
        <v>228</v>
      </c>
      <c r="D18" s="5">
        <v>1</v>
      </c>
      <c r="E18" s="7">
        <v>0</v>
      </c>
      <c r="F18" s="7">
        <v>41</v>
      </c>
      <c r="G18" s="14">
        <v>41</v>
      </c>
      <c r="H18" s="5" t="s">
        <v>192</v>
      </c>
      <c r="I18" s="18">
        <f>H18/$D18</f>
        <v>0</v>
      </c>
      <c r="J18" s="6" t="s">
        <v>231</v>
      </c>
      <c r="K18" s="6" t="s">
        <v>192</v>
      </c>
      <c r="L18" s="18">
        <f>J18/$D18</f>
        <v>1</v>
      </c>
      <c r="M18" s="18">
        <f>K18/$D18</f>
        <v>0</v>
      </c>
      <c r="N18" s="19">
        <f>K18/J18</f>
        <v>0</v>
      </c>
      <c r="O18" s="14" t="s">
        <v>192</v>
      </c>
      <c r="P18" s="15" t="s">
        <v>192</v>
      </c>
      <c r="Q18" s="18">
        <f>O18/$D18</f>
        <v>0</v>
      </c>
      <c r="R18" s="18">
        <f>P18/$D18</f>
        <v>0</v>
      </c>
      <c r="S18" s="19" t="e">
        <f>P18/O18</f>
        <v>#DIV/0!</v>
      </c>
      <c r="T18" s="15" t="s">
        <v>231</v>
      </c>
      <c r="U18" s="15" t="s">
        <v>192</v>
      </c>
      <c r="V18" s="18">
        <f>T18/$D18</f>
        <v>1</v>
      </c>
      <c r="W18" s="18">
        <f>U18/$D18</f>
        <v>0</v>
      </c>
      <c r="X18" s="19">
        <f>U18/T18</f>
        <v>0</v>
      </c>
      <c r="Y18" s="15" t="s">
        <v>192</v>
      </c>
      <c r="Z18" s="15" t="s">
        <v>192</v>
      </c>
      <c r="AA18" s="18">
        <f>Y18/$D18</f>
        <v>0</v>
      </c>
      <c r="AB18" s="18">
        <f>Z18/$D18</f>
        <v>0</v>
      </c>
      <c r="AC18" s="19" t="e">
        <f>Z18/Y18</f>
        <v>#DIV/0!</v>
      </c>
      <c r="AD18" s="15" t="s">
        <v>192</v>
      </c>
      <c r="AE18" s="18">
        <f>AD18/$D18</f>
        <v>0</v>
      </c>
      <c r="AF18" s="15" t="s">
        <v>192</v>
      </c>
      <c r="AG18" s="18">
        <f>AF18/$D18</f>
        <v>0</v>
      </c>
      <c r="AH18" s="15" t="s">
        <v>192</v>
      </c>
      <c r="AI18" s="18">
        <f>AH18/$D18</f>
        <v>0</v>
      </c>
      <c r="AJ18" s="15" t="s">
        <v>192</v>
      </c>
      <c r="AK18" s="18">
        <f>AJ18/$D18</f>
        <v>0</v>
      </c>
      <c r="AL18" s="15" t="s">
        <v>192</v>
      </c>
      <c r="AM18" s="18">
        <f>AL18/$D18</f>
        <v>0</v>
      </c>
      <c r="AN18" s="15" t="s">
        <v>192</v>
      </c>
      <c r="AO18" s="18">
        <f>AN18/$D18</f>
        <v>0</v>
      </c>
      <c r="AP18" s="15" t="s">
        <v>192</v>
      </c>
      <c r="AQ18" s="18">
        <f>AP18/$D18</f>
        <v>0</v>
      </c>
      <c r="AR18" s="15" t="s">
        <v>192</v>
      </c>
      <c r="AS18" s="18">
        <f>AR18/$D18</f>
        <v>0</v>
      </c>
      <c r="AT18" s="20">
        <v>-2.1019403243400341E-2</v>
      </c>
      <c r="AU18" s="20">
        <v>-1.2304040922966053</v>
      </c>
      <c r="AV18" s="20">
        <v>-2.0714220201677291E-2</v>
      </c>
      <c r="AW18" s="20">
        <v>-3.051830417230503E-4</v>
      </c>
      <c r="AX18" s="20">
        <v>0</v>
      </c>
      <c r="AY18" s="20">
        <v>118.05675270479183</v>
      </c>
      <c r="AZ18" s="20">
        <v>-0.80950180534317162</v>
      </c>
      <c r="BA18" s="20">
        <v>-1</v>
      </c>
      <c r="BB18" s="20">
        <v>-58.536585365853654</v>
      </c>
      <c r="BC18" s="21">
        <v>0</v>
      </c>
      <c r="BD18" s="21">
        <v>0</v>
      </c>
      <c r="BE18" s="20">
        <v>1.3072738459822244</v>
      </c>
      <c r="BF18" s="21">
        <v>1</v>
      </c>
      <c r="BG18" s="21">
        <v>0</v>
      </c>
      <c r="BH18" s="20">
        <v>0</v>
      </c>
      <c r="BI18" s="20">
        <v>0</v>
      </c>
      <c r="BJ18" s="20">
        <v>0</v>
      </c>
      <c r="BK18" s="20">
        <v>0</v>
      </c>
      <c r="BL18" s="20">
        <v>0</v>
      </c>
      <c r="BM18" s="20">
        <v>0</v>
      </c>
      <c r="BN18" s="20">
        <v>0</v>
      </c>
      <c r="BO18" s="22" t="s">
        <v>263</v>
      </c>
      <c r="BP18" s="22">
        <v>55000</v>
      </c>
    </row>
    <row r="19" spans="1:68" x14ac:dyDescent="0.3">
      <c r="A19" s="16" t="s">
        <v>162</v>
      </c>
      <c r="B19" s="16" t="s">
        <v>258</v>
      </c>
      <c r="C19" s="4" t="s">
        <v>440</v>
      </c>
      <c r="D19" s="5">
        <v>2</v>
      </c>
      <c r="E19" s="7">
        <v>1</v>
      </c>
      <c r="F19" s="7">
        <v>4</v>
      </c>
      <c r="G19" s="14">
        <v>128</v>
      </c>
      <c r="H19" s="5" t="s">
        <v>192</v>
      </c>
      <c r="I19" s="18">
        <f>H19/$D19</f>
        <v>0</v>
      </c>
      <c r="J19" s="6" t="s">
        <v>192</v>
      </c>
      <c r="K19" s="6" t="s">
        <v>192</v>
      </c>
      <c r="L19" s="18">
        <f>J19/$D19</f>
        <v>0</v>
      </c>
      <c r="M19" s="18">
        <f>K19/$D19</f>
        <v>0</v>
      </c>
      <c r="N19" s="19" t="e">
        <f>K19/J19</f>
        <v>#DIV/0!</v>
      </c>
      <c r="O19" s="14" t="s">
        <v>192</v>
      </c>
      <c r="P19" s="15" t="s">
        <v>192</v>
      </c>
      <c r="Q19" s="18">
        <f>O19/$D19</f>
        <v>0</v>
      </c>
      <c r="R19" s="18">
        <f>P19/$D19</f>
        <v>0</v>
      </c>
      <c r="S19" s="19" t="e">
        <f>P19/O19</f>
        <v>#DIV/0!</v>
      </c>
      <c r="T19" s="15" t="s">
        <v>192</v>
      </c>
      <c r="U19" s="15" t="s">
        <v>192</v>
      </c>
      <c r="V19" s="18">
        <f>T19/$D19</f>
        <v>0</v>
      </c>
      <c r="W19" s="18">
        <f>U19/$D19</f>
        <v>0</v>
      </c>
      <c r="X19" s="19" t="e">
        <f>U19/T19</f>
        <v>#DIV/0!</v>
      </c>
      <c r="Y19" s="15" t="s">
        <v>192</v>
      </c>
      <c r="Z19" s="15" t="s">
        <v>192</v>
      </c>
      <c r="AA19" s="18">
        <f>Y19/$D19</f>
        <v>0</v>
      </c>
      <c r="AB19" s="18">
        <f>Z19/$D19</f>
        <v>0</v>
      </c>
      <c r="AC19" s="19" t="e">
        <f>Z19/Y19</f>
        <v>#DIV/0!</v>
      </c>
      <c r="AD19" s="15" t="s">
        <v>192</v>
      </c>
      <c r="AE19" s="18">
        <f>AD19/$D19</f>
        <v>0</v>
      </c>
      <c r="AF19" s="15" t="s">
        <v>192</v>
      </c>
      <c r="AG19" s="18">
        <f>AF19/$D19</f>
        <v>0</v>
      </c>
      <c r="AH19" s="15" t="s">
        <v>192</v>
      </c>
      <c r="AI19" s="18">
        <f>AH19/$D19</f>
        <v>0</v>
      </c>
      <c r="AJ19" s="15" t="s">
        <v>192</v>
      </c>
      <c r="AK19" s="18">
        <f>AJ19/$D19</f>
        <v>0</v>
      </c>
      <c r="AL19" s="15" t="s">
        <v>192</v>
      </c>
      <c r="AM19" s="18">
        <f>AL19/$D19</f>
        <v>0</v>
      </c>
      <c r="AN19" s="15" t="s">
        <v>192</v>
      </c>
      <c r="AO19" s="18">
        <f>AN19/$D19</f>
        <v>0</v>
      </c>
      <c r="AP19" s="15" t="s">
        <v>192</v>
      </c>
      <c r="AQ19" s="18">
        <f>AP19/$D19</f>
        <v>0</v>
      </c>
      <c r="AR19" s="15" t="s">
        <v>193</v>
      </c>
      <c r="AS19" s="18">
        <f>AR19/$D19</f>
        <v>1.5</v>
      </c>
      <c r="AT19" s="20">
        <v>2.3743474491786349E-4</v>
      </c>
      <c r="AU19" s="20">
        <v>4.4519014672099403E-3</v>
      </c>
      <c r="AV19" s="20">
        <v>0</v>
      </c>
      <c r="AW19" s="20">
        <v>2.3743474491786349E-4</v>
      </c>
      <c r="AX19" s="20">
        <v>0</v>
      </c>
      <c r="AY19" s="20">
        <v>113.07151451509637</v>
      </c>
      <c r="AZ19" s="20">
        <v>-1.2312799242798074</v>
      </c>
      <c r="BA19" s="20">
        <v>0</v>
      </c>
      <c r="BB19" s="20">
        <v>0</v>
      </c>
      <c r="BC19" s="21"/>
      <c r="BD19" s="21"/>
      <c r="BE19" s="20">
        <v>0</v>
      </c>
      <c r="BF19" s="21"/>
      <c r="BG19" s="21"/>
      <c r="BH19" s="20">
        <v>0</v>
      </c>
      <c r="BI19" s="20">
        <v>0</v>
      </c>
      <c r="BJ19" s="20">
        <v>0</v>
      </c>
      <c r="BK19" s="20">
        <v>0</v>
      </c>
      <c r="BL19" s="20">
        <v>0</v>
      </c>
      <c r="BM19" s="20">
        <v>0</v>
      </c>
      <c r="BN19" s="20"/>
      <c r="BO19" s="22" t="s">
        <v>263</v>
      </c>
      <c r="BP19" s="22"/>
    </row>
    <row r="20" spans="1:68" x14ac:dyDescent="0.3">
      <c r="A20" s="16" t="s">
        <v>162</v>
      </c>
      <c r="B20" s="16" t="s">
        <v>258</v>
      </c>
      <c r="C20" s="4" t="s">
        <v>442</v>
      </c>
      <c r="D20" s="5">
        <v>2</v>
      </c>
      <c r="E20" s="7">
        <v>0</v>
      </c>
      <c r="F20" s="7">
        <v>47</v>
      </c>
      <c r="G20" s="14">
        <v>93</v>
      </c>
      <c r="H20" s="5" t="s">
        <v>192</v>
      </c>
      <c r="I20" s="18">
        <f>H20/$D20</f>
        <v>0</v>
      </c>
      <c r="J20" s="6" t="s">
        <v>231</v>
      </c>
      <c r="K20" s="6" t="s">
        <v>192</v>
      </c>
      <c r="L20" s="18">
        <f>J20/$D20</f>
        <v>0.5</v>
      </c>
      <c r="M20" s="18">
        <f>K20/$D20</f>
        <v>0</v>
      </c>
      <c r="N20" s="19">
        <f>K20/J20</f>
        <v>0</v>
      </c>
      <c r="O20" s="14" t="s">
        <v>192</v>
      </c>
      <c r="P20" s="15" t="s">
        <v>192</v>
      </c>
      <c r="Q20" s="18">
        <f>O20/$D20</f>
        <v>0</v>
      </c>
      <c r="R20" s="18">
        <f>P20/$D20</f>
        <v>0</v>
      </c>
      <c r="S20" s="19" t="e">
        <f>P20/O20</f>
        <v>#DIV/0!</v>
      </c>
      <c r="T20" s="15" t="s">
        <v>231</v>
      </c>
      <c r="U20" s="15" t="s">
        <v>192</v>
      </c>
      <c r="V20" s="18">
        <f>T20/$D20</f>
        <v>0.5</v>
      </c>
      <c r="W20" s="18">
        <f>U20/$D20</f>
        <v>0</v>
      </c>
      <c r="X20" s="19">
        <f>U20/T20</f>
        <v>0</v>
      </c>
      <c r="Y20" s="15" t="s">
        <v>192</v>
      </c>
      <c r="Z20" s="15" t="s">
        <v>192</v>
      </c>
      <c r="AA20" s="18">
        <f>Y20/$D20</f>
        <v>0</v>
      </c>
      <c r="AB20" s="18">
        <f>Z20/$D20</f>
        <v>0</v>
      </c>
      <c r="AC20" s="19" t="e">
        <f>Z20/Y20</f>
        <v>#DIV/0!</v>
      </c>
      <c r="AD20" s="15" t="s">
        <v>192</v>
      </c>
      <c r="AE20" s="18">
        <f>AD20/$D20</f>
        <v>0</v>
      </c>
      <c r="AF20" s="15" t="s">
        <v>192</v>
      </c>
      <c r="AG20" s="18">
        <f>AF20/$D20</f>
        <v>0</v>
      </c>
      <c r="AH20" s="15" t="s">
        <v>192</v>
      </c>
      <c r="AI20" s="18">
        <f>AH20/$D20</f>
        <v>0</v>
      </c>
      <c r="AJ20" s="15" t="s">
        <v>192</v>
      </c>
      <c r="AK20" s="18">
        <f>AJ20/$D20</f>
        <v>0</v>
      </c>
      <c r="AL20" s="15" t="s">
        <v>192</v>
      </c>
      <c r="AM20" s="18">
        <f>AL20/$D20</f>
        <v>0</v>
      </c>
      <c r="AN20" s="15" t="s">
        <v>192</v>
      </c>
      <c r="AO20" s="18">
        <f>AN20/$D20</f>
        <v>0</v>
      </c>
      <c r="AP20" s="15" t="s">
        <v>192</v>
      </c>
      <c r="AQ20" s="18">
        <f>AP20/$D20</f>
        <v>0</v>
      </c>
      <c r="AR20" s="15" t="s">
        <v>231</v>
      </c>
      <c r="AS20" s="18">
        <f>AR20/$D20</f>
        <v>0.5</v>
      </c>
      <c r="AT20" s="20">
        <v>-2.1017174379593693E-2</v>
      </c>
      <c r="AU20" s="20">
        <v>-0.53660870756409429</v>
      </c>
      <c r="AV20" s="20">
        <v>-2.0714220201677291E-2</v>
      </c>
      <c r="AW20" s="20">
        <v>-3.0295417791640023E-4</v>
      </c>
      <c r="AX20" s="20">
        <v>0</v>
      </c>
      <c r="AY20" s="20">
        <v>115.79394955485914</v>
      </c>
      <c r="AZ20" s="20">
        <v>-1.2796219628632941</v>
      </c>
      <c r="BA20" s="20">
        <v>-0.5</v>
      </c>
      <c r="BB20" s="20">
        <v>-25.531914893617021</v>
      </c>
      <c r="BC20" s="21">
        <v>0</v>
      </c>
      <c r="BD20" s="21">
        <v>0</v>
      </c>
      <c r="BE20" s="20">
        <v>1.1403878230908766</v>
      </c>
      <c r="BF20" s="21">
        <v>1</v>
      </c>
      <c r="BG20" s="21">
        <v>0</v>
      </c>
      <c r="BH20" s="20">
        <v>0</v>
      </c>
      <c r="BI20" s="20">
        <v>0</v>
      </c>
      <c r="BJ20" s="20">
        <v>0</v>
      </c>
      <c r="BK20" s="20">
        <v>0</v>
      </c>
      <c r="BL20" s="20">
        <v>0</v>
      </c>
      <c r="BM20" s="20">
        <v>0</v>
      </c>
      <c r="BN20" s="20">
        <v>0</v>
      </c>
      <c r="BO20" s="22" t="s">
        <v>263</v>
      </c>
      <c r="BP20" s="22">
        <v>500000</v>
      </c>
    </row>
    <row r="21" spans="1:68" x14ac:dyDescent="0.3">
      <c r="A21" s="16" t="s">
        <v>162</v>
      </c>
      <c r="B21" s="16" t="s">
        <v>286</v>
      </c>
      <c r="C21" s="16" t="s">
        <v>152</v>
      </c>
      <c r="D21" s="15">
        <v>53</v>
      </c>
      <c r="E21" s="15">
        <v>31</v>
      </c>
      <c r="F21" s="15">
        <v>56</v>
      </c>
      <c r="G21" s="14">
        <v>101564</v>
      </c>
      <c r="H21" s="8" t="s">
        <v>287</v>
      </c>
      <c r="I21" s="18">
        <f>H21/$D21</f>
        <v>15.849056603773585</v>
      </c>
      <c r="J21" s="6" t="s">
        <v>459</v>
      </c>
      <c r="K21" s="6" t="s">
        <v>465</v>
      </c>
      <c r="L21" s="18">
        <f>J21/$D21</f>
        <v>13.509433962264151</v>
      </c>
      <c r="M21" s="18">
        <f>K21/$D21</f>
        <v>5.7547169811320753</v>
      </c>
      <c r="N21" s="19">
        <f>K21/J21</f>
        <v>0.42597765363128492</v>
      </c>
      <c r="O21" s="12" t="s">
        <v>589</v>
      </c>
      <c r="P21" s="5" t="s">
        <v>526</v>
      </c>
      <c r="Q21" s="18">
        <f>O21/$D21</f>
        <v>7.2075471698113205</v>
      </c>
      <c r="R21" s="18">
        <f>P21/$D21</f>
        <v>3.7735849056603774</v>
      </c>
      <c r="S21" s="19">
        <f>P21/O21</f>
        <v>0.52356020942408377</v>
      </c>
      <c r="T21" s="12" t="s">
        <v>509</v>
      </c>
      <c r="U21" s="6" t="s">
        <v>518</v>
      </c>
      <c r="V21" s="18">
        <f>T21/$D21</f>
        <v>6.3018867924528301</v>
      </c>
      <c r="W21" s="18">
        <f>U21/$D21</f>
        <v>1.9811320754716981</v>
      </c>
      <c r="X21" s="19">
        <f>U21/T21</f>
        <v>0.31437125748502992</v>
      </c>
      <c r="Y21" s="5" t="s">
        <v>380</v>
      </c>
      <c r="Z21" s="5" t="s">
        <v>611</v>
      </c>
      <c r="AA21" s="18">
        <f>Y21/$D21</f>
        <v>3.0377358490566038</v>
      </c>
      <c r="AB21" s="18">
        <f>Z21/$D21</f>
        <v>2.358490566037736</v>
      </c>
      <c r="AC21" s="19">
        <f>Z21/Y21</f>
        <v>0.77639751552795033</v>
      </c>
      <c r="AD21" s="15" t="s">
        <v>547</v>
      </c>
      <c r="AE21" s="18">
        <f>AD21/$D21</f>
        <v>2.7735849056603774</v>
      </c>
      <c r="AF21" s="15" t="s">
        <v>191</v>
      </c>
      <c r="AG21" s="18">
        <f>AF21/$D21</f>
        <v>0.35849056603773582</v>
      </c>
      <c r="AH21" s="8" t="s">
        <v>564</v>
      </c>
      <c r="AI21" s="18">
        <f>AH21/$D21</f>
        <v>2.4150943396226414</v>
      </c>
      <c r="AJ21" s="8" t="s">
        <v>594</v>
      </c>
      <c r="AK21" s="18">
        <f>AJ21/$D21</f>
        <v>4.716981132075472</v>
      </c>
      <c r="AL21" s="8" t="s">
        <v>572</v>
      </c>
      <c r="AM21" s="18">
        <f>AL21/$D21</f>
        <v>1.2075471698113207</v>
      </c>
      <c r="AN21" s="8" t="s">
        <v>194</v>
      </c>
      <c r="AO21" s="18">
        <f>AN21/$D21</f>
        <v>3.7735849056603772E-2</v>
      </c>
      <c r="AP21" s="12" t="s">
        <v>571</v>
      </c>
      <c r="AQ21" s="18">
        <f>AP21/$D21</f>
        <v>1.4528301886792452</v>
      </c>
      <c r="AR21" s="12" t="s">
        <v>616</v>
      </c>
      <c r="AS21" s="18">
        <f>AR21/$D21</f>
        <v>1.6603773584905661</v>
      </c>
      <c r="AT21" s="20">
        <v>3.1221249979993257</v>
      </c>
      <c r="AU21" s="20">
        <v>7.3788750100429165E-2</v>
      </c>
      <c r="AV21" s="20">
        <v>3.1937069517099435</v>
      </c>
      <c r="AW21" s="20">
        <v>-7.1581953710617555E-2</v>
      </c>
      <c r="AX21" s="20">
        <v>112.04177800259001</v>
      </c>
      <c r="AY21" s="20">
        <v>114.47750313903396</v>
      </c>
      <c r="AZ21" s="20">
        <v>11.968545620095414</v>
      </c>
      <c r="BA21" s="20">
        <v>14.69811320754717</v>
      </c>
      <c r="BB21" s="20">
        <v>18.410997754756369</v>
      </c>
      <c r="BC21" s="21">
        <v>0.53378069238981241</v>
      </c>
      <c r="BD21" s="21">
        <v>0.49930167597765363</v>
      </c>
      <c r="BE21" s="20">
        <v>24.165079855764446</v>
      </c>
      <c r="BF21" s="21">
        <v>0.46648044692737428</v>
      </c>
      <c r="BG21" s="21">
        <v>0.22486033519553073</v>
      </c>
      <c r="BH21" s="20">
        <v>1.2645899289832918</v>
      </c>
      <c r="BI21" s="20">
        <v>8.5193426794663871</v>
      </c>
      <c r="BJ21" s="20">
        <v>4.5702062966250425</v>
      </c>
      <c r="BK21" s="20">
        <v>26.140601582377744</v>
      </c>
      <c r="BL21" s="20">
        <v>2.1307514848709941</v>
      </c>
      <c r="BM21" s="20">
        <v>0.12867073480639879</v>
      </c>
      <c r="BN21" s="20">
        <v>8.9136877199481379</v>
      </c>
      <c r="BO21" s="22" t="s">
        <v>264</v>
      </c>
      <c r="BP21" s="22">
        <v>310000</v>
      </c>
    </row>
    <row r="22" spans="1:68" x14ac:dyDescent="0.3">
      <c r="A22" s="16" t="s">
        <v>162</v>
      </c>
      <c r="B22" s="16" t="s">
        <v>286</v>
      </c>
      <c r="C22" s="16" t="s">
        <v>289</v>
      </c>
      <c r="D22" s="15">
        <v>53</v>
      </c>
      <c r="E22" s="15">
        <v>26</v>
      </c>
      <c r="F22" s="15">
        <v>27</v>
      </c>
      <c r="G22" s="14">
        <v>84092</v>
      </c>
      <c r="H22" s="8" t="s">
        <v>290</v>
      </c>
      <c r="I22" s="18">
        <f>H22/$D22</f>
        <v>15.471698113207546</v>
      </c>
      <c r="J22" s="6" t="s">
        <v>468</v>
      </c>
      <c r="K22" s="6" t="s">
        <v>469</v>
      </c>
      <c r="L22" s="18">
        <f>J22/$D22</f>
        <v>11.226415094339623</v>
      </c>
      <c r="M22" s="18">
        <f>K22/$D22</f>
        <v>6.4905660377358494</v>
      </c>
      <c r="N22" s="19">
        <f>K22/J22</f>
        <v>0.57815126050420174</v>
      </c>
      <c r="O22" s="12" t="s">
        <v>592</v>
      </c>
      <c r="P22" s="5" t="s">
        <v>593</v>
      </c>
      <c r="Q22" s="18">
        <f>O22/$D22</f>
        <v>8.6415094339622645</v>
      </c>
      <c r="R22" s="18">
        <f>P22/$D22</f>
        <v>5.3584905660377355</v>
      </c>
      <c r="S22" s="19">
        <f>P22/O22</f>
        <v>0.62008733624454149</v>
      </c>
      <c r="T22" s="12" t="s">
        <v>625</v>
      </c>
      <c r="U22" s="6" t="s">
        <v>553</v>
      </c>
      <c r="V22" s="18">
        <f>T22/$D22</f>
        <v>2.5849056603773586</v>
      </c>
      <c r="W22" s="18">
        <f>U22/$D22</f>
        <v>1.1320754716981132</v>
      </c>
      <c r="X22" s="19">
        <f>U22/T22</f>
        <v>0.43795620437956206</v>
      </c>
      <c r="Y22" s="5" t="s">
        <v>523</v>
      </c>
      <c r="Z22" s="5" t="s">
        <v>552</v>
      </c>
      <c r="AA22" s="18">
        <f>Y22/$D22</f>
        <v>1.7735849056603774</v>
      </c>
      <c r="AB22" s="18">
        <f>Z22/$D22</f>
        <v>1.3584905660377358</v>
      </c>
      <c r="AC22" s="19">
        <f>Z22/Y22</f>
        <v>0.76595744680851063</v>
      </c>
      <c r="AD22" s="15" t="s">
        <v>648</v>
      </c>
      <c r="AE22" s="18">
        <f>AD22/$D22</f>
        <v>9.415094339622641</v>
      </c>
      <c r="AF22" s="15" t="s">
        <v>660</v>
      </c>
      <c r="AG22" s="18">
        <f>AF22/$D22</f>
        <v>3.1320754716981134</v>
      </c>
      <c r="AH22" s="8" t="s">
        <v>576</v>
      </c>
      <c r="AI22" s="18">
        <f>AH22/$D22</f>
        <v>6.283018867924528</v>
      </c>
      <c r="AJ22" s="8" t="s">
        <v>603</v>
      </c>
      <c r="AK22" s="18">
        <f>AJ22/$D22</f>
        <v>2.1698113207547172</v>
      </c>
      <c r="AL22" s="8" t="s">
        <v>174</v>
      </c>
      <c r="AM22" s="18">
        <f>AL22/$D22</f>
        <v>0.45283018867924529</v>
      </c>
      <c r="AN22" s="8" t="s">
        <v>213</v>
      </c>
      <c r="AO22" s="18">
        <f>AN22/$D22</f>
        <v>0.64150943396226412</v>
      </c>
      <c r="AP22" s="12" t="s">
        <v>566</v>
      </c>
      <c r="AQ22" s="18">
        <f>AP22/$D22</f>
        <v>1.6037735849056605</v>
      </c>
      <c r="AR22" s="12" t="s">
        <v>514</v>
      </c>
      <c r="AS22" s="18">
        <f>AR22/$D22</f>
        <v>2</v>
      </c>
      <c r="AT22" s="20">
        <v>5.4489740596679264</v>
      </c>
      <c r="AU22" s="20">
        <v>0.15547951805593827</v>
      </c>
      <c r="AV22" s="20">
        <v>4.6675570296483739</v>
      </c>
      <c r="AW22" s="20">
        <v>0.78141703001955209</v>
      </c>
      <c r="AX22" s="20">
        <v>123.01698779847803</v>
      </c>
      <c r="AY22" s="20">
        <v>108.64297452356485</v>
      </c>
      <c r="AZ22" s="20">
        <v>18.651848531421162</v>
      </c>
      <c r="BA22" s="20">
        <v>21.39622641509434</v>
      </c>
      <c r="BB22" s="20">
        <v>32.357242215643616</v>
      </c>
      <c r="BC22" s="21">
        <v>0.64428939593940537</v>
      </c>
      <c r="BD22" s="21">
        <v>0.62857142857142856</v>
      </c>
      <c r="BE22" s="20">
        <v>24.362707954031027</v>
      </c>
      <c r="BF22" s="21">
        <v>0.23025210084033612</v>
      </c>
      <c r="BG22" s="21">
        <v>0.15798319327731092</v>
      </c>
      <c r="BH22" s="20">
        <v>13.338984991633001</v>
      </c>
      <c r="BI22" s="20">
        <v>26.758325314540897</v>
      </c>
      <c r="BJ22" s="20">
        <v>18.72999205664415</v>
      </c>
      <c r="BK22" s="20">
        <v>16.410402768363596</v>
      </c>
      <c r="BL22" s="20">
        <v>0.96467860231872049</v>
      </c>
      <c r="BM22" s="20">
        <v>2.6408715652892387</v>
      </c>
      <c r="BN22" s="20">
        <v>11.783298214483752</v>
      </c>
      <c r="BO22" s="22" t="s">
        <v>267</v>
      </c>
      <c r="BP22" s="22">
        <v>70000</v>
      </c>
    </row>
    <row r="23" spans="1:68" x14ac:dyDescent="0.3">
      <c r="A23" s="16" t="s">
        <v>162</v>
      </c>
      <c r="B23" s="16" t="s">
        <v>286</v>
      </c>
      <c r="C23" s="4" t="s">
        <v>148</v>
      </c>
      <c r="D23" s="5">
        <v>54</v>
      </c>
      <c r="E23" s="7">
        <v>28</v>
      </c>
      <c r="F23" s="7">
        <v>0</v>
      </c>
      <c r="G23" s="14">
        <v>90741</v>
      </c>
      <c r="H23" s="5" t="s">
        <v>305</v>
      </c>
      <c r="I23" s="18">
        <f>H23/$D23</f>
        <v>8.5</v>
      </c>
      <c r="J23" s="6" t="s">
        <v>490</v>
      </c>
      <c r="K23" s="6" t="s">
        <v>491</v>
      </c>
      <c r="L23" s="18">
        <f>J23/$D23</f>
        <v>7.3148148148148149</v>
      </c>
      <c r="M23" s="18">
        <f>K23/$D23</f>
        <v>2.9444444444444446</v>
      </c>
      <c r="N23" s="19">
        <f>K23/J23</f>
        <v>0.40253164556962023</v>
      </c>
      <c r="O23" s="14" t="s">
        <v>600</v>
      </c>
      <c r="P23" s="15" t="s">
        <v>601</v>
      </c>
      <c r="Q23" s="18">
        <f>O23/$D23</f>
        <v>4.2592592592592595</v>
      </c>
      <c r="R23" s="18">
        <f>P23/$D23</f>
        <v>1.9074074074074074</v>
      </c>
      <c r="S23" s="19">
        <f>P23/O23</f>
        <v>0.44782608695652176</v>
      </c>
      <c r="T23" s="15" t="s">
        <v>378</v>
      </c>
      <c r="U23" s="15" t="s">
        <v>205</v>
      </c>
      <c r="V23" s="18">
        <f>T23/$D23</f>
        <v>3.0555555555555554</v>
      </c>
      <c r="W23" s="18">
        <f>U23/$D23</f>
        <v>1.037037037037037</v>
      </c>
      <c r="X23" s="19">
        <f>U23/T23</f>
        <v>0.33939393939393941</v>
      </c>
      <c r="Y23" s="15" t="s">
        <v>565</v>
      </c>
      <c r="Z23" s="15" t="s">
        <v>566</v>
      </c>
      <c r="AA23" s="18">
        <f>Y23/$D23</f>
        <v>2.0185185185185186</v>
      </c>
      <c r="AB23" s="18">
        <f>Z23/$D23</f>
        <v>1.5740740740740742</v>
      </c>
      <c r="AC23" s="19">
        <f>Z23/Y23</f>
        <v>0.77981651376146788</v>
      </c>
      <c r="AD23" s="15" t="s">
        <v>654</v>
      </c>
      <c r="AE23" s="18">
        <f>AD23/$D23</f>
        <v>4.1296296296296298</v>
      </c>
      <c r="AF23" s="15" t="s">
        <v>414</v>
      </c>
      <c r="AG23" s="18">
        <f>AF23/$D23</f>
        <v>1.1481481481481481</v>
      </c>
      <c r="AH23" s="15" t="s">
        <v>380</v>
      </c>
      <c r="AI23" s="18">
        <f>AH23/$D23</f>
        <v>2.9814814814814814</v>
      </c>
      <c r="AJ23" s="15" t="s">
        <v>613</v>
      </c>
      <c r="AK23" s="18">
        <f>AJ23/$D23</f>
        <v>1.4074074074074074</v>
      </c>
      <c r="AL23" s="15" t="s">
        <v>223</v>
      </c>
      <c r="AM23" s="18">
        <f>AL23/$D23</f>
        <v>0.92592592592592593</v>
      </c>
      <c r="AN23" s="15" t="s">
        <v>184</v>
      </c>
      <c r="AO23" s="18">
        <f>AN23/$D23</f>
        <v>7.407407407407407E-2</v>
      </c>
      <c r="AP23" s="15" t="s">
        <v>556</v>
      </c>
      <c r="AQ23" s="18">
        <f>AP23/$D23</f>
        <v>1.1666666666666667</v>
      </c>
      <c r="AR23" s="15" t="s">
        <v>510</v>
      </c>
      <c r="AS23" s="18">
        <f>AR23/$D23</f>
        <v>2.2962962962962963</v>
      </c>
      <c r="AT23" s="20">
        <v>0.83059579535811934</v>
      </c>
      <c r="AU23" s="20">
        <v>2.1973433739632786E-2</v>
      </c>
      <c r="AV23" s="20">
        <v>0.75063316527859314</v>
      </c>
      <c r="AW23" s="20">
        <v>7.9962630079526226E-2</v>
      </c>
      <c r="AX23" s="20">
        <v>103.15012873487244</v>
      </c>
      <c r="AY23" s="20">
        <v>113.55151133716774</v>
      </c>
      <c r="AZ23" s="20">
        <v>6.5833217479465596</v>
      </c>
      <c r="BA23" s="20">
        <v>9.0555555555555554</v>
      </c>
      <c r="BB23" s="20">
        <v>12.936507936507937</v>
      </c>
      <c r="BC23" s="21">
        <v>0.51810547227740655</v>
      </c>
      <c r="BD23" s="21">
        <v>0.47341772151898737</v>
      </c>
      <c r="BE23" s="20">
        <v>16.141999571214178</v>
      </c>
      <c r="BF23" s="21">
        <v>0.41772151898734178</v>
      </c>
      <c r="BG23" s="21">
        <v>0.27594936708860762</v>
      </c>
      <c r="BH23" s="20">
        <v>4.7062395627751634</v>
      </c>
      <c r="BI23" s="20">
        <v>12.221041445270989</v>
      </c>
      <c r="BJ23" s="20">
        <v>7.9069602524554128</v>
      </c>
      <c r="BK23" s="20">
        <v>8.025343189017951</v>
      </c>
      <c r="BL23" s="20">
        <v>1.8633359494330057</v>
      </c>
      <c r="BM23" s="20">
        <v>0.29349181891554771</v>
      </c>
      <c r="BN23" s="20">
        <v>12.451577199778638</v>
      </c>
      <c r="BO23" s="22" t="s">
        <v>263</v>
      </c>
      <c r="BP23" s="22">
        <v>40000</v>
      </c>
    </row>
    <row r="24" spans="1:68" x14ac:dyDescent="0.3">
      <c r="A24" s="16" t="s">
        <v>162</v>
      </c>
      <c r="B24" s="16" t="s">
        <v>286</v>
      </c>
      <c r="C24" s="4" t="s">
        <v>81</v>
      </c>
      <c r="D24" s="5">
        <v>52</v>
      </c>
      <c r="E24" s="7">
        <v>26</v>
      </c>
      <c r="F24" s="7">
        <v>39</v>
      </c>
      <c r="G24" s="14">
        <v>83148</v>
      </c>
      <c r="H24" s="5" t="s">
        <v>313</v>
      </c>
      <c r="I24" s="18">
        <f>H24/$D24</f>
        <v>7.4615384615384617</v>
      </c>
      <c r="J24" s="6" t="s">
        <v>501</v>
      </c>
      <c r="K24" s="6" t="s">
        <v>502</v>
      </c>
      <c r="L24" s="18">
        <f>J24/$D24</f>
        <v>6.5961538461538458</v>
      </c>
      <c r="M24" s="18">
        <f>K24/$D24</f>
        <v>2.5769230769230771</v>
      </c>
      <c r="N24" s="19">
        <f>K24/J24</f>
        <v>0.39067055393586003</v>
      </c>
      <c r="O24" s="14" t="s">
        <v>564</v>
      </c>
      <c r="P24" s="15" t="s">
        <v>215</v>
      </c>
      <c r="Q24" s="18">
        <f>O24/$D24</f>
        <v>2.4615384615384617</v>
      </c>
      <c r="R24" s="18">
        <f>P24/$D24</f>
        <v>1.0961538461538463</v>
      </c>
      <c r="S24" s="19">
        <f>P24/O24</f>
        <v>0.4453125</v>
      </c>
      <c r="T24" s="15" t="s">
        <v>362</v>
      </c>
      <c r="U24" s="15" t="s">
        <v>571</v>
      </c>
      <c r="V24" s="18">
        <f>T24/$D24</f>
        <v>4.134615384615385</v>
      </c>
      <c r="W24" s="18">
        <f>U24/$D24</f>
        <v>1.4807692307692308</v>
      </c>
      <c r="X24" s="19">
        <f>U24/T24</f>
        <v>0.35813953488372091</v>
      </c>
      <c r="Y24" s="15" t="s">
        <v>230</v>
      </c>
      <c r="Z24" s="15" t="s">
        <v>219</v>
      </c>
      <c r="AA24" s="18">
        <f>Y24/$D24</f>
        <v>1.0192307692307692</v>
      </c>
      <c r="AB24" s="18">
        <f>Z24/$D24</f>
        <v>0.82692307692307687</v>
      </c>
      <c r="AC24" s="19">
        <f>Z24/Y24</f>
        <v>0.81132075471698117</v>
      </c>
      <c r="AD24" s="15" t="s">
        <v>518</v>
      </c>
      <c r="AE24" s="18">
        <f>AD24/$D24</f>
        <v>2.0192307692307692</v>
      </c>
      <c r="AF24" s="15" t="s">
        <v>371</v>
      </c>
      <c r="AG24" s="18">
        <f>AF24/$D24</f>
        <v>0.69230769230769229</v>
      </c>
      <c r="AH24" s="15" t="s">
        <v>412</v>
      </c>
      <c r="AI24" s="18">
        <f>AH24/$D24</f>
        <v>1.3269230769230769</v>
      </c>
      <c r="AJ24" s="15" t="s">
        <v>367</v>
      </c>
      <c r="AK24" s="18">
        <f>AJ24/$D24</f>
        <v>3.6153846153846154</v>
      </c>
      <c r="AL24" s="15" t="s">
        <v>215</v>
      </c>
      <c r="AM24" s="18">
        <f>AL24/$D24</f>
        <v>1.0961538461538463</v>
      </c>
      <c r="AN24" s="15" t="s">
        <v>194</v>
      </c>
      <c r="AO24" s="18">
        <f>AN24/$D24</f>
        <v>3.8461538461538464E-2</v>
      </c>
      <c r="AP24" s="15" t="s">
        <v>571</v>
      </c>
      <c r="AQ24" s="18">
        <f>AP24/$D24</f>
        <v>1.4807692307692308</v>
      </c>
      <c r="AR24" s="15" t="s">
        <v>508</v>
      </c>
      <c r="AS24" s="18">
        <f>AR24/$D24</f>
        <v>2.7692307692307692</v>
      </c>
      <c r="AT24" s="20">
        <v>0.93663728363051313</v>
      </c>
      <c r="AU24" s="20">
        <v>2.703528023179429E-2</v>
      </c>
      <c r="AV24" s="20">
        <v>1.07070488144578</v>
      </c>
      <c r="AW24" s="20">
        <v>-0.13406759781526692</v>
      </c>
      <c r="AX24" s="20">
        <v>106.23492437507321</v>
      </c>
      <c r="AY24" s="20">
        <v>115.00723401741688</v>
      </c>
      <c r="AZ24" s="20">
        <v>6.4564505540658654</v>
      </c>
      <c r="BA24" s="20">
        <v>8.5384615384615383</v>
      </c>
      <c r="BB24" s="20">
        <v>12.815702121518257</v>
      </c>
      <c r="BC24" s="21">
        <v>0.52959161388949549</v>
      </c>
      <c r="BD24" s="21">
        <v>0.50291545189504372</v>
      </c>
      <c r="BE24" s="20">
        <v>14.860016446175377</v>
      </c>
      <c r="BF24" s="21">
        <v>0.62682215743440228</v>
      </c>
      <c r="BG24" s="21">
        <v>0.15451895043731778</v>
      </c>
      <c r="BH24" s="20">
        <v>2.8710824180096619</v>
      </c>
      <c r="BI24" s="20">
        <v>5.5029079678518524</v>
      </c>
      <c r="BJ24" s="20">
        <v>3.911603352244073</v>
      </c>
      <c r="BK24" s="20">
        <v>20.464255585489973</v>
      </c>
      <c r="BL24" s="20">
        <v>2.3176467811507311</v>
      </c>
      <c r="BM24" s="20">
        <v>0.15417956716013767</v>
      </c>
      <c r="BN24" s="20">
        <v>17.368943426869983</v>
      </c>
      <c r="BO24" s="22" t="s">
        <v>263</v>
      </c>
      <c r="BP24" s="22">
        <v>75000</v>
      </c>
    </row>
    <row r="25" spans="1:68" x14ac:dyDescent="0.3">
      <c r="A25" s="16" t="s">
        <v>162</v>
      </c>
      <c r="B25" s="16" t="s">
        <v>286</v>
      </c>
      <c r="C25" s="4" t="s">
        <v>102</v>
      </c>
      <c r="D25" s="5">
        <v>53</v>
      </c>
      <c r="E25" s="7">
        <v>20</v>
      </c>
      <c r="F25" s="7">
        <v>59</v>
      </c>
      <c r="G25" s="14">
        <v>66710</v>
      </c>
      <c r="H25" s="5" t="s">
        <v>314</v>
      </c>
      <c r="I25" s="18">
        <f>H25/$D25</f>
        <v>7.132075471698113</v>
      </c>
      <c r="J25" s="6" t="s">
        <v>503</v>
      </c>
      <c r="K25" s="6" t="s">
        <v>375</v>
      </c>
      <c r="L25" s="18">
        <f>J25/$D25</f>
        <v>6.6792452830188678</v>
      </c>
      <c r="M25" s="18">
        <f>K25/$D25</f>
        <v>3.2075471698113209</v>
      </c>
      <c r="N25" s="19">
        <f>K25/J25</f>
        <v>0.48022598870056499</v>
      </c>
      <c r="O25" s="14" t="s">
        <v>588</v>
      </c>
      <c r="P25" s="15" t="s">
        <v>375</v>
      </c>
      <c r="Q25" s="18">
        <f>O25/$D25</f>
        <v>6.5849056603773581</v>
      </c>
      <c r="R25" s="18">
        <f>P25/$D25</f>
        <v>3.2075471698113209</v>
      </c>
      <c r="S25" s="19">
        <f>P25/O25</f>
        <v>0.4871060171919771</v>
      </c>
      <c r="T25" s="15" t="s">
        <v>229</v>
      </c>
      <c r="U25" s="15" t="s">
        <v>192</v>
      </c>
      <c r="V25" s="18">
        <f>T25/$D25</f>
        <v>9.4339622641509441E-2</v>
      </c>
      <c r="W25" s="18">
        <f>U25/$D25</f>
        <v>0</v>
      </c>
      <c r="X25" s="19">
        <f>U25/T25</f>
        <v>0</v>
      </c>
      <c r="Y25" s="15" t="s">
        <v>232</v>
      </c>
      <c r="Z25" s="15" t="s">
        <v>206</v>
      </c>
      <c r="AA25" s="18">
        <f>Y25/$D25</f>
        <v>0.92452830188679247</v>
      </c>
      <c r="AB25" s="18">
        <f>Z25/$D25</f>
        <v>0.71698113207547165</v>
      </c>
      <c r="AC25" s="19">
        <f>Z25/Y25</f>
        <v>0.77551020408163263</v>
      </c>
      <c r="AD25" s="15" t="s">
        <v>540</v>
      </c>
      <c r="AE25" s="18">
        <f>AD25/$D25</f>
        <v>4.4528301886792452</v>
      </c>
      <c r="AF25" s="15" t="s">
        <v>613</v>
      </c>
      <c r="AG25" s="18">
        <f>AF25/$D25</f>
        <v>1.4339622641509433</v>
      </c>
      <c r="AH25" s="15" t="s">
        <v>549</v>
      </c>
      <c r="AI25" s="18">
        <f>AH25/$D25</f>
        <v>3.0188679245283021</v>
      </c>
      <c r="AJ25" s="15" t="s">
        <v>405</v>
      </c>
      <c r="AK25" s="18">
        <f>AJ25/$D25</f>
        <v>1.4716981132075471</v>
      </c>
      <c r="AL25" s="15" t="s">
        <v>175</v>
      </c>
      <c r="AM25" s="18">
        <f>AL25/$D25</f>
        <v>0.39622641509433965</v>
      </c>
      <c r="AN25" s="15" t="s">
        <v>175</v>
      </c>
      <c r="AO25" s="18">
        <f>AN25/$D25</f>
        <v>0.39622641509433965</v>
      </c>
      <c r="AP25" s="15" t="s">
        <v>554</v>
      </c>
      <c r="AQ25" s="18">
        <f>AP25/$D25</f>
        <v>1.1509433962264151</v>
      </c>
      <c r="AR25" s="15" t="s">
        <v>502</v>
      </c>
      <c r="AS25" s="18">
        <f>AR25/$D25</f>
        <v>2.5283018867924527</v>
      </c>
      <c r="AT25" s="20">
        <v>0.52662358763199146</v>
      </c>
      <c r="AU25" s="20">
        <v>1.8941307271670833E-2</v>
      </c>
      <c r="AV25" s="20">
        <v>0.36780259352681116</v>
      </c>
      <c r="AW25" s="20">
        <v>0.15882099410518033</v>
      </c>
      <c r="AX25" s="20">
        <v>100.47785685675031</v>
      </c>
      <c r="AY25" s="20">
        <v>112.67664938526832</v>
      </c>
      <c r="AZ25" s="20">
        <v>7.5082081332684023</v>
      </c>
      <c r="BA25" s="20">
        <v>9.0188679245283012</v>
      </c>
      <c r="BB25" s="20">
        <v>17.192440841038859</v>
      </c>
      <c r="BC25" s="21">
        <v>0.503248482266482</v>
      </c>
      <c r="BD25" s="21">
        <v>0.48022598870056499</v>
      </c>
      <c r="BE25" s="20">
        <v>18.585259950978553</v>
      </c>
      <c r="BF25" s="21">
        <v>1.4124293785310734E-2</v>
      </c>
      <c r="BG25" s="21">
        <v>0.1384180790960452</v>
      </c>
      <c r="BH25" s="20">
        <v>7.6980279711897932</v>
      </c>
      <c r="BI25" s="20">
        <v>16.206374676189036</v>
      </c>
      <c r="BJ25" s="20">
        <v>11.166067456531882</v>
      </c>
      <c r="BK25" s="20">
        <v>11.838959790541482</v>
      </c>
      <c r="BL25" s="20">
        <v>1.064000654602727</v>
      </c>
      <c r="BM25" s="20">
        <v>2.0560745375974037</v>
      </c>
      <c r="BN25" s="20">
        <v>13.972878871174638</v>
      </c>
      <c r="BO25" s="22" t="s">
        <v>263</v>
      </c>
      <c r="BP25" s="22">
        <v>250000</v>
      </c>
    </row>
    <row r="26" spans="1:68" x14ac:dyDescent="0.3">
      <c r="A26" s="16" t="s">
        <v>162</v>
      </c>
      <c r="B26" s="16" t="s">
        <v>286</v>
      </c>
      <c r="C26" s="9" t="s">
        <v>334</v>
      </c>
      <c r="D26" s="5">
        <v>20</v>
      </c>
      <c r="E26" s="7">
        <v>20</v>
      </c>
      <c r="F26" s="7">
        <v>4</v>
      </c>
      <c r="G26" s="14">
        <v>24085</v>
      </c>
      <c r="H26" s="5" t="s">
        <v>335</v>
      </c>
      <c r="I26" s="18">
        <v>9.0869565217391308</v>
      </c>
      <c r="J26" s="6" t="s">
        <v>471</v>
      </c>
      <c r="K26" s="6" t="s">
        <v>524</v>
      </c>
      <c r="L26" s="18">
        <v>7.9130434782608692</v>
      </c>
      <c r="M26" s="18">
        <v>3.6956521739130435</v>
      </c>
      <c r="N26" s="19">
        <f>K26/J26</f>
        <v>0.45934959349593496</v>
      </c>
      <c r="O26" s="14" t="s">
        <v>381</v>
      </c>
      <c r="P26" s="15" t="s">
        <v>539</v>
      </c>
      <c r="Q26" s="18">
        <v>4.5652173913043477</v>
      </c>
      <c r="R26" s="18">
        <v>2.652173913043478</v>
      </c>
      <c r="S26" s="19">
        <f>P26/O26</f>
        <v>0.5286624203821656</v>
      </c>
      <c r="T26" s="15" t="s">
        <v>541</v>
      </c>
      <c r="U26" s="15" t="s">
        <v>202</v>
      </c>
      <c r="V26" s="18">
        <v>3.347826086956522</v>
      </c>
      <c r="W26" s="18">
        <v>1.0434782608695652</v>
      </c>
      <c r="X26" s="19">
        <f>U26/T26</f>
        <v>0.33707865168539325</v>
      </c>
      <c r="Y26" s="15" t="s">
        <v>205</v>
      </c>
      <c r="Z26" s="15" t="s">
        <v>182</v>
      </c>
      <c r="AA26" s="18">
        <v>1.4347826086956521</v>
      </c>
      <c r="AB26" s="18">
        <v>0.65217391304347827</v>
      </c>
      <c r="AC26" s="19">
        <f>Z26/Y26</f>
        <v>0.48214285714285715</v>
      </c>
      <c r="AD26" s="15" t="s">
        <v>522</v>
      </c>
      <c r="AE26" s="18">
        <v>5.2608695652173916</v>
      </c>
      <c r="AF26" s="15" t="s">
        <v>171</v>
      </c>
      <c r="AG26" s="18">
        <v>2.0869565217391304</v>
      </c>
      <c r="AH26" s="15" t="s">
        <v>541</v>
      </c>
      <c r="AI26" s="18">
        <v>3.1739130434782608</v>
      </c>
      <c r="AJ26" s="15" t="s">
        <v>177</v>
      </c>
      <c r="AK26" s="18">
        <v>1.3913043478260869</v>
      </c>
      <c r="AL26" s="15" t="s">
        <v>203</v>
      </c>
      <c r="AM26" s="18">
        <v>0.39130434782608697</v>
      </c>
      <c r="AN26" s="15" t="s">
        <v>203</v>
      </c>
      <c r="AO26" s="18">
        <v>0.82608695652173914</v>
      </c>
      <c r="AP26" s="15" t="s">
        <v>245</v>
      </c>
      <c r="AQ26" s="18">
        <v>1.3043478260869565</v>
      </c>
      <c r="AR26" s="15" t="s">
        <v>219</v>
      </c>
      <c r="AS26" s="18">
        <v>2.6956521739130435</v>
      </c>
      <c r="AT26" s="20">
        <v>0.23481187285755734</v>
      </c>
      <c r="AU26" s="20">
        <v>2.340317669676651E-2</v>
      </c>
      <c r="AV26" s="20">
        <v>1.1949353578066337E-2</v>
      </c>
      <c r="AW26" s="20">
        <v>0.22286251927949099</v>
      </c>
      <c r="AX26" s="20">
        <v>97.333054182824213</v>
      </c>
      <c r="AY26" s="20">
        <v>108.66353310628647</v>
      </c>
      <c r="AZ26" s="20">
        <v>5.2510252154437067</v>
      </c>
      <c r="BA26" s="20">
        <v>12.5</v>
      </c>
      <c r="BB26" s="20">
        <v>24.916943521594686</v>
      </c>
      <c r="BC26" s="21">
        <v>0.52283476204552171</v>
      </c>
      <c r="BD26" s="21">
        <v>0.52032520325203258</v>
      </c>
      <c r="BE26" s="20">
        <v>13.60611487518795</v>
      </c>
      <c r="BF26" s="21">
        <v>0.36178861788617889</v>
      </c>
      <c r="BG26" s="21">
        <v>0.22764227642276422</v>
      </c>
      <c r="BH26" s="20">
        <v>3.2834229507733697</v>
      </c>
      <c r="BI26" s="20">
        <v>9.4266013748009652</v>
      </c>
      <c r="BJ26" s="20">
        <v>5.9370230282280705</v>
      </c>
      <c r="BK26" s="20">
        <v>3.825592231105007</v>
      </c>
      <c r="BL26" s="20">
        <v>1.2636017740806149</v>
      </c>
      <c r="BM26" s="20">
        <v>0.92142780357206844</v>
      </c>
      <c r="BN26" s="20">
        <v>11.451380709331239</v>
      </c>
      <c r="BO26" s="22" t="s">
        <v>267</v>
      </c>
      <c r="BP26" s="22">
        <v>420000</v>
      </c>
    </row>
    <row r="27" spans="1:68" x14ac:dyDescent="0.3">
      <c r="A27" s="16" t="s">
        <v>162</v>
      </c>
      <c r="B27" s="16" t="s">
        <v>286</v>
      </c>
      <c r="C27" s="4" t="s">
        <v>344</v>
      </c>
      <c r="D27" s="5">
        <v>21</v>
      </c>
      <c r="E27" s="5">
        <v>13</v>
      </c>
      <c r="F27" s="5">
        <v>33</v>
      </c>
      <c r="G27" s="14">
        <v>17065</v>
      </c>
      <c r="H27" s="5" t="s">
        <v>345</v>
      </c>
      <c r="I27" s="18">
        <f>H27/$D27</f>
        <v>11.476190476190476</v>
      </c>
      <c r="J27" s="6" t="s">
        <v>536</v>
      </c>
      <c r="K27" s="6" t="s">
        <v>399</v>
      </c>
      <c r="L27" s="18">
        <f>J27/$D27</f>
        <v>10.047619047619047</v>
      </c>
      <c r="M27" s="18">
        <f>K27/$D27</f>
        <v>4.0952380952380949</v>
      </c>
      <c r="N27" s="19">
        <f>K27/J27</f>
        <v>0.40758293838862558</v>
      </c>
      <c r="O27" s="14" t="s">
        <v>525</v>
      </c>
      <c r="P27" s="15" t="s">
        <v>224</v>
      </c>
      <c r="Q27" s="18">
        <f>O27/$D27</f>
        <v>5.2380952380952381</v>
      </c>
      <c r="R27" s="18">
        <f>P27/$D27</f>
        <v>2.6190476190476191</v>
      </c>
      <c r="S27" s="19">
        <f>P27/O27</f>
        <v>0.5</v>
      </c>
      <c r="T27" s="15" t="s">
        <v>635</v>
      </c>
      <c r="U27" s="15" t="s">
        <v>171</v>
      </c>
      <c r="V27" s="18">
        <f>T27/$D27</f>
        <v>4.8095238095238093</v>
      </c>
      <c r="W27" s="18">
        <f>U27/$D27</f>
        <v>1.4761904761904763</v>
      </c>
      <c r="X27" s="19">
        <f>U27/T27</f>
        <v>0.30693069306930693</v>
      </c>
      <c r="Y27" s="15" t="s">
        <v>190</v>
      </c>
      <c r="Z27" s="15" t="s">
        <v>206</v>
      </c>
      <c r="AA27" s="18">
        <f>Y27/$D27</f>
        <v>2.2380952380952381</v>
      </c>
      <c r="AB27" s="18">
        <f>Z27/$D27</f>
        <v>1.8095238095238095</v>
      </c>
      <c r="AC27" s="19">
        <f>Z27/Y27</f>
        <v>0.80851063829787229</v>
      </c>
      <c r="AD27" s="15" t="s">
        <v>539</v>
      </c>
      <c r="AE27" s="18">
        <f>AD27/$D27</f>
        <v>3.9523809523809526</v>
      </c>
      <c r="AF27" s="15" t="s">
        <v>185</v>
      </c>
      <c r="AG27" s="18">
        <f>AF27/$D27</f>
        <v>0.5714285714285714</v>
      </c>
      <c r="AH27" s="15" t="s">
        <v>409</v>
      </c>
      <c r="AI27" s="18">
        <f>AH27/$D27</f>
        <v>3.3809523809523809</v>
      </c>
      <c r="AJ27" s="15" t="s">
        <v>177</v>
      </c>
      <c r="AK27" s="18">
        <f>AJ27/$D27</f>
        <v>1.2380952380952381</v>
      </c>
      <c r="AL27" s="15" t="s">
        <v>184</v>
      </c>
      <c r="AM27" s="18">
        <f>AL27/$D27</f>
        <v>0.19047619047619047</v>
      </c>
      <c r="AN27" s="15" t="s">
        <v>189</v>
      </c>
      <c r="AO27" s="18">
        <f>AN27/$D27</f>
        <v>0.38095238095238093</v>
      </c>
      <c r="AP27" s="15" t="s">
        <v>174</v>
      </c>
      <c r="AQ27" s="18">
        <f>AP27/$D27</f>
        <v>1.1428571428571428</v>
      </c>
      <c r="AR27" s="15" t="s">
        <v>240</v>
      </c>
      <c r="AS27" s="18">
        <f>AR27/$D27</f>
        <v>2.1904761904761907</v>
      </c>
      <c r="AT27" s="20">
        <v>0.38673000713061539</v>
      </c>
      <c r="AU27" s="20">
        <v>5.4363733211121479E-2</v>
      </c>
      <c r="AV27" s="20">
        <v>0.2097773082957908</v>
      </c>
      <c r="AW27" s="20">
        <v>0.17695269883482459</v>
      </c>
      <c r="AX27" s="20">
        <v>100.69881260041358</v>
      </c>
      <c r="AY27" s="20">
        <v>108.01594762213779</v>
      </c>
      <c r="AZ27" s="20">
        <v>5.764803697343857</v>
      </c>
      <c r="BA27" s="20">
        <v>9.7142857142857135</v>
      </c>
      <c r="BB27" s="20">
        <v>28.6768581971534</v>
      </c>
      <c r="BC27" s="21">
        <v>0.52011395027624308</v>
      </c>
      <c r="BD27" s="21">
        <v>0.48104265402843605</v>
      </c>
      <c r="BE27" s="20">
        <v>16.856082231943592</v>
      </c>
      <c r="BF27" s="21">
        <v>0.47867298578199052</v>
      </c>
      <c r="BG27" s="21">
        <v>0.22274881516587677</v>
      </c>
      <c r="BH27" s="20">
        <v>1.8822717451404056</v>
      </c>
      <c r="BI27" s="20">
        <v>11.136774492080734</v>
      </c>
      <c r="BJ27" s="20">
        <v>6.0813713125962234</v>
      </c>
      <c r="BK27" s="20">
        <v>5.7877455618008788</v>
      </c>
      <c r="BL27" s="20">
        <v>0.79208967296930721</v>
      </c>
      <c r="BM27" s="20">
        <v>1.2129551187653633</v>
      </c>
      <c r="BN27" s="20">
        <v>9.386733416770964</v>
      </c>
      <c r="BO27" s="22" t="s">
        <v>267</v>
      </c>
      <c r="BP27" s="22"/>
    </row>
    <row r="28" spans="1:68" x14ac:dyDescent="0.3">
      <c r="A28" s="16" t="s">
        <v>162</v>
      </c>
      <c r="B28" s="16" t="s">
        <v>286</v>
      </c>
      <c r="C28" s="4" t="s">
        <v>376</v>
      </c>
      <c r="D28" s="10">
        <v>35</v>
      </c>
      <c r="E28" s="11">
        <v>15</v>
      </c>
      <c r="F28" s="11">
        <v>17</v>
      </c>
      <c r="G28" s="14">
        <v>32093</v>
      </c>
      <c r="H28" s="5" t="s">
        <v>377</v>
      </c>
      <c r="I28" s="18">
        <f>H28/$D28</f>
        <v>4.8285714285714283</v>
      </c>
      <c r="J28" s="6" t="s">
        <v>555</v>
      </c>
      <c r="K28" s="6" t="s">
        <v>556</v>
      </c>
      <c r="L28" s="18">
        <f>J28/$D28</f>
        <v>5.0857142857142854</v>
      </c>
      <c r="M28" s="18">
        <f>K28/$D28</f>
        <v>1.8</v>
      </c>
      <c r="N28" s="19">
        <f>K28/J28</f>
        <v>0.3539325842696629</v>
      </c>
      <c r="O28" s="14" t="s">
        <v>516</v>
      </c>
      <c r="P28" s="15" t="s">
        <v>190</v>
      </c>
      <c r="Q28" s="18">
        <f>O28/$D28</f>
        <v>3.2571428571428571</v>
      </c>
      <c r="R28" s="18">
        <f>P28/$D28</f>
        <v>1.3428571428571427</v>
      </c>
      <c r="S28" s="19">
        <f>P28/O28</f>
        <v>0.41228070175438597</v>
      </c>
      <c r="T28" s="15" t="s">
        <v>572</v>
      </c>
      <c r="U28" s="15" t="s">
        <v>183</v>
      </c>
      <c r="V28" s="18">
        <f>T28/$D28</f>
        <v>1.8285714285714285</v>
      </c>
      <c r="W28" s="18">
        <f>U28/$D28</f>
        <v>0.45714285714285713</v>
      </c>
      <c r="X28" s="19">
        <f>U28/T28</f>
        <v>0.25</v>
      </c>
      <c r="Y28" s="15" t="s">
        <v>199</v>
      </c>
      <c r="Z28" s="15" t="s">
        <v>182</v>
      </c>
      <c r="AA28" s="18">
        <f>Y28/$D28</f>
        <v>0.94285714285714284</v>
      </c>
      <c r="AB28" s="18">
        <f>Z28/$D28</f>
        <v>0.77142857142857146</v>
      </c>
      <c r="AC28" s="19">
        <f>Z28/Y28</f>
        <v>0.81818181818181823</v>
      </c>
      <c r="AD28" s="15" t="s">
        <v>301</v>
      </c>
      <c r="AE28" s="18">
        <f>AD28/$D28</f>
        <v>1.1428571428571428</v>
      </c>
      <c r="AF28" s="15" t="s">
        <v>173</v>
      </c>
      <c r="AG28" s="18">
        <f>AF28/$D28</f>
        <v>0.48571428571428571</v>
      </c>
      <c r="AH28" s="15" t="s">
        <v>200</v>
      </c>
      <c r="AI28" s="18">
        <f>AH28/$D28</f>
        <v>0.65714285714285714</v>
      </c>
      <c r="AJ28" s="15" t="s">
        <v>217</v>
      </c>
      <c r="AK28" s="18">
        <f>AJ28/$D28</f>
        <v>1.6571428571428573</v>
      </c>
      <c r="AL28" s="15" t="s">
        <v>187</v>
      </c>
      <c r="AM28" s="18">
        <f>AL28/$D28</f>
        <v>0.2</v>
      </c>
      <c r="AN28" s="15" t="s">
        <v>231</v>
      </c>
      <c r="AO28" s="18">
        <f>AN28/$D28</f>
        <v>2.8571428571428571E-2</v>
      </c>
      <c r="AP28" s="15" t="s">
        <v>219</v>
      </c>
      <c r="AQ28" s="18">
        <f>AP28/$D28</f>
        <v>1.2285714285714286</v>
      </c>
      <c r="AR28" s="15" t="s">
        <v>402</v>
      </c>
      <c r="AS28" s="18">
        <f>AR28/$D28</f>
        <v>2.342857142857143</v>
      </c>
      <c r="AT28" s="20">
        <v>-0.85617516062139876</v>
      </c>
      <c r="AU28" s="20">
        <v>-6.402306856181203E-2</v>
      </c>
      <c r="AV28" s="20">
        <v>-0.60259903517205726</v>
      </c>
      <c r="AW28" s="20">
        <v>-0.25357612544934144</v>
      </c>
      <c r="AX28" s="20">
        <v>87.164217505937287</v>
      </c>
      <c r="AY28" s="20">
        <v>118.67797626920574</v>
      </c>
      <c r="AZ28" s="20">
        <v>1.1174422435961084</v>
      </c>
      <c r="BA28" s="20">
        <v>3.1714285714285713</v>
      </c>
      <c r="BB28" s="20">
        <v>8.3003583112634374</v>
      </c>
      <c r="BC28" s="21">
        <v>0.43891543735715766</v>
      </c>
      <c r="BD28" s="21">
        <v>0.398876404494382</v>
      </c>
      <c r="BE28" s="20">
        <v>13.766035533735085</v>
      </c>
      <c r="BF28" s="21">
        <v>0.3595505617977528</v>
      </c>
      <c r="BG28" s="21">
        <v>0.1853932584269663</v>
      </c>
      <c r="BH28" s="20">
        <v>2.3641292066144626</v>
      </c>
      <c r="BI28" s="20">
        <v>3.1985277501254497</v>
      </c>
      <c r="BJ28" s="20">
        <v>2.5983917579013438</v>
      </c>
      <c r="BK28" s="20">
        <v>10.727000909329101</v>
      </c>
      <c r="BL28" s="20">
        <v>0.73736897418783987</v>
      </c>
      <c r="BM28" s="20">
        <v>0.13442373385444933</v>
      </c>
      <c r="BN28" s="20">
        <v>18.257472826086957</v>
      </c>
      <c r="BO28" s="22" t="s">
        <v>263</v>
      </c>
      <c r="BP28" s="22"/>
    </row>
    <row r="29" spans="1:68" x14ac:dyDescent="0.3">
      <c r="A29" s="16" t="s">
        <v>162</v>
      </c>
      <c r="B29" s="16" t="s">
        <v>286</v>
      </c>
      <c r="C29" s="9" t="s">
        <v>103</v>
      </c>
      <c r="D29" s="10">
        <v>37</v>
      </c>
      <c r="E29" s="11">
        <v>13</v>
      </c>
      <c r="F29" s="11">
        <v>59</v>
      </c>
      <c r="G29" s="14">
        <v>31033</v>
      </c>
      <c r="H29" s="5" t="s">
        <v>384</v>
      </c>
      <c r="I29" s="18">
        <v>4.4705882352941178</v>
      </c>
      <c r="J29" s="6" t="s">
        <v>491</v>
      </c>
      <c r="K29" s="6" t="s">
        <v>232</v>
      </c>
      <c r="L29" s="18">
        <v>5.0588235294117645</v>
      </c>
      <c r="M29" s="18">
        <v>1.6470588235294117</v>
      </c>
      <c r="N29" s="19">
        <f>K29/J29</f>
        <v>0.3081761006289308</v>
      </c>
      <c r="O29" s="14" t="s">
        <v>553</v>
      </c>
      <c r="P29" s="15" t="s">
        <v>175</v>
      </c>
      <c r="Q29" s="18">
        <v>2.2941176470588234</v>
      </c>
      <c r="R29" s="18">
        <v>0.94117647058823528</v>
      </c>
      <c r="S29" s="19">
        <f>P29/O29</f>
        <v>0.35</v>
      </c>
      <c r="T29" s="15" t="s">
        <v>392</v>
      </c>
      <c r="U29" s="15" t="s">
        <v>170</v>
      </c>
      <c r="V29" s="18">
        <v>2.7647058823529411</v>
      </c>
      <c r="W29" s="18">
        <v>0.70588235294117652</v>
      </c>
      <c r="X29" s="19">
        <f>U29/T29</f>
        <v>0.28282828282828282</v>
      </c>
      <c r="Y29" s="15" t="s">
        <v>187</v>
      </c>
      <c r="Z29" s="15" t="s">
        <v>187</v>
      </c>
      <c r="AA29" s="18">
        <v>0.58823529411764708</v>
      </c>
      <c r="AB29" s="18">
        <v>0.47058823529411764</v>
      </c>
      <c r="AC29" s="19">
        <f>Z29/Y29</f>
        <v>1</v>
      </c>
      <c r="AD29" s="15" t="s">
        <v>409</v>
      </c>
      <c r="AE29" s="18">
        <v>1</v>
      </c>
      <c r="AF29" s="15" t="s">
        <v>175</v>
      </c>
      <c r="AG29" s="18">
        <v>0.26470588235294118</v>
      </c>
      <c r="AH29" s="15" t="s">
        <v>223</v>
      </c>
      <c r="AI29" s="18">
        <v>0.73529411764705888</v>
      </c>
      <c r="AJ29" s="15" t="s">
        <v>175</v>
      </c>
      <c r="AK29" s="18">
        <v>1.7941176470588236</v>
      </c>
      <c r="AL29" s="15" t="s">
        <v>175</v>
      </c>
      <c r="AM29" s="18">
        <v>0.6470588235294118</v>
      </c>
      <c r="AN29" s="15" t="s">
        <v>194</v>
      </c>
      <c r="AO29" s="18">
        <v>2.9411764705882353E-2</v>
      </c>
      <c r="AP29" s="15" t="s">
        <v>173</v>
      </c>
      <c r="AQ29" s="18">
        <v>0.8529411764705882</v>
      </c>
      <c r="AR29" s="15" t="s">
        <v>186</v>
      </c>
      <c r="AS29" s="18">
        <v>1.4411764705882353</v>
      </c>
      <c r="AT29" s="20">
        <v>-0.34992926997709511</v>
      </c>
      <c r="AU29" s="20">
        <v>-2.7053772120768878E-2</v>
      </c>
      <c r="AV29" s="20">
        <v>-0.40762431849212716</v>
      </c>
      <c r="AW29" s="20">
        <v>5.7695048515032044E-2</v>
      </c>
      <c r="AX29" s="20">
        <v>87.732989413275376</v>
      </c>
      <c r="AY29" s="20">
        <v>112.98112891790515</v>
      </c>
      <c r="AZ29" s="20">
        <v>3.0666018786466802</v>
      </c>
      <c r="BA29" s="20">
        <v>3.2702702702702702</v>
      </c>
      <c r="BB29" s="20">
        <v>9.3547659697838483</v>
      </c>
      <c r="BC29" s="21">
        <v>0.41029121421520232</v>
      </c>
      <c r="BD29" s="21">
        <v>0.39622641509433965</v>
      </c>
      <c r="BE29" s="20">
        <v>11.440251029652405</v>
      </c>
      <c r="BF29" s="21">
        <v>0.62264150943396224</v>
      </c>
      <c r="BG29" s="21">
        <v>4.40251572327044E-2</v>
      </c>
      <c r="BH29" s="20">
        <v>3.1918976464821363</v>
      </c>
      <c r="BI29" s="20">
        <v>7.5997563011479432</v>
      </c>
      <c r="BJ29" s="20">
        <v>5.0409264654851844</v>
      </c>
      <c r="BK29" s="20">
        <v>4.1721163556894751</v>
      </c>
      <c r="BL29" s="20">
        <v>2.2870718577352749</v>
      </c>
      <c r="BM29" s="20">
        <v>0.29384163038028621</v>
      </c>
      <c r="BN29" s="20">
        <v>9.4929640384185827</v>
      </c>
      <c r="BO29" s="22" t="s">
        <v>263</v>
      </c>
      <c r="BP29" s="22">
        <v>400000</v>
      </c>
    </row>
    <row r="30" spans="1:68" x14ac:dyDescent="0.3">
      <c r="A30" s="16" t="s">
        <v>162</v>
      </c>
      <c r="B30" s="16" t="s">
        <v>286</v>
      </c>
      <c r="C30" s="4" t="s">
        <v>393</v>
      </c>
      <c r="D30" s="5">
        <v>30</v>
      </c>
      <c r="E30" s="5">
        <v>13</v>
      </c>
      <c r="F30" s="5">
        <v>38</v>
      </c>
      <c r="G30" s="14">
        <v>24536</v>
      </c>
      <c r="H30" s="5" t="s">
        <v>394</v>
      </c>
      <c r="I30" s="18">
        <f>H30/$D30</f>
        <v>3.2666666666666666</v>
      </c>
      <c r="J30" s="6" t="s">
        <v>541</v>
      </c>
      <c r="K30" s="6" t="s">
        <v>235</v>
      </c>
      <c r="L30" s="18">
        <f>J30/$D30</f>
        <v>2.9666666666666668</v>
      </c>
      <c r="M30" s="18">
        <f>K30/$D30</f>
        <v>1.2333333333333334</v>
      </c>
      <c r="N30" s="19">
        <f>K30/J30</f>
        <v>0.4157303370786517</v>
      </c>
      <c r="O30" s="14" t="s">
        <v>371</v>
      </c>
      <c r="P30" s="15" t="s">
        <v>204</v>
      </c>
      <c r="Q30" s="18">
        <f>O30/$D30</f>
        <v>1.2</v>
      </c>
      <c r="R30" s="18">
        <f>P30/$D30</f>
        <v>0.73333333333333328</v>
      </c>
      <c r="S30" s="19">
        <f>P30/O30</f>
        <v>0.61111111111111116</v>
      </c>
      <c r="T30" s="15" t="s">
        <v>230</v>
      </c>
      <c r="U30" s="15" t="s">
        <v>181</v>
      </c>
      <c r="V30" s="18">
        <f>T30/$D30</f>
        <v>1.7666666666666666</v>
      </c>
      <c r="W30" s="18">
        <f>U30/$D30</f>
        <v>0.5</v>
      </c>
      <c r="X30" s="19">
        <f>U30/T30</f>
        <v>0.28301886792452829</v>
      </c>
      <c r="Y30" s="15" t="s">
        <v>176</v>
      </c>
      <c r="Z30" s="15" t="s">
        <v>203</v>
      </c>
      <c r="AA30" s="18">
        <f>Y30/$D30</f>
        <v>0.33333333333333331</v>
      </c>
      <c r="AB30" s="18">
        <f>Z30/$D30</f>
        <v>0.3</v>
      </c>
      <c r="AC30" s="19">
        <f>Z30/Y30</f>
        <v>0.9</v>
      </c>
      <c r="AD30" s="15" t="s">
        <v>610</v>
      </c>
      <c r="AE30" s="18">
        <f>AD30/$D30</f>
        <v>2.1666666666666665</v>
      </c>
      <c r="AF30" s="15" t="s">
        <v>173</v>
      </c>
      <c r="AG30" s="18">
        <f>AF30/$D30</f>
        <v>0.56666666666666665</v>
      </c>
      <c r="AH30" s="15" t="s">
        <v>218</v>
      </c>
      <c r="AI30" s="18">
        <f>AH30/$D30</f>
        <v>1.6</v>
      </c>
      <c r="AJ30" s="15" t="s">
        <v>178</v>
      </c>
      <c r="AK30" s="18">
        <f>AJ30/$D30</f>
        <v>0.46666666666666667</v>
      </c>
      <c r="AL30" s="15" t="s">
        <v>185</v>
      </c>
      <c r="AM30" s="18">
        <f>AL30/$D30</f>
        <v>0.4</v>
      </c>
      <c r="AN30" s="15" t="s">
        <v>184</v>
      </c>
      <c r="AO30" s="18">
        <f>AN30/$D30</f>
        <v>0.13333333333333333</v>
      </c>
      <c r="AP30" s="15" t="s">
        <v>178</v>
      </c>
      <c r="AQ30" s="18">
        <f>AP30/$D30</f>
        <v>0.46666666666666667</v>
      </c>
      <c r="AR30" s="15" t="s">
        <v>247</v>
      </c>
      <c r="AS30" s="18">
        <f>AR30/$D30</f>
        <v>1.5</v>
      </c>
      <c r="AT30" s="20">
        <v>0.18634483202971536</v>
      </c>
      <c r="AU30" s="20">
        <v>1.822443345033891E-2</v>
      </c>
      <c r="AV30" s="20">
        <v>0.14392971254539158</v>
      </c>
      <c r="AW30" s="20">
        <v>4.2415119484323777E-2</v>
      </c>
      <c r="AX30" s="20">
        <v>102.58266450810881</v>
      </c>
      <c r="AY30" s="20">
        <v>113.05709881850484</v>
      </c>
      <c r="AZ30" s="20">
        <v>2.8948094421494073</v>
      </c>
      <c r="BA30" s="20">
        <v>4.2</v>
      </c>
      <c r="BB30" s="20">
        <v>12.322738386308068</v>
      </c>
      <c r="BC30" s="21">
        <v>0.52462526766595285</v>
      </c>
      <c r="BD30" s="21">
        <v>0.5</v>
      </c>
      <c r="BE30" s="20">
        <v>7.0372245151566339</v>
      </c>
      <c r="BF30" s="21">
        <v>0.5955056179775281</v>
      </c>
      <c r="BG30" s="21">
        <v>0.11235955056179775</v>
      </c>
      <c r="BH30" s="20">
        <v>2.65025242355191</v>
      </c>
      <c r="BI30" s="20">
        <v>7.4830656664995097</v>
      </c>
      <c r="BJ30" s="20">
        <v>4.7334089465070175</v>
      </c>
      <c r="BK30" s="20">
        <v>2.7915323518660067</v>
      </c>
      <c r="BL30" s="20">
        <v>1.6532209030079439</v>
      </c>
      <c r="BM30" s="20">
        <v>0.6027704838363328</v>
      </c>
      <c r="BN30" s="20">
        <v>13.035381750465548</v>
      </c>
      <c r="BO30" s="22" t="s">
        <v>263</v>
      </c>
      <c r="BP30" s="22">
        <v>120000</v>
      </c>
    </row>
    <row r="31" spans="1:68" x14ac:dyDescent="0.3">
      <c r="A31" s="16" t="s">
        <v>162</v>
      </c>
      <c r="B31" s="16" t="s">
        <v>286</v>
      </c>
      <c r="C31" s="4" t="s">
        <v>244</v>
      </c>
      <c r="D31" s="5">
        <v>51</v>
      </c>
      <c r="E31" s="5">
        <v>9</v>
      </c>
      <c r="F31" s="5">
        <v>10</v>
      </c>
      <c r="G31" s="14">
        <v>28061</v>
      </c>
      <c r="H31" s="5" t="s">
        <v>399</v>
      </c>
      <c r="I31" s="18">
        <f>H31/$D31</f>
        <v>1.6862745098039216</v>
      </c>
      <c r="J31" s="6" t="s">
        <v>570</v>
      </c>
      <c r="K31" s="6" t="s">
        <v>170</v>
      </c>
      <c r="L31" s="18">
        <f>J31/$D31</f>
        <v>2.3333333333333335</v>
      </c>
      <c r="M31" s="18">
        <f>K31/$D31</f>
        <v>0.5490196078431373</v>
      </c>
      <c r="N31" s="19">
        <f>K31/J31</f>
        <v>0.23529411764705882</v>
      </c>
      <c r="O31" s="14" t="s">
        <v>208</v>
      </c>
      <c r="P31" s="15" t="s">
        <v>226</v>
      </c>
      <c r="Q31" s="18">
        <f>O31/$D31</f>
        <v>0.39215686274509803</v>
      </c>
      <c r="R31" s="18">
        <f>P31/$D31</f>
        <v>0.11764705882352941</v>
      </c>
      <c r="S31" s="19">
        <f>P31/O31</f>
        <v>0.3</v>
      </c>
      <c r="T31" s="15" t="s">
        <v>392</v>
      </c>
      <c r="U31" s="15" t="s">
        <v>204</v>
      </c>
      <c r="V31" s="18">
        <f>T31/$D31</f>
        <v>1.9411764705882353</v>
      </c>
      <c r="W31" s="18">
        <f>U31/$D31</f>
        <v>0.43137254901960786</v>
      </c>
      <c r="X31" s="19">
        <f>U31/T31</f>
        <v>0.22222222222222221</v>
      </c>
      <c r="Y31" s="15" t="s">
        <v>203</v>
      </c>
      <c r="Z31" s="15" t="s">
        <v>189</v>
      </c>
      <c r="AA31" s="18">
        <f>Y31/$D31</f>
        <v>0.17647058823529413</v>
      </c>
      <c r="AB31" s="18">
        <f>Z31/$D31</f>
        <v>0.15686274509803921</v>
      </c>
      <c r="AC31" s="19">
        <f>Z31/Y31</f>
        <v>0.88888888888888884</v>
      </c>
      <c r="AD31" s="15" t="s">
        <v>413</v>
      </c>
      <c r="AE31" s="18">
        <f>AD31/$D31</f>
        <v>1.2941176470588236</v>
      </c>
      <c r="AF31" s="15" t="s">
        <v>182</v>
      </c>
      <c r="AG31" s="18">
        <f>AF31/$D31</f>
        <v>0.52941176470588236</v>
      </c>
      <c r="AH31" s="15" t="s">
        <v>186</v>
      </c>
      <c r="AI31" s="18">
        <f>AH31/$D31</f>
        <v>0.76470588235294112</v>
      </c>
      <c r="AJ31" s="15" t="s">
        <v>226</v>
      </c>
      <c r="AK31" s="18">
        <f>AJ31/$D31</f>
        <v>0.11764705882352941</v>
      </c>
      <c r="AL31" s="15" t="s">
        <v>229</v>
      </c>
      <c r="AM31" s="18">
        <f>AL31/$D31</f>
        <v>9.8039215686274508E-2</v>
      </c>
      <c r="AN31" s="15" t="s">
        <v>194</v>
      </c>
      <c r="AO31" s="18">
        <f>AN31/$D31</f>
        <v>3.9215686274509803E-2</v>
      </c>
      <c r="AP31" s="15" t="s">
        <v>226</v>
      </c>
      <c r="AQ31" s="18">
        <f>AP31/$D31</f>
        <v>0.11764705882352941</v>
      </c>
      <c r="AR31" s="15" t="s">
        <v>232</v>
      </c>
      <c r="AS31" s="18">
        <f>AR31/$D31</f>
        <v>0.96078431372549022</v>
      </c>
      <c r="AT31" s="20">
        <v>-0.54910479439052229</v>
      </c>
      <c r="AU31" s="20">
        <v>-4.6982228397050033E-2</v>
      </c>
      <c r="AV31" s="20">
        <v>-0.39699699683831968</v>
      </c>
      <c r="AW31" s="20">
        <v>-0.15210779755220258</v>
      </c>
      <c r="AX31" s="20">
        <v>84.350318955233178</v>
      </c>
      <c r="AY31" s="20">
        <v>117.2314525603025</v>
      </c>
      <c r="AZ31" s="20">
        <v>1.0604109587581192</v>
      </c>
      <c r="BA31" s="20">
        <v>1.3137254901960784</v>
      </c>
      <c r="BB31" s="20">
        <v>5.7326203208556148</v>
      </c>
      <c r="BC31" s="21">
        <v>0.34970722186076775</v>
      </c>
      <c r="BD31" s="21">
        <v>0.32773109243697479</v>
      </c>
      <c r="BE31" s="20">
        <v>12.567322622350133</v>
      </c>
      <c r="BF31" s="21">
        <v>0.83193277310924374</v>
      </c>
      <c r="BG31" s="21">
        <v>7.5630252100840331E-2</v>
      </c>
      <c r="BH31" s="20">
        <v>6.2602647087237955</v>
      </c>
      <c r="BI31" s="20">
        <v>9.042604579267703</v>
      </c>
      <c r="BJ31" s="20">
        <v>7.1481757259865972</v>
      </c>
      <c r="BK31" s="20">
        <v>1.7959590920429036</v>
      </c>
      <c r="BL31" s="20">
        <v>0.60264469637277096</v>
      </c>
      <c r="BM31" s="20">
        <v>0.44824205070738193</v>
      </c>
      <c r="BN31" s="20">
        <v>4.6526054590570727</v>
      </c>
      <c r="BO31" s="22" t="s">
        <v>263</v>
      </c>
      <c r="BP31" s="22">
        <v>75000</v>
      </c>
    </row>
    <row r="32" spans="1:68" x14ac:dyDescent="0.3">
      <c r="A32" s="16" t="s">
        <v>162</v>
      </c>
      <c r="B32" s="16" t="s">
        <v>286</v>
      </c>
      <c r="C32" s="4" t="s">
        <v>150</v>
      </c>
      <c r="D32" s="5">
        <v>41</v>
      </c>
      <c r="E32" s="5">
        <v>9</v>
      </c>
      <c r="F32" s="5">
        <v>21</v>
      </c>
      <c r="G32" s="14">
        <v>23021</v>
      </c>
      <c r="H32" s="5" t="s">
        <v>413</v>
      </c>
      <c r="I32" s="18">
        <f>H32/$D32</f>
        <v>1.6097560975609757</v>
      </c>
      <c r="J32" s="6" t="s">
        <v>541</v>
      </c>
      <c r="K32" s="6" t="s">
        <v>175</v>
      </c>
      <c r="L32" s="18">
        <f>J32/$D32</f>
        <v>2.1707317073170733</v>
      </c>
      <c r="M32" s="18">
        <f>K32/$D32</f>
        <v>0.51219512195121952</v>
      </c>
      <c r="N32" s="19">
        <f>K32/J32</f>
        <v>0.23595505617977527</v>
      </c>
      <c r="O32" s="14" t="s">
        <v>301</v>
      </c>
      <c r="P32" s="15" t="s">
        <v>185</v>
      </c>
      <c r="Q32" s="18">
        <f>O32/$D32</f>
        <v>0.97560975609756095</v>
      </c>
      <c r="R32" s="18">
        <f>P32/$D32</f>
        <v>0.29268292682926828</v>
      </c>
      <c r="S32" s="19">
        <f>P32/O32</f>
        <v>0.3</v>
      </c>
      <c r="T32" s="15" t="s">
        <v>232</v>
      </c>
      <c r="U32" s="15" t="s">
        <v>203</v>
      </c>
      <c r="V32" s="18">
        <f>T32/$D32</f>
        <v>1.1951219512195121</v>
      </c>
      <c r="W32" s="18">
        <f>U32/$D32</f>
        <v>0.21951219512195122</v>
      </c>
      <c r="X32" s="19">
        <f>U32/T32</f>
        <v>0.18367346938775511</v>
      </c>
      <c r="Y32" s="15" t="s">
        <v>180</v>
      </c>
      <c r="Z32" s="15" t="s">
        <v>181</v>
      </c>
      <c r="AA32" s="18">
        <f>Y32/$D32</f>
        <v>0.43902439024390244</v>
      </c>
      <c r="AB32" s="18">
        <f>Z32/$D32</f>
        <v>0.36585365853658536</v>
      </c>
      <c r="AC32" s="19">
        <f>Z32/Y32</f>
        <v>0.83333333333333337</v>
      </c>
      <c r="AD32" s="15" t="s">
        <v>209</v>
      </c>
      <c r="AE32" s="18">
        <f>AD32/$D32</f>
        <v>1.2682926829268293</v>
      </c>
      <c r="AF32" s="15" t="s">
        <v>200</v>
      </c>
      <c r="AG32" s="18">
        <f>AF32/$D32</f>
        <v>0.56097560975609762</v>
      </c>
      <c r="AH32" s="15" t="s">
        <v>172</v>
      </c>
      <c r="AI32" s="18">
        <f>AH32/$D32</f>
        <v>0.70731707317073167</v>
      </c>
      <c r="AJ32" s="15" t="s">
        <v>174</v>
      </c>
      <c r="AK32" s="18">
        <f>AJ32/$D32</f>
        <v>0.58536585365853655</v>
      </c>
      <c r="AL32" s="15" t="s">
        <v>187</v>
      </c>
      <c r="AM32" s="18">
        <f>AL32/$D32</f>
        <v>0.17073170731707318</v>
      </c>
      <c r="AN32" s="15" t="s">
        <v>192</v>
      </c>
      <c r="AO32" s="18">
        <f>AN32/$D32</f>
        <v>0</v>
      </c>
      <c r="AP32" s="15" t="s">
        <v>229</v>
      </c>
      <c r="AQ32" s="18">
        <f>AP32/$D32</f>
        <v>0.12195121951219512</v>
      </c>
      <c r="AR32" s="15" t="s">
        <v>209</v>
      </c>
      <c r="AS32" s="18">
        <f>AR32/$D32</f>
        <v>1.2682926829268293</v>
      </c>
      <c r="AT32" s="20">
        <v>-0.25262040603774516</v>
      </c>
      <c r="AU32" s="20">
        <v>-2.635924414114988E-2</v>
      </c>
      <c r="AV32" s="20">
        <v>-0.14664535396891959</v>
      </c>
      <c r="AW32" s="20">
        <v>-0.1059750520688256</v>
      </c>
      <c r="AX32" s="20">
        <v>91.564010577725483</v>
      </c>
      <c r="AY32" s="20">
        <v>116.75551980284641</v>
      </c>
      <c r="AZ32" s="20">
        <v>1.2564256632791113</v>
      </c>
      <c r="BA32" s="20">
        <v>1.7804878048780488</v>
      </c>
      <c r="BB32" s="20">
        <v>7.6170601278205288</v>
      </c>
      <c r="BC32" s="21">
        <v>0.34048699958728845</v>
      </c>
      <c r="BD32" s="21">
        <v>0.28651685393258425</v>
      </c>
      <c r="BE32" s="20">
        <v>9.7374890653883082</v>
      </c>
      <c r="BF32" s="21">
        <v>0.550561797752809</v>
      </c>
      <c r="BG32" s="21">
        <v>0.20224719101123595</v>
      </c>
      <c r="BH32" s="20">
        <v>5.2282530247148618</v>
      </c>
      <c r="BI32" s="20">
        <v>6.5921451181187374</v>
      </c>
      <c r="BJ32" s="20">
        <v>5.521466692681269</v>
      </c>
      <c r="BK32" s="20">
        <v>6.8901169884446984</v>
      </c>
      <c r="BL32" s="20">
        <v>1.0289055791730239</v>
      </c>
      <c r="BM32" s="20">
        <v>0</v>
      </c>
      <c r="BN32" s="20">
        <v>4.9058084772370485</v>
      </c>
      <c r="BO32" s="22" t="s">
        <v>263</v>
      </c>
      <c r="BP32" s="22">
        <v>360000</v>
      </c>
    </row>
    <row r="33" spans="1:68" x14ac:dyDescent="0.3">
      <c r="A33" s="16" t="s">
        <v>162</v>
      </c>
      <c r="B33" s="16" t="s">
        <v>286</v>
      </c>
      <c r="C33" s="4" t="s">
        <v>105</v>
      </c>
      <c r="D33" s="10">
        <v>23</v>
      </c>
      <c r="E33" s="11">
        <v>9</v>
      </c>
      <c r="F33" s="11">
        <v>6</v>
      </c>
      <c r="G33" s="14">
        <v>12566</v>
      </c>
      <c r="H33" s="5" t="s">
        <v>220</v>
      </c>
      <c r="I33" s="18">
        <f>H33/$D33</f>
        <v>1.826086956521739</v>
      </c>
      <c r="J33" s="6" t="s">
        <v>179</v>
      </c>
      <c r="K33" s="6" t="s">
        <v>181</v>
      </c>
      <c r="L33" s="18">
        <f>J33/$D33</f>
        <v>1.9130434782608696</v>
      </c>
      <c r="M33" s="18">
        <f>K33/$D33</f>
        <v>0.65217391304347827</v>
      </c>
      <c r="N33" s="19">
        <f>K33/J33</f>
        <v>0.34090909090909088</v>
      </c>
      <c r="O33" s="14" t="s">
        <v>173</v>
      </c>
      <c r="P33" s="15" t="s">
        <v>187</v>
      </c>
      <c r="Q33" s="18">
        <f>O33/$D33</f>
        <v>0.73913043478260865</v>
      </c>
      <c r="R33" s="18">
        <f>P33/$D33</f>
        <v>0.30434782608695654</v>
      </c>
      <c r="S33" s="19">
        <f>P33/O33</f>
        <v>0.41176470588235292</v>
      </c>
      <c r="T33" s="15" t="s">
        <v>182</v>
      </c>
      <c r="U33" s="15" t="s">
        <v>189</v>
      </c>
      <c r="V33" s="18">
        <f>T33/$D33</f>
        <v>1.173913043478261</v>
      </c>
      <c r="W33" s="18">
        <f>U33/$D33</f>
        <v>0.34782608695652173</v>
      </c>
      <c r="X33" s="19">
        <f>U33/T33</f>
        <v>0.29629629629629628</v>
      </c>
      <c r="Y33" s="15" t="s">
        <v>189</v>
      </c>
      <c r="Z33" s="15" t="s">
        <v>184</v>
      </c>
      <c r="AA33" s="18">
        <f>Y33/$D33</f>
        <v>0.34782608695652173</v>
      </c>
      <c r="AB33" s="18">
        <f>Z33/$D33</f>
        <v>0.17391304347826086</v>
      </c>
      <c r="AC33" s="19">
        <f>Z33/Y33</f>
        <v>0.5</v>
      </c>
      <c r="AD33" s="15" t="s">
        <v>180</v>
      </c>
      <c r="AE33" s="18">
        <f>AD33/$D33</f>
        <v>0.78260869565217395</v>
      </c>
      <c r="AF33" s="15" t="s">
        <v>184</v>
      </c>
      <c r="AG33" s="18">
        <f>AF33/$D33</f>
        <v>0.17391304347826086</v>
      </c>
      <c r="AH33" s="15" t="s">
        <v>178</v>
      </c>
      <c r="AI33" s="18">
        <f>AH33/$D33</f>
        <v>0.60869565217391308</v>
      </c>
      <c r="AJ33" s="15" t="s">
        <v>180</v>
      </c>
      <c r="AK33" s="18">
        <f>AJ33/$D33</f>
        <v>0.78260869565217395</v>
      </c>
      <c r="AL33" s="15" t="s">
        <v>184</v>
      </c>
      <c r="AM33" s="18">
        <f>AL33/$D33</f>
        <v>0.17391304347826086</v>
      </c>
      <c r="AN33" s="15" t="s">
        <v>231</v>
      </c>
      <c r="AO33" s="18">
        <f>AN33/$D33</f>
        <v>4.3478260869565216E-2</v>
      </c>
      <c r="AP33" s="15" t="s">
        <v>176</v>
      </c>
      <c r="AQ33" s="18">
        <f>AP33/$D33</f>
        <v>0.43478260869565216</v>
      </c>
      <c r="AR33" s="15" t="s">
        <v>245</v>
      </c>
      <c r="AS33" s="18">
        <f>AR33/$D33</f>
        <v>1.5217391304347827</v>
      </c>
      <c r="AT33" s="20">
        <v>-0.16308148038121154</v>
      </c>
      <c r="AU33" s="20">
        <v>-3.1167029217622842E-2</v>
      </c>
      <c r="AV33" s="20">
        <v>-0.10725607368780642</v>
      </c>
      <c r="AW33" s="20">
        <v>-5.5825406693405112E-2</v>
      </c>
      <c r="AX33" s="20">
        <v>89.962492470598079</v>
      </c>
      <c r="AY33" s="20">
        <v>116.66095239488369</v>
      </c>
      <c r="AZ33" s="20">
        <v>0.45562287182274841</v>
      </c>
      <c r="BA33" s="20">
        <v>1.7391304347826086</v>
      </c>
      <c r="BB33" s="20">
        <v>7.644529383659818</v>
      </c>
      <c r="BC33" s="21">
        <v>0.44191919191919188</v>
      </c>
      <c r="BD33" s="21">
        <v>0.43181818181818182</v>
      </c>
      <c r="BE33" s="20">
        <v>5.6464653048659335</v>
      </c>
      <c r="BF33" s="21">
        <v>0.61363636363636365</v>
      </c>
      <c r="BG33" s="21">
        <v>0.18181818181818182</v>
      </c>
      <c r="BH33" s="20">
        <v>0.93424110427298523</v>
      </c>
      <c r="BI33" s="20">
        <v>3.2698438649554484</v>
      </c>
      <c r="BJ33" s="20">
        <v>1.963784540106208</v>
      </c>
      <c r="BK33" s="20">
        <v>5.2257221657715203</v>
      </c>
      <c r="BL33" s="20">
        <v>1.076871077130513</v>
      </c>
      <c r="BM33" s="20">
        <v>0.2257629376273444</v>
      </c>
      <c r="BN33" s="20">
        <v>17.385257301808064</v>
      </c>
      <c r="BO33" s="22" t="s">
        <v>263</v>
      </c>
      <c r="BP33" s="22"/>
    </row>
    <row r="34" spans="1:68" x14ac:dyDescent="0.3">
      <c r="A34" s="16" t="s">
        <v>162</v>
      </c>
      <c r="B34" s="16" t="s">
        <v>286</v>
      </c>
      <c r="C34" s="4" t="s">
        <v>420</v>
      </c>
      <c r="D34" s="7" t="s">
        <v>678</v>
      </c>
      <c r="E34" s="7">
        <v>11</v>
      </c>
      <c r="F34" s="7">
        <v>56</v>
      </c>
      <c r="G34" s="14">
        <v>5011</v>
      </c>
      <c r="H34" s="5" t="s">
        <v>235</v>
      </c>
      <c r="I34" s="18">
        <f>H34/$D34</f>
        <v>5.2857142857142856</v>
      </c>
      <c r="J34" s="6" t="s">
        <v>170</v>
      </c>
      <c r="K34" s="6" t="s">
        <v>183</v>
      </c>
      <c r="L34" s="18">
        <f>J34/$D34</f>
        <v>4</v>
      </c>
      <c r="M34" s="18">
        <f>K34/$D34</f>
        <v>2.2857142857142856</v>
      </c>
      <c r="N34" s="19">
        <f>K34/J34</f>
        <v>0.5714285714285714</v>
      </c>
      <c r="O34" s="14" t="s">
        <v>177</v>
      </c>
      <c r="P34" s="15" t="s">
        <v>183</v>
      </c>
      <c r="Q34" s="18">
        <f>O34/$D34</f>
        <v>3.7142857142857144</v>
      </c>
      <c r="R34" s="18">
        <f>P34/$D34</f>
        <v>2.2857142857142856</v>
      </c>
      <c r="S34" s="19">
        <f>P34/O34</f>
        <v>0.61538461538461542</v>
      </c>
      <c r="T34" s="15" t="s">
        <v>194</v>
      </c>
      <c r="U34" s="15" t="s">
        <v>192</v>
      </c>
      <c r="V34" s="18">
        <f>T34/$D34</f>
        <v>0.2857142857142857</v>
      </c>
      <c r="W34" s="18">
        <f>U34/$D34</f>
        <v>0</v>
      </c>
      <c r="X34" s="19">
        <f>U34/T34</f>
        <v>0</v>
      </c>
      <c r="Y34" s="15" t="s">
        <v>203</v>
      </c>
      <c r="Z34" s="15" t="s">
        <v>229</v>
      </c>
      <c r="AA34" s="18">
        <f>Y34/$D34</f>
        <v>1.2857142857142858</v>
      </c>
      <c r="AB34" s="18">
        <f>Z34/$D34</f>
        <v>0.7142857142857143</v>
      </c>
      <c r="AC34" s="19">
        <f>Z34/Y34</f>
        <v>0.55555555555555558</v>
      </c>
      <c r="AD34" s="15" t="s">
        <v>234</v>
      </c>
      <c r="AE34" s="18">
        <f>AD34/$D34</f>
        <v>4.5714285714285712</v>
      </c>
      <c r="AF34" s="15" t="s">
        <v>181</v>
      </c>
      <c r="AG34" s="18">
        <f>AF34/$D34</f>
        <v>2.1428571428571428</v>
      </c>
      <c r="AH34" s="15" t="s">
        <v>173</v>
      </c>
      <c r="AI34" s="18">
        <f>AH34/$D34</f>
        <v>2.4285714285714284</v>
      </c>
      <c r="AJ34" s="15" t="s">
        <v>229</v>
      </c>
      <c r="AK34" s="18">
        <f>AJ34/$D34</f>
        <v>0.7142857142857143</v>
      </c>
      <c r="AL34" s="15" t="s">
        <v>187</v>
      </c>
      <c r="AM34" s="18">
        <f>AL34/$D34</f>
        <v>1</v>
      </c>
      <c r="AN34" s="15" t="s">
        <v>194</v>
      </c>
      <c r="AO34" s="18">
        <f>AN34/$D34</f>
        <v>0.2857142857142857</v>
      </c>
      <c r="AP34" s="15" t="s">
        <v>187</v>
      </c>
      <c r="AQ34" s="18">
        <f>AP34/$D34</f>
        <v>1</v>
      </c>
      <c r="AR34" s="15" t="s">
        <v>211</v>
      </c>
      <c r="AS34" s="18">
        <f>AR34/$D34</f>
        <v>1.5714285714285714</v>
      </c>
      <c r="AT34" s="20">
        <v>0.23215306123909837</v>
      </c>
      <c r="AU34" s="20">
        <v>0.11116666938823545</v>
      </c>
      <c r="AV34" s="20">
        <v>0.12442074855039052</v>
      </c>
      <c r="AW34" s="20">
        <v>0.10773231268870785</v>
      </c>
      <c r="AX34" s="20">
        <v>109.0854664427541</v>
      </c>
      <c r="AY34" s="20">
        <v>101.51877553388537</v>
      </c>
      <c r="AZ34" s="20">
        <v>2.0756420421440445</v>
      </c>
      <c r="BA34" s="20">
        <v>8.5714285714285712</v>
      </c>
      <c r="BB34" s="20">
        <v>28.73104549082203</v>
      </c>
      <c r="BC34" s="21">
        <v>0.57884856070087609</v>
      </c>
      <c r="BD34" s="21">
        <v>0.5714285714285714</v>
      </c>
      <c r="BE34" s="20">
        <v>2.9164622215337515</v>
      </c>
      <c r="BF34" s="21">
        <v>7.1428571428571425E-2</v>
      </c>
      <c r="BG34" s="21">
        <v>0.32142857142857145</v>
      </c>
      <c r="BH34" s="20">
        <v>2.6715903086577337</v>
      </c>
      <c r="BI34" s="20">
        <v>3.0278023498120983</v>
      </c>
      <c r="BJ34" s="20">
        <v>2.6622628402184718</v>
      </c>
      <c r="BK34" s="20">
        <v>1.0980162506405096</v>
      </c>
      <c r="BL34" s="20">
        <v>4.7218390316358176</v>
      </c>
      <c r="BM34" s="20">
        <v>0.34432001101824034</v>
      </c>
      <c r="BN34" s="20">
        <v>17.967145790554415</v>
      </c>
      <c r="BO34" s="22" t="s">
        <v>264</v>
      </c>
      <c r="BP34" s="22">
        <v>130000</v>
      </c>
    </row>
    <row r="35" spans="1:68" x14ac:dyDescent="0.3">
      <c r="A35" s="16" t="s">
        <v>162</v>
      </c>
      <c r="B35" s="16" t="s">
        <v>286</v>
      </c>
      <c r="C35" s="4" t="s">
        <v>153</v>
      </c>
      <c r="D35" s="5">
        <v>27</v>
      </c>
      <c r="E35" s="7">
        <v>7</v>
      </c>
      <c r="F35" s="7">
        <v>35</v>
      </c>
      <c r="G35" s="14">
        <v>12296</v>
      </c>
      <c r="H35" s="5" t="s">
        <v>243</v>
      </c>
      <c r="I35" s="18">
        <f>H35/$D35</f>
        <v>0.92592592592592593</v>
      </c>
      <c r="J35" s="6" t="s">
        <v>177</v>
      </c>
      <c r="K35" s="6" t="s">
        <v>203</v>
      </c>
      <c r="L35" s="18">
        <f>J35/$D35</f>
        <v>0.96296296296296291</v>
      </c>
      <c r="M35" s="18">
        <f>K35/$D35</f>
        <v>0.33333333333333331</v>
      </c>
      <c r="N35" s="19">
        <f>K35/J35</f>
        <v>0.34615384615384615</v>
      </c>
      <c r="O35" s="14" t="s">
        <v>193</v>
      </c>
      <c r="P35" s="15" t="s">
        <v>194</v>
      </c>
      <c r="Q35" s="18">
        <f>O35/$D35</f>
        <v>0.1111111111111111</v>
      </c>
      <c r="R35" s="18">
        <f>P35/$D35</f>
        <v>7.407407407407407E-2</v>
      </c>
      <c r="S35" s="19">
        <f>P35/O35</f>
        <v>0.66666666666666663</v>
      </c>
      <c r="T35" s="15" t="s">
        <v>200</v>
      </c>
      <c r="U35" s="15" t="s">
        <v>187</v>
      </c>
      <c r="V35" s="18">
        <f>T35/$D35</f>
        <v>0.85185185185185186</v>
      </c>
      <c r="W35" s="18">
        <f>U35/$D35</f>
        <v>0.25925925925925924</v>
      </c>
      <c r="X35" s="19">
        <f>U35/T35</f>
        <v>0.30434782608695654</v>
      </c>
      <c r="Y35" s="15" t="s">
        <v>192</v>
      </c>
      <c r="Z35" s="15" t="s">
        <v>192</v>
      </c>
      <c r="AA35" s="18">
        <f>Y35/$D35</f>
        <v>0</v>
      </c>
      <c r="AB35" s="18">
        <f>Z35/$D35</f>
        <v>0</v>
      </c>
      <c r="AC35" s="19" t="e">
        <f>Z35/Y35</f>
        <v>#DIV/0!</v>
      </c>
      <c r="AD35" s="15" t="s">
        <v>171</v>
      </c>
      <c r="AE35" s="18">
        <f>AD35/$D35</f>
        <v>1.1481481481481481</v>
      </c>
      <c r="AF35" s="15" t="s">
        <v>178</v>
      </c>
      <c r="AG35" s="18">
        <f>AF35/$D35</f>
        <v>0.51851851851851849</v>
      </c>
      <c r="AH35" s="15" t="s">
        <v>173</v>
      </c>
      <c r="AI35" s="18">
        <f>AH35/$D35</f>
        <v>0.62962962962962965</v>
      </c>
      <c r="AJ35" s="15" t="s">
        <v>176</v>
      </c>
      <c r="AK35" s="18">
        <f>AJ35/$D35</f>
        <v>0.37037037037037035</v>
      </c>
      <c r="AL35" s="15" t="s">
        <v>176</v>
      </c>
      <c r="AM35" s="18">
        <f>AL35/$D35</f>
        <v>0.37037037037037035</v>
      </c>
      <c r="AN35" s="15" t="s">
        <v>192</v>
      </c>
      <c r="AO35" s="18">
        <f>AN35/$D35</f>
        <v>0</v>
      </c>
      <c r="AP35" s="15" t="s">
        <v>229</v>
      </c>
      <c r="AQ35" s="18">
        <f>AP35/$D35</f>
        <v>0.18518518518518517</v>
      </c>
      <c r="AR35" s="15" t="s">
        <v>171</v>
      </c>
      <c r="AS35" s="18">
        <f>AR35/$D35</f>
        <v>1.1481481481481481</v>
      </c>
      <c r="AT35" s="20">
        <v>0.13098946530787009</v>
      </c>
      <c r="AU35" s="20">
        <v>2.5590127532673035E-2</v>
      </c>
      <c r="AV35" s="20">
        <v>9.816730540006334E-2</v>
      </c>
      <c r="AW35" s="20">
        <v>3.282215990780675E-2</v>
      </c>
      <c r="AX35" s="20">
        <v>108.2739071088636</v>
      </c>
      <c r="AY35" s="20">
        <v>112.50645314602758</v>
      </c>
      <c r="AZ35" s="20">
        <v>1.8108372769254701</v>
      </c>
      <c r="BA35" s="20">
        <v>2</v>
      </c>
      <c r="BB35" s="20">
        <v>10.549450549450549</v>
      </c>
      <c r="BC35" s="21">
        <v>0.48076923076923078</v>
      </c>
      <c r="BD35" s="21">
        <v>0.48076923076923078</v>
      </c>
      <c r="BE35" s="20">
        <v>3.6517473807547414</v>
      </c>
      <c r="BF35" s="21">
        <v>0.88461538461538458</v>
      </c>
      <c r="BG35" s="21">
        <v>0</v>
      </c>
      <c r="BH35" s="20">
        <v>3.9238126379465381</v>
      </c>
      <c r="BI35" s="20">
        <v>4.764629631792225</v>
      </c>
      <c r="BJ35" s="20">
        <v>4.0584880495528299</v>
      </c>
      <c r="BK35" s="20">
        <v>3.4418471246235485</v>
      </c>
      <c r="BL35" s="20">
        <v>2.7520038637779769</v>
      </c>
      <c r="BM35" s="20">
        <v>0</v>
      </c>
      <c r="BN35" s="20">
        <v>16.129032258064516</v>
      </c>
      <c r="BO35" s="22" t="s">
        <v>263</v>
      </c>
      <c r="BP35" s="22">
        <v>90000</v>
      </c>
    </row>
    <row r="36" spans="1:68" x14ac:dyDescent="0.3">
      <c r="A36" s="16" t="s">
        <v>162</v>
      </c>
      <c r="B36" s="16" t="s">
        <v>286</v>
      </c>
      <c r="C36" s="4" t="s">
        <v>246</v>
      </c>
      <c r="D36" s="5">
        <v>24</v>
      </c>
      <c r="E36" s="7">
        <v>6</v>
      </c>
      <c r="F36" s="7">
        <v>20</v>
      </c>
      <c r="G36" s="14">
        <v>9129</v>
      </c>
      <c r="H36" s="5" t="s">
        <v>200</v>
      </c>
      <c r="I36" s="18">
        <f>H36/$D36</f>
        <v>0.95833333333333337</v>
      </c>
      <c r="J36" s="6" t="s">
        <v>243</v>
      </c>
      <c r="K36" s="6" t="s">
        <v>226</v>
      </c>
      <c r="L36" s="18">
        <f>J36/$D36</f>
        <v>1.0416666666666667</v>
      </c>
      <c r="M36" s="18">
        <f>K36/$D36</f>
        <v>0.25</v>
      </c>
      <c r="N36" s="19">
        <f>K36/J36</f>
        <v>0.24</v>
      </c>
      <c r="O36" s="14" t="s">
        <v>187</v>
      </c>
      <c r="P36" s="15" t="s">
        <v>193</v>
      </c>
      <c r="Q36" s="18">
        <f>O36/$D36</f>
        <v>0.29166666666666669</v>
      </c>
      <c r="R36" s="18">
        <f>P36/$D36</f>
        <v>0.125</v>
      </c>
      <c r="S36" s="19">
        <f>P36/O36</f>
        <v>0.42857142857142855</v>
      </c>
      <c r="T36" s="15" t="s">
        <v>180</v>
      </c>
      <c r="U36" s="15" t="s">
        <v>193</v>
      </c>
      <c r="V36" s="18">
        <f>T36/$D36</f>
        <v>0.75</v>
      </c>
      <c r="W36" s="18">
        <f>U36/$D36</f>
        <v>0.125</v>
      </c>
      <c r="X36" s="19">
        <f>U36/T36</f>
        <v>0.16666666666666666</v>
      </c>
      <c r="Y36" s="15" t="s">
        <v>176</v>
      </c>
      <c r="Z36" s="15" t="s">
        <v>189</v>
      </c>
      <c r="AA36" s="18">
        <f>Y36/$D36</f>
        <v>0.41666666666666669</v>
      </c>
      <c r="AB36" s="18">
        <f>Z36/$D36</f>
        <v>0.33333333333333331</v>
      </c>
      <c r="AC36" s="19">
        <f>Z36/Y36</f>
        <v>0.8</v>
      </c>
      <c r="AD36" s="15" t="s">
        <v>176</v>
      </c>
      <c r="AE36" s="18">
        <f>AD36/$D36</f>
        <v>0.41666666666666669</v>
      </c>
      <c r="AF36" s="15" t="s">
        <v>229</v>
      </c>
      <c r="AG36" s="18">
        <f>AF36/$D36</f>
        <v>0.20833333333333334</v>
      </c>
      <c r="AH36" s="15" t="s">
        <v>229</v>
      </c>
      <c r="AI36" s="18">
        <f>AH36/$D36</f>
        <v>0.20833333333333334</v>
      </c>
      <c r="AJ36" s="15" t="s">
        <v>191</v>
      </c>
      <c r="AK36" s="18">
        <f>AJ36/$D36</f>
        <v>0.79166666666666663</v>
      </c>
      <c r="AL36" s="15" t="s">
        <v>185</v>
      </c>
      <c r="AM36" s="18">
        <f>AL36/$D36</f>
        <v>0.5</v>
      </c>
      <c r="AN36" s="15" t="s">
        <v>192</v>
      </c>
      <c r="AO36" s="18">
        <f>AN36/$D36</f>
        <v>0</v>
      </c>
      <c r="AP36" s="15" t="s">
        <v>226</v>
      </c>
      <c r="AQ36" s="18">
        <f>AP36/$D36</f>
        <v>0.25</v>
      </c>
      <c r="AR36" s="15" t="s">
        <v>170</v>
      </c>
      <c r="AS36" s="18">
        <f>AR36/$D36</f>
        <v>1.1666666666666667</v>
      </c>
      <c r="AT36" s="20">
        <v>4.3002239014690788E-2</v>
      </c>
      <c r="AU36" s="20">
        <v>1.1316378688076523E-2</v>
      </c>
      <c r="AV36" s="20">
        <v>-8.3586719954789491E-3</v>
      </c>
      <c r="AW36" s="20">
        <v>5.1360911010169735E-2</v>
      </c>
      <c r="AX36" s="20">
        <v>96.325796891944023</v>
      </c>
      <c r="AY36" s="20">
        <v>110.77863367761273</v>
      </c>
      <c r="AZ36" s="20">
        <v>1.3374292338917972</v>
      </c>
      <c r="BA36" s="20">
        <v>1.5416666666666667</v>
      </c>
      <c r="BB36" s="20">
        <v>9.7368421052631575</v>
      </c>
      <c r="BC36" s="21">
        <v>0.39115646258503406</v>
      </c>
      <c r="BD36" s="21">
        <v>0.3</v>
      </c>
      <c r="BE36" s="20">
        <v>4.9930980527857907</v>
      </c>
      <c r="BF36" s="21">
        <v>0.72</v>
      </c>
      <c r="BG36" s="21">
        <v>0.4</v>
      </c>
      <c r="BH36" s="20">
        <v>1.6779461938587168</v>
      </c>
      <c r="BI36" s="20">
        <v>1.6779461938587168</v>
      </c>
      <c r="BJ36" s="20">
        <v>1.5675823960496924</v>
      </c>
      <c r="BK36" s="20">
        <v>7.7815699658703075</v>
      </c>
      <c r="BL36" s="20">
        <v>4.4484694034884811</v>
      </c>
      <c r="BM36" s="20">
        <v>0</v>
      </c>
      <c r="BN36" s="20">
        <v>16.949152542372882</v>
      </c>
      <c r="BO36" s="22" t="s">
        <v>263</v>
      </c>
      <c r="BP36" s="22">
        <v>60000</v>
      </c>
    </row>
    <row r="37" spans="1:68" x14ac:dyDescent="0.3">
      <c r="A37" s="16" t="s">
        <v>162</v>
      </c>
      <c r="B37" s="16" t="s">
        <v>286</v>
      </c>
      <c r="C37" s="9" t="s">
        <v>149</v>
      </c>
      <c r="D37" s="5">
        <v>22</v>
      </c>
      <c r="E37" s="7">
        <v>7</v>
      </c>
      <c r="F37" s="7">
        <v>31</v>
      </c>
      <c r="G37" s="14">
        <v>9913</v>
      </c>
      <c r="H37" s="5" t="s">
        <v>178</v>
      </c>
      <c r="I37" s="18">
        <v>19.851851851851851</v>
      </c>
      <c r="J37" s="6" t="s">
        <v>175</v>
      </c>
      <c r="K37" s="6" t="s">
        <v>229</v>
      </c>
      <c r="L37" s="18">
        <v>14.222222222222221</v>
      </c>
      <c r="M37" s="18">
        <v>7.9259259259259256</v>
      </c>
      <c r="N37" s="19">
        <f>K37/J37</f>
        <v>0.23809523809523808</v>
      </c>
      <c r="O37" s="14" t="s">
        <v>226</v>
      </c>
      <c r="P37" s="15" t="s">
        <v>194</v>
      </c>
      <c r="Q37" s="18">
        <v>11.518518518518519</v>
      </c>
      <c r="R37" s="18">
        <v>7.1851851851851851</v>
      </c>
      <c r="S37" s="19">
        <f>P37/O37</f>
        <v>0.33333333333333331</v>
      </c>
      <c r="T37" s="15" t="s">
        <v>181</v>
      </c>
      <c r="U37" s="15" t="s">
        <v>193</v>
      </c>
      <c r="V37" s="18">
        <v>2.7037037037037037</v>
      </c>
      <c r="W37" s="18">
        <v>0.7407407407407407</v>
      </c>
      <c r="X37" s="19">
        <f>U37/T37</f>
        <v>0.2</v>
      </c>
      <c r="Y37" s="15" t="s">
        <v>194</v>
      </c>
      <c r="Z37" s="15" t="s">
        <v>231</v>
      </c>
      <c r="AA37" s="18">
        <v>4.4444444444444446</v>
      </c>
      <c r="AB37" s="18">
        <v>3.2592592592592591</v>
      </c>
      <c r="AC37" s="19">
        <f>Z37/Y37</f>
        <v>0.5</v>
      </c>
      <c r="AD37" s="15" t="s">
        <v>175</v>
      </c>
      <c r="AE37" s="18">
        <v>9.0740740740740744</v>
      </c>
      <c r="AF37" s="15" t="s">
        <v>187</v>
      </c>
      <c r="AG37" s="18">
        <v>2.8888888888888888</v>
      </c>
      <c r="AH37" s="15" t="s">
        <v>178</v>
      </c>
      <c r="AI37" s="18">
        <v>6.1851851851851851</v>
      </c>
      <c r="AJ37" s="15" t="s">
        <v>226</v>
      </c>
      <c r="AK37" s="18">
        <v>1.7037037037037037</v>
      </c>
      <c r="AL37" s="15" t="s">
        <v>231</v>
      </c>
      <c r="AM37" s="18">
        <v>0.40740740740740738</v>
      </c>
      <c r="AN37" s="15" t="s">
        <v>194</v>
      </c>
      <c r="AO37" s="18">
        <v>1.037037037037037</v>
      </c>
      <c r="AP37" s="15" t="s">
        <v>194</v>
      </c>
      <c r="AQ37" s="18">
        <v>2.0370370370370372</v>
      </c>
      <c r="AR37" s="15" t="s">
        <v>175</v>
      </c>
      <c r="AS37" s="18">
        <v>1.9259259259259258</v>
      </c>
      <c r="AT37" s="20">
        <v>-0.11836103017479849</v>
      </c>
      <c r="AU37" s="20">
        <v>-2.8629960937262281E-2</v>
      </c>
      <c r="AV37" s="20">
        <v>-6.4150363912359454E-2</v>
      </c>
      <c r="AW37" s="20">
        <v>-5.4210666262439026E-2</v>
      </c>
      <c r="AX37" s="20">
        <v>87.002686675608714</v>
      </c>
      <c r="AY37" s="20">
        <v>117.25535375255413</v>
      </c>
      <c r="AZ37" s="20">
        <v>0.14341608570194062</v>
      </c>
      <c r="BA37" s="20">
        <v>1.1363636363636365</v>
      </c>
      <c r="BB37" s="20">
        <v>6.0471679096956255</v>
      </c>
      <c r="BC37" s="21">
        <v>0.31992687385740404</v>
      </c>
      <c r="BD37" s="21">
        <v>0.30952380952380953</v>
      </c>
      <c r="BE37" s="20">
        <v>2.837972676550502</v>
      </c>
      <c r="BF37" s="21">
        <v>0.7142857142857143</v>
      </c>
      <c r="BG37" s="21">
        <v>9.5238095238095233E-2</v>
      </c>
      <c r="BH37" s="20">
        <v>1.979306818476358</v>
      </c>
      <c r="BI37" s="20">
        <v>3.9586136369527161</v>
      </c>
      <c r="BJ37" s="20">
        <v>2.7736823770457972</v>
      </c>
      <c r="BK37" s="20">
        <v>2.055439778469268</v>
      </c>
      <c r="BL37" s="20">
        <v>0.34074145803781952</v>
      </c>
      <c r="BM37" s="20">
        <v>0.5466366472041243</v>
      </c>
      <c r="BN37" s="20">
        <v>8.3752093802345069</v>
      </c>
      <c r="BO37" s="22" t="s">
        <v>263</v>
      </c>
      <c r="BP37" s="22"/>
    </row>
    <row r="38" spans="1:68" x14ac:dyDescent="0.3">
      <c r="A38" s="16" t="s">
        <v>162</v>
      </c>
      <c r="B38" s="16" t="s">
        <v>286</v>
      </c>
      <c r="C38" s="4" t="s">
        <v>248</v>
      </c>
      <c r="D38" s="5">
        <v>2</v>
      </c>
      <c r="E38" s="7">
        <v>4</v>
      </c>
      <c r="F38" s="7">
        <v>36</v>
      </c>
      <c r="G38" s="14">
        <v>551</v>
      </c>
      <c r="H38" s="5" t="s">
        <v>194</v>
      </c>
      <c r="I38" s="18">
        <f>H38/$D38</f>
        <v>1</v>
      </c>
      <c r="J38" s="6" t="s">
        <v>192</v>
      </c>
      <c r="K38" s="6" t="s">
        <v>192</v>
      </c>
      <c r="L38" s="18">
        <f>J38/$D38</f>
        <v>0</v>
      </c>
      <c r="M38" s="18">
        <f>K38/$D38</f>
        <v>0</v>
      </c>
      <c r="N38" s="19" t="e">
        <f>K38/J38</f>
        <v>#DIV/0!</v>
      </c>
      <c r="O38" s="14" t="s">
        <v>192</v>
      </c>
      <c r="P38" s="15" t="s">
        <v>192</v>
      </c>
      <c r="Q38" s="18">
        <f>O38/$D38</f>
        <v>0</v>
      </c>
      <c r="R38" s="18">
        <f>P38/$D38</f>
        <v>0</v>
      </c>
      <c r="S38" s="19" t="e">
        <f>P38/O38</f>
        <v>#DIV/0!</v>
      </c>
      <c r="T38" s="15" t="s">
        <v>192</v>
      </c>
      <c r="U38" s="15" t="s">
        <v>192</v>
      </c>
      <c r="V38" s="18">
        <f>T38/$D38</f>
        <v>0</v>
      </c>
      <c r="W38" s="18">
        <f>U38/$D38</f>
        <v>0</v>
      </c>
      <c r="X38" s="19" t="e">
        <f>U38/T38</f>
        <v>#DIV/0!</v>
      </c>
      <c r="Y38" s="15" t="s">
        <v>194</v>
      </c>
      <c r="Z38" s="15" t="s">
        <v>194</v>
      </c>
      <c r="AA38" s="18">
        <f>Y38/$D38</f>
        <v>1</v>
      </c>
      <c r="AB38" s="18">
        <f>Z38/$D38</f>
        <v>1</v>
      </c>
      <c r="AC38" s="19">
        <f>Z38/Y38</f>
        <v>1</v>
      </c>
      <c r="AD38" s="15" t="s">
        <v>231</v>
      </c>
      <c r="AE38" s="18">
        <f>AD38/$D38</f>
        <v>0.5</v>
      </c>
      <c r="AF38" s="15" t="s">
        <v>192</v>
      </c>
      <c r="AG38" s="18">
        <f>AF38/$D38</f>
        <v>0</v>
      </c>
      <c r="AH38" s="15" t="s">
        <v>231</v>
      </c>
      <c r="AI38" s="18">
        <f>AH38/$D38</f>
        <v>0.5</v>
      </c>
      <c r="AJ38" s="15" t="s">
        <v>192</v>
      </c>
      <c r="AK38" s="18">
        <f>AJ38/$D38</f>
        <v>0</v>
      </c>
      <c r="AL38" s="15" t="s">
        <v>192</v>
      </c>
      <c r="AM38" s="18">
        <f>AL38/$D38</f>
        <v>0</v>
      </c>
      <c r="AN38" s="15" t="s">
        <v>192</v>
      </c>
      <c r="AO38" s="18">
        <f>AN38/$D38</f>
        <v>0</v>
      </c>
      <c r="AP38" s="15" t="s">
        <v>194</v>
      </c>
      <c r="AQ38" s="18">
        <f>AP38/$D38</f>
        <v>1</v>
      </c>
      <c r="AR38" s="15" t="s">
        <v>184</v>
      </c>
      <c r="AS38" s="18">
        <f>AR38/$D38</f>
        <v>2</v>
      </c>
      <c r="AT38" s="20">
        <v>-2.6345686166495151E-2</v>
      </c>
      <c r="AU38" s="20">
        <v>-0.11454646159345719</v>
      </c>
      <c r="AV38" s="20">
        <v>-2.3881220448410803E-2</v>
      </c>
      <c r="AW38" s="20">
        <v>-2.4644657180843466E-3</v>
      </c>
      <c r="AX38" s="20">
        <v>67.136929495574265</v>
      </c>
      <c r="AY38" s="20">
        <v>116.67216352953069</v>
      </c>
      <c r="AZ38" s="20">
        <v>-0.42112917980720338</v>
      </c>
      <c r="BA38" s="20">
        <v>0.5</v>
      </c>
      <c r="BB38" s="20">
        <v>4.3478260869565224</v>
      </c>
      <c r="BC38" s="21">
        <v>1.1363636363636365</v>
      </c>
      <c r="BD38" s="21"/>
      <c r="BE38" s="20">
        <v>0.55928585410717779</v>
      </c>
      <c r="BF38" s="21"/>
      <c r="BG38" s="21"/>
      <c r="BH38" s="20">
        <v>0</v>
      </c>
      <c r="BI38" s="20">
        <v>0.46204315483066116</v>
      </c>
      <c r="BJ38" s="20">
        <v>0.21582656177495765</v>
      </c>
      <c r="BK38" s="20">
        <v>0</v>
      </c>
      <c r="BL38" s="20">
        <v>0</v>
      </c>
      <c r="BM38" s="20">
        <v>0</v>
      </c>
      <c r="BN38" s="20">
        <v>69.444444444444443</v>
      </c>
      <c r="BO38" s="22" t="s">
        <v>263</v>
      </c>
      <c r="BP38" s="22">
        <v>57580</v>
      </c>
    </row>
    <row r="39" spans="1:68" x14ac:dyDescent="0.3">
      <c r="A39" s="16" t="s">
        <v>162</v>
      </c>
      <c r="B39" s="16" t="s">
        <v>286</v>
      </c>
      <c r="C39" s="4" t="s">
        <v>82</v>
      </c>
      <c r="D39" s="5">
        <v>5</v>
      </c>
      <c r="E39" s="7">
        <v>2</v>
      </c>
      <c r="F39" s="7">
        <v>25</v>
      </c>
      <c r="G39" s="14">
        <v>725</v>
      </c>
      <c r="H39" s="5" t="s">
        <v>194</v>
      </c>
      <c r="I39" s="18">
        <f>H39/$D39</f>
        <v>0.4</v>
      </c>
      <c r="J39" s="6" t="s">
        <v>231</v>
      </c>
      <c r="K39" s="6" t="s">
        <v>192</v>
      </c>
      <c r="L39" s="18">
        <f>J39/$D39</f>
        <v>0.2</v>
      </c>
      <c r="M39" s="18">
        <f>K39/$D39</f>
        <v>0</v>
      </c>
      <c r="N39" s="19">
        <f>K39/J39</f>
        <v>0</v>
      </c>
      <c r="O39" s="14" t="s">
        <v>192</v>
      </c>
      <c r="P39" s="15" t="s">
        <v>192</v>
      </c>
      <c r="Q39" s="18">
        <f>O39/$D39</f>
        <v>0</v>
      </c>
      <c r="R39" s="18">
        <f>P39/$D39</f>
        <v>0</v>
      </c>
      <c r="S39" s="19" t="e">
        <f>P39/O39</f>
        <v>#DIV/0!</v>
      </c>
      <c r="T39" s="15" t="s">
        <v>231</v>
      </c>
      <c r="U39" s="15" t="s">
        <v>192</v>
      </c>
      <c r="V39" s="18">
        <f>T39/$D39</f>
        <v>0.2</v>
      </c>
      <c r="W39" s="18">
        <f>U39/$D39</f>
        <v>0</v>
      </c>
      <c r="X39" s="19">
        <f>U39/T39</f>
        <v>0</v>
      </c>
      <c r="Y39" s="15" t="s">
        <v>194</v>
      </c>
      <c r="Z39" s="15" t="s">
        <v>194</v>
      </c>
      <c r="AA39" s="18">
        <f>Y39/$D39</f>
        <v>0.4</v>
      </c>
      <c r="AB39" s="18">
        <f>Z39/$D39</f>
        <v>0.4</v>
      </c>
      <c r="AC39" s="19">
        <f>Z39/Y39</f>
        <v>1</v>
      </c>
      <c r="AD39" s="15" t="s">
        <v>192</v>
      </c>
      <c r="AE39" s="18">
        <f>AD39/$D39</f>
        <v>0</v>
      </c>
      <c r="AF39" s="15" t="s">
        <v>192</v>
      </c>
      <c r="AG39" s="18">
        <f>AF39/$D39</f>
        <v>0</v>
      </c>
      <c r="AH39" s="15" t="s">
        <v>192</v>
      </c>
      <c r="AI39" s="18">
        <f>AH39/$D39</f>
        <v>0</v>
      </c>
      <c r="AJ39" s="15" t="s">
        <v>231</v>
      </c>
      <c r="AK39" s="18">
        <f>AJ39/$D39</f>
        <v>0.2</v>
      </c>
      <c r="AL39" s="15" t="s">
        <v>192</v>
      </c>
      <c r="AM39" s="18">
        <f>AL39/$D39</f>
        <v>0</v>
      </c>
      <c r="AN39" s="15" t="s">
        <v>192</v>
      </c>
      <c r="AO39" s="18">
        <f>AN39/$D39</f>
        <v>0</v>
      </c>
      <c r="AP39" s="15" t="s">
        <v>194</v>
      </c>
      <c r="AQ39" s="18">
        <f>AP39/$D39</f>
        <v>0.4</v>
      </c>
      <c r="AR39" s="15" t="s">
        <v>231</v>
      </c>
      <c r="AS39" s="18">
        <f>AR39/$D39</f>
        <v>0.2</v>
      </c>
      <c r="AT39" s="20">
        <v>-4.6031518408596234E-2</v>
      </c>
      <c r="AU39" s="20">
        <v>-0.15238019886983581</v>
      </c>
      <c r="AV39" s="20">
        <v>-3.5497650021468957E-2</v>
      </c>
      <c r="AW39" s="20">
        <v>-1.053386838712728E-2</v>
      </c>
      <c r="AX39" s="20">
        <v>64.01146545813458</v>
      </c>
      <c r="AY39" s="20">
        <v>122.54734736887862</v>
      </c>
      <c r="AZ39" s="20">
        <v>-0.40218070001412437</v>
      </c>
      <c r="BA39" s="20">
        <v>0</v>
      </c>
      <c r="BB39" s="20">
        <v>0</v>
      </c>
      <c r="BC39" s="21">
        <v>0.53191489361702127</v>
      </c>
      <c r="BD39" s="21">
        <v>0</v>
      </c>
      <c r="BE39" s="20">
        <v>1.4342146442679466</v>
      </c>
      <c r="BF39" s="21">
        <v>1</v>
      </c>
      <c r="BG39" s="21">
        <v>2</v>
      </c>
      <c r="BH39" s="20">
        <v>0</v>
      </c>
      <c r="BI39" s="20">
        <v>0</v>
      </c>
      <c r="BJ39" s="20">
        <v>0</v>
      </c>
      <c r="BK39" s="20">
        <v>1.0475774770842428</v>
      </c>
      <c r="BL39" s="20">
        <v>0</v>
      </c>
      <c r="BM39" s="20">
        <v>0</v>
      </c>
      <c r="BN39" s="20">
        <v>51.546391752577321</v>
      </c>
      <c r="BO39" s="22" t="s">
        <v>263</v>
      </c>
      <c r="BP39" s="22">
        <v>50000</v>
      </c>
    </row>
    <row r="40" spans="1:68" x14ac:dyDescent="0.3">
      <c r="A40" s="16" t="s">
        <v>162</v>
      </c>
      <c r="B40" s="16" t="s">
        <v>286</v>
      </c>
      <c r="C40" s="4" t="s">
        <v>146</v>
      </c>
      <c r="D40" s="5" t="s">
        <v>226</v>
      </c>
      <c r="E40" s="7">
        <v>6</v>
      </c>
      <c r="F40" s="7">
        <v>0</v>
      </c>
      <c r="G40" s="14">
        <v>2160</v>
      </c>
      <c r="H40" s="5" t="s">
        <v>231</v>
      </c>
      <c r="I40" s="18">
        <f>H40/$D40</f>
        <v>0.16666666666666666</v>
      </c>
      <c r="J40" s="6" t="s">
        <v>193</v>
      </c>
      <c r="K40" s="6" t="s">
        <v>192</v>
      </c>
      <c r="L40" s="18">
        <f>J40/$D40</f>
        <v>0.5</v>
      </c>
      <c r="M40" s="18">
        <f>K40/$D40</f>
        <v>0</v>
      </c>
      <c r="N40" s="19">
        <f>K40/J40</f>
        <v>0</v>
      </c>
      <c r="O40" s="14" t="s">
        <v>192</v>
      </c>
      <c r="P40" s="15" t="s">
        <v>192</v>
      </c>
      <c r="Q40" s="18">
        <f>O40/$D40</f>
        <v>0</v>
      </c>
      <c r="R40" s="18">
        <f>P40/$D40</f>
        <v>0</v>
      </c>
      <c r="S40" s="19" t="e">
        <f>P40/O40</f>
        <v>#DIV/0!</v>
      </c>
      <c r="T40" s="15" t="s">
        <v>193</v>
      </c>
      <c r="U40" s="15" t="s">
        <v>192</v>
      </c>
      <c r="V40" s="18">
        <f>T40/$D40</f>
        <v>0.5</v>
      </c>
      <c r="W40" s="18">
        <f>U40/$D40</f>
        <v>0</v>
      </c>
      <c r="X40" s="19">
        <f>U40/T40</f>
        <v>0</v>
      </c>
      <c r="Y40" s="15" t="s">
        <v>194</v>
      </c>
      <c r="Z40" s="15" t="s">
        <v>231</v>
      </c>
      <c r="AA40" s="18">
        <f>Y40/$D40</f>
        <v>0.33333333333333331</v>
      </c>
      <c r="AB40" s="18">
        <f>Z40/$D40</f>
        <v>0.16666666666666666</v>
      </c>
      <c r="AC40" s="19">
        <f>Z40/Y40</f>
        <v>0.5</v>
      </c>
      <c r="AD40" s="15" t="s">
        <v>229</v>
      </c>
      <c r="AE40" s="18">
        <f>AD40/$D40</f>
        <v>0.83333333333333337</v>
      </c>
      <c r="AF40" s="15" t="s">
        <v>194</v>
      </c>
      <c r="AG40" s="18">
        <f>AF40/$D40</f>
        <v>0.33333333333333331</v>
      </c>
      <c r="AH40" s="15" t="s">
        <v>193</v>
      </c>
      <c r="AI40" s="18">
        <f>AH40/$D40</f>
        <v>0.5</v>
      </c>
      <c r="AJ40" s="15" t="s">
        <v>231</v>
      </c>
      <c r="AK40" s="18">
        <f>AJ40/$D40</f>
        <v>0.16666666666666666</v>
      </c>
      <c r="AL40" s="15" t="s">
        <v>194</v>
      </c>
      <c r="AM40" s="18">
        <f>AL40/$D40</f>
        <v>0.33333333333333331</v>
      </c>
      <c r="AN40" s="15" t="s">
        <v>192</v>
      </c>
      <c r="AO40" s="18">
        <f>AN40/$D40</f>
        <v>0</v>
      </c>
      <c r="AP40" s="15" t="s">
        <v>231</v>
      </c>
      <c r="AQ40" s="18">
        <f>AP40/$D40</f>
        <v>0.16666666666666666</v>
      </c>
      <c r="AR40" s="15" t="s">
        <v>193</v>
      </c>
      <c r="AS40" s="18">
        <f>AR40/$D40</f>
        <v>0.5</v>
      </c>
      <c r="AT40" s="20">
        <v>-4.9082851107126263E-2</v>
      </c>
      <c r="AU40" s="20">
        <v>-5.4536501230140297E-2</v>
      </c>
      <c r="AV40" s="20">
        <v>-5.7250994117852436E-2</v>
      </c>
      <c r="AW40" s="20">
        <v>8.1681430107261761E-3</v>
      </c>
      <c r="AX40" s="20">
        <v>55.085387030186993</v>
      </c>
      <c r="AY40" s="20">
        <v>111.85861478513107</v>
      </c>
      <c r="AZ40" s="20">
        <v>6.3053055089693583E-2</v>
      </c>
      <c r="BA40" s="20">
        <v>0.66666666666666663</v>
      </c>
      <c r="BB40" s="20">
        <v>4.4444444444444446</v>
      </c>
      <c r="BC40" s="21">
        <v>0.12886597938144331</v>
      </c>
      <c r="BD40" s="21">
        <v>0</v>
      </c>
      <c r="BE40" s="20">
        <v>0.72655375306700964</v>
      </c>
      <c r="BF40" s="21">
        <v>1</v>
      </c>
      <c r="BG40" s="21">
        <v>0.66666666666666663</v>
      </c>
      <c r="BH40" s="20">
        <v>0.70846617074034712</v>
      </c>
      <c r="BI40" s="20">
        <v>1.0626992561105209</v>
      </c>
      <c r="BJ40" s="20">
        <v>0.82733515347067099</v>
      </c>
      <c r="BK40" s="20">
        <v>0.4219409282700422</v>
      </c>
      <c r="BL40" s="20">
        <v>3.1304043950474494</v>
      </c>
      <c r="BM40" s="20">
        <v>0</v>
      </c>
      <c r="BN40" s="20">
        <v>20.491803278688526</v>
      </c>
      <c r="BO40" s="22" t="s">
        <v>263</v>
      </c>
      <c r="BP40" s="22"/>
    </row>
    <row r="41" spans="1:68" x14ac:dyDescent="0.3">
      <c r="A41" s="16" t="s">
        <v>162</v>
      </c>
      <c r="B41" s="16" t="s">
        <v>256</v>
      </c>
      <c r="C41" s="16" t="s">
        <v>195</v>
      </c>
      <c r="D41" s="15" t="s">
        <v>201</v>
      </c>
      <c r="E41" s="15">
        <v>30</v>
      </c>
      <c r="F41" s="15">
        <v>40</v>
      </c>
      <c r="G41" s="14">
        <v>99361</v>
      </c>
      <c r="H41" s="8" t="s">
        <v>274</v>
      </c>
      <c r="I41" s="18">
        <f>H41/$D41</f>
        <v>19.462962962962962</v>
      </c>
      <c r="J41" s="6" t="s">
        <v>449</v>
      </c>
      <c r="K41" s="6" t="s">
        <v>450</v>
      </c>
      <c r="L41" s="18">
        <f>J41/$D41</f>
        <v>13.462962962962964</v>
      </c>
      <c r="M41" s="18">
        <f>K41/$D41</f>
        <v>8.0925925925925934</v>
      </c>
      <c r="N41" s="19">
        <f>K41/J41</f>
        <v>0.60110041265474556</v>
      </c>
      <c r="O41" s="12" t="s">
        <v>578</v>
      </c>
      <c r="P41" s="5" t="s">
        <v>579</v>
      </c>
      <c r="Q41" s="18">
        <f>O41/$D41</f>
        <v>12.351851851851851</v>
      </c>
      <c r="R41" s="18">
        <f>P41/$D41</f>
        <v>7.666666666666667</v>
      </c>
      <c r="S41" s="19">
        <f>P41/O41</f>
        <v>0.62068965517241381</v>
      </c>
      <c r="T41" s="12" t="s">
        <v>553</v>
      </c>
      <c r="U41" s="6" t="s">
        <v>200</v>
      </c>
      <c r="V41" s="18">
        <f>T41/$D41</f>
        <v>1.1111111111111112</v>
      </c>
      <c r="W41" s="18">
        <f>U41/$D41</f>
        <v>0.42592592592592593</v>
      </c>
      <c r="X41" s="19">
        <f>U41/T41</f>
        <v>0.38333333333333336</v>
      </c>
      <c r="Y41" s="5" t="s">
        <v>348</v>
      </c>
      <c r="Z41" s="5" t="s">
        <v>560</v>
      </c>
      <c r="AA41" s="18">
        <f>Y41/$D41</f>
        <v>4.4259259259259256</v>
      </c>
      <c r="AB41" s="18">
        <f>Z41/$D41</f>
        <v>2.8518518518518516</v>
      </c>
      <c r="AC41" s="19">
        <f>Z41/Y41</f>
        <v>0.64435146443514646</v>
      </c>
      <c r="AD41" s="15" t="s">
        <v>645</v>
      </c>
      <c r="AE41" s="18">
        <f>AD41/$D41</f>
        <v>12.481481481481481</v>
      </c>
      <c r="AF41" s="15" t="s">
        <v>330</v>
      </c>
      <c r="AG41" s="18">
        <f>AF41/$D41</f>
        <v>5.4259259259259256</v>
      </c>
      <c r="AH41" s="8" t="s">
        <v>663</v>
      </c>
      <c r="AI41" s="18">
        <f>AH41/$D41</f>
        <v>7.0555555555555554</v>
      </c>
      <c r="AJ41" s="8" t="s">
        <v>670</v>
      </c>
      <c r="AK41" s="18">
        <f>AJ41/$D41</f>
        <v>2.5185185185185186</v>
      </c>
      <c r="AL41" s="8" t="s">
        <v>179</v>
      </c>
      <c r="AM41" s="18">
        <f>AL41/$D41</f>
        <v>0.81481481481481477</v>
      </c>
      <c r="AN41" s="8" t="s">
        <v>186</v>
      </c>
      <c r="AO41" s="18">
        <f>AN41/$D41</f>
        <v>0.72222222222222221</v>
      </c>
      <c r="AP41" s="8" t="s">
        <v>604</v>
      </c>
      <c r="AQ41" s="18">
        <f>AP41/$D41</f>
        <v>2.5</v>
      </c>
      <c r="AR41" s="8" t="s">
        <v>570</v>
      </c>
      <c r="AS41" s="18">
        <f>AR41/$D41</f>
        <v>2.2037037037037037</v>
      </c>
      <c r="AT41" s="20">
        <v>8.7234015882208595</v>
      </c>
      <c r="AU41" s="20">
        <v>0.21071018329035893</v>
      </c>
      <c r="AV41" s="20">
        <v>7.9117070093128659</v>
      </c>
      <c r="AW41" s="20">
        <v>0.8116945789079929</v>
      </c>
      <c r="AX41" s="20">
        <v>122.05137117418549</v>
      </c>
      <c r="AY41" s="20">
        <v>110.49344589843153</v>
      </c>
      <c r="AZ41" s="20">
        <v>26.750646337795953</v>
      </c>
      <c r="BA41" s="20">
        <v>26.555555555555557</v>
      </c>
      <c r="BB41" s="20">
        <v>34.637681159420289</v>
      </c>
      <c r="BC41" s="21">
        <v>0.63148913670447993</v>
      </c>
      <c r="BD41" s="21">
        <v>0.61691884456671253</v>
      </c>
      <c r="BE41" s="20">
        <v>28.172859721786359</v>
      </c>
      <c r="BF41" s="21">
        <v>8.2530949105914714E-2</v>
      </c>
      <c r="BG41" s="21">
        <v>0.32874828060522698</v>
      </c>
      <c r="BH41" s="20">
        <v>20.30679665480756</v>
      </c>
      <c r="BI41" s="20">
        <v>26.405766298572285</v>
      </c>
      <c r="BJ41" s="20">
        <v>21.820065395448218</v>
      </c>
      <c r="BK41" s="20">
        <v>17.563495479982777</v>
      </c>
      <c r="BL41" s="20">
        <v>1.4971499280661715</v>
      </c>
      <c r="BM41" s="20">
        <v>2.6127152140416694</v>
      </c>
      <c r="BN41" s="20">
        <v>13.958393647379959</v>
      </c>
      <c r="BO41" s="22" t="s">
        <v>265</v>
      </c>
      <c r="BP41" s="22"/>
    </row>
    <row r="42" spans="1:68" x14ac:dyDescent="0.3">
      <c r="A42" s="16" t="s">
        <v>162</v>
      </c>
      <c r="B42" s="16" t="s">
        <v>256</v>
      </c>
      <c r="C42" s="16" t="s">
        <v>95</v>
      </c>
      <c r="D42" s="15" t="s">
        <v>247</v>
      </c>
      <c r="E42" s="15">
        <v>30</v>
      </c>
      <c r="F42" s="15">
        <v>55</v>
      </c>
      <c r="G42" s="14">
        <v>83476</v>
      </c>
      <c r="H42" s="8" t="s">
        <v>291</v>
      </c>
      <c r="I42" s="18">
        <f>H42/$D42</f>
        <v>16.422222222222221</v>
      </c>
      <c r="J42" s="6" t="s">
        <v>470</v>
      </c>
      <c r="K42" s="6" t="s">
        <v>471</v>
      </c>
      <c r="L42" s="18">
        <f>J42/$D42</f>
        <v>13.266666666666667</v>
      </c>
      <c r="M42" s="18">
        <f>K42/$D42</f>
        <v>5.4666666666666668</v>
      </c>
      <c r="N42" s="19">
        <f>K42/J42</f>
        <v>0.4120603015075377</v>
      </c>
      <c r="O42" s="12" t="s">
        <v>594</v>
      </c>
      <c r="P42" s="5" t="s">
        <v>522</v>
      </c>
      <c r="Q42" s="18">
        <f>O42/$D42</f>
        <v>5.5555555555555554</v>
      </c>
      <c r="R42" s="18">
        <f>P42/$D42</f>
        <v>2.6666666666666665</v>
      </c>
      <c r="S42" s="19">
        <f>P42/O42</f>
        <v>0.48</v>
      </c>
      <c r="T42" s="12" t="s">
        <v>626</v>
      </c>
      <c r="U42" s="6" t="s">
        <v>609</v>
      </c>
      <c r="V42" s="18">
        <f>T42/$D42</f>
        <v>7.7111111111111112</v>
      </c>
      <c r="W42" s="18">
        <f>U42/$D42</f>
        <v>2.8</v>
      </c>
      <c r="X42" s="19">
        <f>U42/T42</f>
        <v>0.36311239193083572</v>
      </c>
      <c r="Y42" s="5" t="s">
        <v>598</v>
      </c>
      <c r="Z42" s="5" t="s">
        <v>561</v>
      </c>
      <c r="AA42" s="18">
        <f>Y42/$D42</f>
        <v>3.088888888888889</v>
      </c>
      <c r="AB42" s="18">
        <f>Z42/$D42</f>
        <v>2.6888888888888891</v>
      </c>
      <c r="AC42" s="19">
        <f>Z42/Y42</f>
        <v>0.87050359712230219</v>
      </c>
      <c r="AD42" s="15" t="s">
        <v>624</v>
      </c>
      <c r="AE42" s="18">
        <f>AD42/$D42</f>
        <v>2.5777777777777779</v>
      </c>
      <c r="AF42" s="15" t="s">
        <v>183</v>
      </c>
      <c r="AG42" s="18">
        <f>AF42/$D42</f>
        <v>0.35555555555555557</v>
      </c>
      <c r="AH42" s="8" t="s">
        <v>568</v>
      </c>
      <c r="AI42" s="18">
        <f>AH42/$D42</f>
        <v>2.2222222222222223</v>
      </c>
      <c r="AJ42" s="8" t="s">
        <v>650</v>
      </c>
      <c r="AK42" s="18">
        <f>AJ42/$D42</f>
        <v>3.1777777777777776</v>
      </c>
      <c r="AL42" s="8" t="s">
        <v>371</v>
      </c>
      <c r="AM42" s="18">
        <f>AL42/$D42</f>
        <v>0.8</v>
      </c>
      <c r="AN42" s="8" t="s">
        <v>231</v>
      </c>
      <c r="AO42" s="18">
        <f>AN42/$D42</f>
        <v>2.2222222222222223E-2</v>
      </c>
      <c r="AP42" s="12" t="s">
        <v>390</v>
      </c>
      <c r="AQ42" s="18">
        <f>AP42/$D42</f>
        <v>2.4</v>
      </c>
      <c r="AR42" s="12" t="s">
        <v>392</v>
      </c>
      <c r="AS42" s="18">
        <f>AR42/$D42</f>
        <v>2.2000000000000002</v>
      </c>
      <c r="AT42" s="20">
        <v>1.6094726454166857</v>
      </c>
      <c r="AU42" s="20">
        <v>4.6274146139563294E-2</v>
      </c>
      <c r="AV42" s="20">
        <v>2.5119251554479529</v>
      </c>
      <c r="AW42" s="20">
        <v>-0.90245251003126736</v>
      </c>
      <c r="AX42" s="20">
        <v>107.94760371824441</v>
      </c>
      <c r="AY42" s="20">
        <v>118.79393186151353</v>
      </c>
      <c r="AZ42" s="20">
        <v>10.387366641227542</v>
      </c>
      <c r="BA42" s="20">
        <v>12.4</v>
      </c>
      <c r="BB42" s="20">
        <v>16.043126684636118</v>
      </c>
      <c r="BC42" s="21">
        <v>0.56141363802114985</v>
      </c>
      <c r="BD42" s="21">
        <v>0.51758793969849248</v>
      </c>
      <c r="BE42" s="20">
        <v>22.137368260564628</v>
      </c>
      <c r="BF42" s="21">
        <v>0.58123953098827474</v>
      </c>
      <c r="BG42" s="21">
        <v>0.23283082077051925</v>
      </c>
      <c r="BH42" s="20">
        <v>1.0999366963515902</v>
      </c>
      <c r="BI42" s="20">
        <v>6.8746043521974389</v>
      </c>
      <c r="BJ42" s="20">
        <v>3.7250152031197001</v>
      </c>
      <c r="BK42" s="20">
        <v>14.663533433027128</v>
      </c>
      <c r="BL42" s="20">
        <v>1.4580428017902944</v>
      </c>
      <c r="BM42" s="20">
        <v>6.6450977867671179E-2</v>
      </c>
      <c r="BN42" s="20">
        <v>14.096272319097839</v>
      </c>
      <c r="BO42" s="22" t="s">
        <v>263</v>
      </c>
      <c r="BP42" s="22">
        <v>45000</v>
      </c>
    </row>
    <row r="43" spans="1:68" x14ac:dyDescent="0.3">
      <c r="A43" s="16" t="s">
        <v>162</v>
      </c>
      <c r="B43" s="16" t="s">
        <v>256</v>
      </c>
      <c r="C43" s="4" t="s">
        <v>83</v>
      </c>
      <c r="D43" s="5" t="s">
        <v>301</v>
      </c>
      <c r="E43" s="7">
        <v>29</v>
      </c>
      <c r="F43" s="7">
        <v>17</v>
      </c>
      <c r="G43" s="14">
        <v>70296</v>
      </c>
      <c r="H43" s="5" t="s">
        <v>302</v>
      </c>
      <c r="I43" s="18">
        <f>H43/$D43</f>
        <v>13.074999999999999</v>
      </c>
      <c r="J43" s="6" t="s">
        <v>485</v>
      </c>
      <c r="K43" s="6" t="s">
        <v>486</v>
      </c>
      <c r="L43" s="18">
        <f>J43/$D43</f>
        <v>11.1</v>
      </c>
      <c r="M43" s="18">
        <f>K43/$D43</f>
        <v>4.625</v>
      </c>
      <c r="N43" s="19">
        <f>K43/J43</f>
        <v>0.41666666666666669</v>
      </c>
      <c r="O43" s="14" t="s">
        <v>599</v>
      </c>
      <c r="P43" s="15" t="s">
        <v>527</v>
      </c>
      <c r="Q43" s="18">
        <f>O43/$D43</f>
        <v>6.5250000000000004</v>
      </c>
      <c r="R43" s="18">
        <f>P43/$D43</f>
        <v>3.05</v>
      </c>
      <c r="S43" s="19">
        <f>P43/O43</f>
        <v>0.46743295019157088</v>
      </c>
      <c r="T43" s="15" t="s">
        <v>538</v>
      </c>
      <c r="U43" s="15" t="s">
        <v>556</v>
      </c>
      <c r="V43" s="18">
        <f>T43/$D43</f>
        <v>4.5750000000000002</v>
      </c>
      <c r="W43" s="18">
        <f>U43/$D43</f>
        <v>1.575</v>
      </c>
      <c r="X43" s="19">
        <f>U43/T43</f>
        <v>0.34426229508196721</v>
      </c>
      <c r="Y43" s="15" t="s">
        <v>603</v>
      </c>
      <c r="Z43" s="15" t="s">
        <v>535</v>
      </c>
      <c r="AA43" s="18">
        <f>Y43/$D43</f>
        <v>2.875</v>
      </c>
      <c r="AB43" s="18">
        <f>Z43/$D43</f>
        <v>2.25</v>
      </c>
      <c r="AC43" s="19">
        <f>Z43/Y43</f>
        <v>0.78260869565217395</v>
      </c>
      <c r="AD43" s="15" t="s">
        <v>516</v>
      </c>
      <c r="AE43" s="18">
        <f>AD43/$D43</f>
        <v>2.85</v>
      </c>
      <c r="AF43" s="15" t="s">
        <v>171</v>
      </c>
      <c r="AG43" s="18">
        <f>AF43/$D43</f>
        <v>0.77500000000000002</v>
      </c>
      <c r="AH43" s="15" t="s">
        <v>539</v>
      </c>
      <c r="AI43" s="18">
        <f>AH43/$D43</f>
        <v>2.0750000000000002</v>
      </c>
      <c r="AJ43" s="15" t="s">
        <v>675</v>
      </c>
      <c r="AK43" s="18">
        <f>AJ43/$D43</f>
        <v>6.9</v>
      </c>
      <c r="AL43" s="15" t="s">
        <v>232</v>
      </c>
      <c r="AM43" s="18">
        <f>AL43/$D43</f>
        <v>1.2250000000000001</v>
      </c>
      <c r="AN43" s="15" t="s">
        <v>194</v>
      </c>
      <c r="AO43" s="18">
        <f>AN43/$D43</f>
        <v>0.05</v>
      </c>
      <c r="AP43" s="15" t="s">
        <v>389</v>
      </c>
      <c r="AQ43" s="18">
        <f>AP43/$D43</f>
        <v>3.0750000000000002</v>
      </c>
      <c r="AR43" s="15" t="s">
        <v>412</v>
      </c>
      <c r="AS43" s="18">
        <f>AR43/$D43</f>
        <v>1.7250000000000001</v>
      </c>
      <c r="AT43" s="20">
        <v>1.5920435900734935</v>
      </c>
      <c r="AU43" s="20">
        <v>5.4366884123169958E-2</v>
      </c>
      <c r="AV43" s="20">
        <v>2.0384282624289685</v>
      </c>
      <c r="AW43" s="20">
        <v>-0.44638467235547497</v>
      </c>
      <c r="AX43" s="20">
        <v>106.80325489759366</v>
      </c>
      <c r="AY43" s="20">
        <v>116.84368165619122</v>
      </c>
      <c r="AZ43" s="20">
        <v>10.75993503426592</v>
      </c>
      <c r="BA43" s="20">
        <v>13.925000000000001</v>
      </c>
      <c r="BB43" s="20">
        <v>19.021058622652248</v>
      </c>
      <c r="BC43" s="21">
        <v>0.5287100687424181</v>
      </c>
      <c r="BD43" s="21">
        <v>0.48761261261261263</v>
      </c>
      <c r="BE43" s="20">
        <v>18.84021936165253</v>
      </c>
      <c r="BF43" s="21">
        <v>0.41216216216216217</v>
      </c>
      <c r="BG43" s="21">
        <v>0.25900900900900903</v>
      </c>
      <c r="BH43" s="20">
        <v>2.2499950100917117</v>
      </c>
      <c r="BI43" s="20">
        <v>6.0241801883100656</v>
      </c>
      <c r="BJ43" s="20">
        <v>3.8649783378982741</v>
      </c>
      <c r="BK43" s="20">
        <v>28.404071936399578</v>
      </c>
      <c r="BL43" s="20">
        <v>2.3571570942787567</v>
      </c>
      <c r="BM43" s="20">
        <v>0.14031481382416625</v>
      </c>
      <c r="BN43" s="20">
        <v>19.915803108808291</v>
      </c>
      <c r="BO43" s="22" t="s">
        <v>263</v>
      </c>
      <c r="BP43" s="22">
        <v>100000</v>
      </c>
    </row>
    <row r="44" spans="1:68" x14ac:dyDescent="0.3">
      <c r="A44" s="16" t="s">
        <v>162</v>
      </c>
      <c r="B44" s="16" t="s">
        <v>256</v>
      </c>
      <c r="C44" s="4" t="s">
        <v>93</v>
      </c>
      <c r="D44" s="5" t="s">
        <v>213</v>
      </c>
      <c r="E44" s="7">
        <v>29</v>
      </c>
      <c r="F44" s="7">
        <v>23</v>
      </c>
      <c r="G44" s="14">
        <v>59949</v>
      </c>
      <c r="H44" s="5" t="s">
        <v>316</v>
      </c>
      <c r="I44" s="18">
        <f>H44/$D44</f>
        <v>10.823529411764707</v>
      </c>
      <c r="J44" s="6" t="s">
        <v>505</v>
      </c>
      <c r="K44" s="6" t="s">
        <v>498</v>
      </c>
      <c r="L44" s="18">
        <f>J44/$D44</f>
        <v>8.8235294117647065</v>
      </c>
      <c r="M44" s="18">
        <f>K44/$D44</f>
        <v>4.117647058823529</v>
      </c>
      <c r="N44" s="19">
        <f>K44/J44</f>
        <v>0.46666666666666667</v>
      </c>
      <c r="O44" s="14" t="s">
        <v>607</v>
      </c>
      <c r="P44" s="15" t="s">
        <v>608</v>
      </c>
      <c r="Q44" s="18">
        <f>O44/$D44</f>
        <v>5.117647058823529</v>
      </c>
      <c r="R44" s="18">
        <f>P44/$D44</f>
        <v>2.7058823529411766</v>
      </c>
      <c r="S44" s="19">
        <f>P44/O44</f>
        <v>0.52873563218390807</v>
      </c>
      <c r="T44" s="15" t="s">
        <v>609</v>
      </c>
      <c r="U44" s="15" t="s">
        <v>218</v>
      </c>
      <c r="V44" s="18">
        <f>T44/$D44</f>
        <v>3.7058823529411766</v>
      </c>
      <c r="W44" s="18">
        <f>U44/$D44</f>
        <v>1.411764705882353</v>
      </c>
      <c r="X44" s="19">
        <f>U44/T44</f>
        <v>0.38095238095238093</v>
      </c>
      <c r="Y44" s="15" t="s">
        <v>212</v>
      </c>
      <c r="Z44" s="15" t="s">
        <v>301</v>
      </c>
      <c r="AA44" s="18">
        <f>Y44/$D44</f>
        <v>1.7352941176470589</v>
      </c>
      <c r="AB44" s="18">
        <f>Z44/$D44</f>
        <v>1.1764705882352942</v>
      </c>
      <c r="AC44" s="19">
        <f>Z44/Y44</f>
        <v>0.67796610169491522</v>
      </c>
      <c r="AD44" s="15" t="s">
        <v>612</v>
      </c>
      <c r="AE44" s="18">
        <f>AD44/$D44</f>
        <v>4.6470588235294121</v>
      </c>
      <c r="AF44" s="15" t="s">
        <v>170</v>
      </c>
      <c r="AG44" s="18">
        <f>AF44/$D44</f>
        <v>0.82352941176470584</v>
      </c>
      <c r="AH44" s="15" t="s">
        <v>387</v>
      </c>
      <c r="AI44" s="18">
        <f>AH44/$D44</f>
        <v>3.8235294117647061</v>
      </c>
      <c r="AJ44" s="15" t="s">
        <v>601</v>
      </c>
      <c r="AK44" s="18">
        <f>AJ44/$D44</f>
        <v>3.0294117647058822</v>
      </c>
      <c r="AL44" s="15" t="s">
        <v>208</v>
      </c>
      <c r="AM44" s="18">
        <f>AL44/$D44</f>
        <v>0.58823529411764708</v>
      </c>
      <c r="AN44" s="15" t="s">
        <v>207</v>
      </c>
      <c r="AO44" s="18">
        <f>AN44/$D44</f>
        <v>0.38235294117647056</v>
      </c>
      <c r="AP44" s="15" t="s">
        <v>232</v>
      </c>
      <c r="AQ44" s="18">
        <f>AP44/$D44</f>
        <v>1.4411764705882353</v>
      </c>
      <c r="AR44" s="15" t="s">
        <v>399</v>
      </c>
      <c r="AS44" s="18">
        <f>AR44/$D44</f>
        <v>2.5294117647058822</v>
      </c>
      <c r="AT44" s="20">
        <v>1.5735945268200859</v>
      </c>
      <c r="AU44" s="20">
        <v>6.3004685602218918E-2</v>
      </c>
      <c r="AV44" s="20">
        <v>1.8732249372072178</v>
      </c>
      <c r="AW44" s="20">
        <v>-0.29963041038713195</v>
      </c>
      <c r="AX44" s="20">
        <v>112.94277940770388</v>
      </c>
      <c r="AY44" s="20">
        <v>116.25205309359453</v>
      </c>
      <c r="AZ44" s="20">
        <v>7.4532005523507028</v>
      </c>
      <c r="BA44" s="20">
        <v>12.764705882352942</v>
      </c>
      <c r="BB44" s="20">
        <v>17.376797570985289</v>
      </c>
      <c r="BC44" s="21">
        <v>0.5644864400539944</v>
      </c>
      <c r="BD44" s="21">
        <v>0.54666666666666663</v>
      </c>
      <c r="BE44" s="20">
        <v>11.399427936964997</v>
      </c>
      <c r="BF44" s="21">
        <v>0.42</v>
      </c>
      <c r="BG44" s="21">
        <v>0.19666666666666666</v>
      </c>
      <c r="BH44" s="20">
        <v>2.0253372096037148</v>
      </c>
      <c r="BI44" s="20">
        <v>9.4033513303029626</v>
      </c>
      <c r="BJ44" s="20">
        <v>5.3384938774148347</v>
      </c>
      <c r="BK44" s="20">
        <v>10.091690684781632</v>
      </c>
      <c r="BL44" s="20">
        <v>1.1280360170335477</v>
      </c>
      <c r="BM44" s="20">
        <v>0.90894233197895102</v>
      </c>
      <c r="BN44" s="20">
        <v>13.068060593129935</v>
      </c>
      <c r="BO44" s="22" t="s">
        <v>263</v>
      </c>
      <c r="BP44" s="22"/>
    </row>
    <row r="45" spans="1:68" x14ac:dyDescent="0.3">
      <c r="A45" s="16" t="s">
        <v>162</v>
      </c>
      <c r="B45" s="16" t="s">
        <v>256</v>
      </c>
      <c r="C45" s="4" t="s">
        <v>322</v>
      </c>
      <c r="D45" s="5" t="s">
        <v>232</v>
      </c>
      <c r="E45" s="7">
        <v>10</v>
      </c>
      <c r="F45" s="7">
        <v>15</v>
      </c>
      <c r="G45" s="14">
        <v>30140</v>
      </c>
      <c r="H45" s="5" t="s">
        <v>323</v>
      </c>
      <c r="I45" s="18">
        <f>H45/$D45</f>
        <v>6.4693877551020407</v>
      </c>
      <c r="J45" s="6" t="s">
        <v>512</v>
      </c>
      <c r="K45" s="6" t="s">
        <v>385</v>
      </c>
      <c r="L45" s="18">
        <f>J45/$D45</f>
        <v>4.9795918367346941</v>
      </c>
      <c r="M45" s="18">
        <f>K45/$D45</f>
        <v>2.6734693877551021</v>
      </c>
      <c r="N45" s="19">
        <f>K45/J45</f>
        <v>0.53688524590163933</v>
      </c>
      <c r="O45" s="14" t="s">
        <v>354</v>
      </c>
      <c r="P45" s="15" t="s">
        <v>609</v>
      </c>
      <c r="Q45" s="18">
        <f>O45/$D45</f>
        <v>4.591836734693878</v>
      </c>
      <c r="R45" s="18">
        <f>P45/$D45</f>
        <v>2.5714285714285716</v>
      </c>
      <c r="S45" s="19">
        <f>P45/O45</f>
        <v>0.56000000000000005</v>
      </c>
      <c r="T45" s="15" t="s">
        <v>191</v>
      </c>
      <c r="U45" s="15" t="s">
        <v>229</v>
      </c>
      <c r="V45" s="18">
        <f>T45/$D45</f>
        <v>0.38775510204081631</v>
      </c>
      <c r="W45" s="18">
        <f>U45/$D45</f>
        <v>0.10204081632653061</v>
      </c>
      <c r="X45" s="19">
        <f>U45/T45</f>
        <v>0.26315789473684209</v>
      </c>
      <c r="Y45" s="15" t="s">
        <v>641</v>
      </c>
      <c r="Z45" s="15" t="s">
        <v>223</v>
      </c>
      <c r="AA45" s="18">
        <f>Y45/$D45</f>
        <v>1.6326530612244898</v>
      </c>
      <c r="AB45" s="18">
        <f>Z45/$D45</f>
        <v>1.0204081632653061</v>
      </c>
      <c r="AC45" s="19">
        <f>Z45/Y45</f>
        <v>0.625</v>
      </c>
      <c r="AD45" s="15" t="s">
        <v>383</v>
      </c>
      <c r="AE45" s="18">
        <f>AD45/$D45</f>
        <v>3.0408163265306123</v>
      </c>
      <c r="AF45" s="15" t="s">
        <v>190</v>
      </c>
      <c r="AG45" s="18">
        <f>AF45/$D45</f>
        <v>0.95918367346938771</v>
      </c>
      <c r="AH45" s="15" t="s">
        <v>567</v>
      </c>
      <c r="AI45" s="18">
        <f>AH45/$D45</f>
        <v>2.0816326530612246</v>
      </c>
      <c r="AJ45" s="15" t="s">
        <v>175</v>
      </c>
      <c r="AK45" s="18">
        <f>AJ45/$D45</f>
        <v>0.42857142857142855</v>
      </c>
      <c r="AL45" s="15" t="s">
        <v>199</v>
      </c>
      <c r="AM45" s="18">
        <f>AL45/$D45</f>
        <v>0.67346938775510201</v>
      </c>
      <c r="AN45" s="15" t="s">
        <v>173</v>
      </c>
      <c r="AO45" s="18">
        <f>AN45/$D45</f>
        <v>0.34693877551020408</v>
      </c>
      <c r="AP45" s="15" t="s">
        <v>213</v>
      </c>
      <c r="AQ45" s="18">
        <f>AP45/$D45</f>
        <v>0.69387755102040816</v>
      </c>
      <c r="AR45" s="15" t="s">
        <v>541</v>
      </c>
      <c r="AS45" s="18">
        <f>AR45/$D45</f>
        <v>1.8163265306122449</v>
      </c>
      <c r="AT45" s="20">
        <v>1.694312104515912</v>
      </c>
      <c r="AU45" s="20">
        <v>0.1349377484930542</v>
      </c>
      <c r="AV45" s="20">
        <v>1.1408753276163188</v>
      </c>
      <c r="AW45" s="20">
        <v>0.55343677689959314</v>
      </c>
      <c r="AX45" s="20">
        <v>109.33022135669374</v>
      </c>
      <c r="AY45" s="20">
        <v>106.03450636763235</v>
      </c>
      <c r="AZ45" s="20">
        <v>17.907090688953573</v>
      </c>
      <c r="BA45" s="20">
        <v>7.3469387755102042</v>
      </c>
      <c r="BB45" s="20">
        <v>28.670980587356894</v>
      </c>
      <c r="BC45" s="21">
        <v>0.56769340974212035</v>
      </c>
      <c r="BD45" s="21">
        <v>0.54713114754098358</v>
      </c>
      <c r="BE45" s="20">
        <v>27.295877904108849</v>
      </c>
      <c r="BF45" s="21">
        <v>7.7868852459016397E-2</v>
      </c>
      <c r="BG45" s="21">
        <v>0.32786885245901637</v>
      </c>
      <c r="BH45" s="20">
        <v>9.7457297633550191</v>
      </c>
      <c r="BI45" s="20">
        <v>21.150307146004511</v>
      </c>
      <c r="BJ45" s="20">
        <v>14.431953701517655</v>
      </c>
      <c r="BK45" s="20">
        <v>7.6677316293929731</v>
      </c>
      <c r="BL45" s="20">
        <v>3.7022602501905122</v>
      </c>
      <c r="BM45" s="20">
        <v>3.407368434239042</v>
      </c>
      <c r="BN45" s="20">
        <v>10.855683269476373</v>
      </c>
      <c r="BO45" s="22" t="s">
        <v>265</v>
      </c>
      <c r="BP45" s="22">
        <v>40000</v>
      </c>
    </row>
    <row r="46" spans="1:68" x14ac:dyDescent="0.3">
      <c r="A46" s="16" t="s">
        <v>162</v>
      </c>
      <c r="B46" s="16" t="s">
        <v>256</v>
      </c>
      <c r="C46" s="4" t="s">
        <v>101</v>
      </c>
      <c r="D46" s="5" t="s">
        <v>232</v>
      </c>
      <c r="E46" s="7">
        <v>18</v>
      </c>
      <c r="F46" s="7">
        <v>33</v>
      </c>
      <c r="G46" s="14">
        <v>54533</v>
      </c>
      <c r="H46" s="5" t="s">
        <v>330</v>
      </c>
      <c r="I46" s="18">
        <f>H46/$D46</f>
        <v>5.9795918367346941</v>
      </c>
      <c r="J46" s="6" t="s">
        <v>521</v>
      </c>
      <c r="K46" s="6" t="s">
        <v>389</v>
      </c>
      <c r="L46" s="18">
        <f>J46/$D46</f>
        <v>5.5102040816326534</v>
      </c>
      <c r="M46" s="18">
        <f>K46/$D46</f>
        <v>2.510204081632653</v>
      </c>
      <c r="N46" s="19">
        <f>K46/J46</f>
        <v>0.45555555555555555</v>
      </c>
      <c r="O46" s="14" t="s">
        <v>473</v>
      </c>
      <c r="P46" s="15" t="s">
        <v>389</v>
      </c>
      <c r="Q46" s="18">
        <f>O46/$D46</f>
        <v>5.4489795918367347</v>
      </c>
      <c r="R46" s="18">
        <f>P46/$D46</f>
        <v>2.510204081632653</v>
      </c>
      <c r="S46" s="19">
        <f>P46/O46</f>
        <v>0.4606741573033708</v>
      </c>
      <c r="T46" s="15" t="s">
        <v>193</v>
      </c>
      <c r="U46" s="15" t="s">
        <v>192</v>
      </c>
      <c r="V46" s="18">
        <f>T46/$D46</f>
        <v>6.1224489795918366E-2</v>
      </c>
      <c r="W46" s="18">
        <f>U46/$D46</f>
        <v>0</v>
      </c>
      <c r="X46" s="19">
        <f>U46/T46</f>
        <v>0</v>
      </c>
      <c r="Y46" s="15" t="s">
        <v>402</v>
      </c>
      <c r="Z46" s="15" t="s">
        <v>190</v>
      </c>
      <c r="AA46" s="18">
        <f>Y46/$D46</f>
        <v>1.6734693877551021</v>
      </c>
      <c r="AB46" s="18">
        <f>Z46/$D46</f>
        <v>0.95918367346938771</v>
      </c>
      <c r="AC46" s="19">
        <f>Z46/Y46</f>
        <v>0.57317073170731703</v>
      </c>
      <c r="AD46" s="15" t="s">
        <v>351</v>
      </c>
      <c r="AE46" s="18">
        <f>AD46/$D46</f>
        <v>4.795918367346939</v>
      </c>
      <c r="AF46" s="15" t="s">
        <v>539</v>
      </c>
      <c r="AG46" s="18">
        <f>AF46/$D46</f>
        <v>1.6938775510204083</v>
      </c>
      <c r="AH46" s="15" t="s">
        <v>551</v>
      </c>
      <c r="AI46" s="18">
        <f>AH46/$D46</f>
        <v>3.1020408163265305</v>
      </c>
      <c r="AJ46" s="15" t="s">
        <v>552</v>
      </c>
      <c r="AK46" s="18">
        <f>AJ46/$D46</f>
        <v>1.4693877551020409</v>
      </c>
      <c r="AL46" s="15" t="s">
        <v>175</v>
      </c>
      <c r="AM46" s="18">
        <f>AL46/$D46</f>
        <v>0.42857142857142855</v>
      </c>
      <c r="AN46" s="15" t="s">
        <v>234</v>
      </c>
      <c r="AO46" s="18">
        <f>AN46/$D46</f>
        <v>0.65306122448979587</v>
      </c>
      <c r="AP46" s="15" t="s">
        <v>209</v>
      </c>
      <c r="AQ46" s="18">
        <f>AP46/$D46</f>
        <v>1.0612244897959184</v>
      </c>
      <c r="AR46" s="15" t="s">
        <v>525</v>
      </c>
      <c r="AS46" s="18">
        <f>AR46/$D46</f>
        <v>2.2448979591836733</v>
      </c>
      <c r="AT46" s="20">
        <v>0.66600374895661207</v>
      </c>
      <c r="AU46" s="20">
        <v>2.9308707803800516E-2</v>
      </c>
      <c r="AV46" s="20">
        <v>0.52920123927163432</v>
      </c>
      <c r="AW46" s="20">
        <v>0.13680250968497773</v>
      </c>
      <c r="AX46" s="20">
        <v>101.61690550389133</v>
      </c>
      <c r="AY46" s="20">
        <v>112.96903324322459</v>
      </c>
      <c r="AZ46" s="20">
        <v>9.714522666578473</v>
      </c>
      <c r="BA46" s="20">
        <v>8.5510204081632661</v>
      </c>
      <c r="BB46" s="20">
        <v>18.438858022993564</v>
      </c>
      <c r="BC46" s="21">
        <v>0.47863303711447991</v>
      </c>
      <c r="BD46" s="21">
        <v>0.45555555555555555</v>
      </c>
      <c r="BE46" s="20">
        <v>17.243893413784289</v>
      </c>
      <c r="BF46" s="21">
        <v>1.1111111111111112E-2</v>
      </c>
      <c r="BG46" s="21">
        <v>0.3037037037037037</v>
      </c>
      <c r="BH46" s="20">
        <v>9.5098693538731247</v>
      </c>
      <c r="BI46" s="20">
        <v>17.41566435890018</v>
      </c>
      <c r="BJ46" s="20">
        <v>12.577278343866803</v>
      </c>
      <c r="BK46" s="20">
        <v>11.808602238714174</v>
      </c>
      <c r="BL46" s="20">
        <v>1.3018239301699057</v>
      </c>
      <c r="BM46" s="20">
        <v>3.5440521529424633</v>
      </c>
      <c r="BN46" s="20">
        <v>14.521894548704202</v>
      </c>
      <c r="BO46" s="22" t="s">
        <v>263</v>
      </c>
      <c r="BP46" s="22">
        <v>54000</v>
      </c>
    </row>
    <row r="47" spans="1:68" x14ac:dyDescent="0.3">
      <c r="A47" s="16" t="s">
        <v>162</v>
      </c>
      <c r="B47" s="16" t="s">
        <v>256</v>
      </c>
      <c r="C47" s="4" t="s">
        <v>90</v>
      </c>
      <c r="D47" s="5" t="s">
        <v>204</v>
      </c>
      <c r="E47" s="5">
        <v>24</v>
      </c>
      <c r="F47" s="5">
        <v>37</v>
      </c>
      <c r="G47" s="14">
        <v>32488</v>
      </c>
      <c r="H47" s="5" t="s">
        <v>341</v>
      </c>
      <c r="I47" s="18">
        <f>H47/$D47</f>
        <v>11.545454545454545</v>
      </c>
      <c r="J47" s="6" t="s">
        <v>357</v>
      </c>
      <c r="K47" s="6" t="s">
        <v>530</v>
      </c>
      <c r="L47" s="18">
        <f>J47/$D47</f>
        <v>9.954545454545455</v>
      </c>
      <c r="M47" s="18">
        <f>K47/$D47</f>
        <v>4.3636363636363633</v>
      </c>
      <c r="N47" s="19">
        <f>K47/J47</f>
        <v>0.43835616438356162</v>
      </c>
      <c r="O47" s="14" t="s">
        <v>609</v>
      </c>
      <c r="P47" s="15" t="s">
        <v>548</v>
      </c>
      <c r="Q47" s="18">
        <f>O47/$D47</f>
        <v>5.7272727272727275</v>
      </c>
      <c r="R47" s="18">
        <f>P47/$D47</f>
        <v>3.0454545454545454</v>
      </c>
      <c r="S47" s="19">
        <f>P47/O47</f>
        <v>0.53174603174603174</v>
      </c>
      <c r="T47" s="15" t="s">
        <v>569</v>
      </c>
      <c r="U47" s="15" t="s">
        <v>172</v>
      </c>
      <c r="V47" s="18">
        <f>T47/$D47</f>
        <v>4.2272727272727275</v>
      </c>
      <c r="W47" s="18">
        <f>U47/$D47</f>
        <v>1.3181818181818181</v>
      </c>
      <c r="X47" s="19">
        <f>U47/T47</f>
        <v>0.31182795698924731</v>
      </c>
      <c r="Y47" s="15" t="s">
        <v>201</v>
      </c>
      <c r="Z47" s="15" t="s">
        <v>199</v>
      </c>
      <c r="AA47" s="18">
        <f>Y47/$D47</f>
        <v>2.4545454545454546</v>
      </c>
      <c r="AB47" s="18">
        <f>Z47/$D47</f>
        <v>1.5</v>
      </c>
      <c r="AC47" s="19">
        <f>Z47/Y47</f>
        <v>0.61111111111111116</v>
      </c>
      <c r="AD47" s="15" t="s">
        <v>559</v>
      </c>
      <c r="AE47" s="18">
        <f>AD47/$D47</f>
        <v>5.3636363636363633</v>
      </c>
      <c r="AF47" s="15" t="s">
        <v>208</v>
      </c>
      <c r="AG47" s="18">
        <f>AF47/$D47</f>
        <v>0.90909090909090906</v>
      </c>
      <c r="AH47" s="15" t="s">
        <v>394</v>
      </c>
      <c r="AI47" s="18">
        <f>AH47/$D47</f>
        <v>4.4545454545454541</v>
      </c>
      <c r="AJ47" s="15" t="s">
        <v>556</v>
      </c>
      <c r="AK47" s="18">
        <f>AJ47/$D47</f>
        <v>2.8636363636363638</v>
      </c>
      <c r="AL47" s="15" t="s">
        <v>176</v>
      </c>
      <c r="AM47" s="18">
        <f>AL47/$D47</f>
        <v>0.45454545454545453</v>
      </c>
      <c r="AN47" s="15" t="s">
        <v>243</v>
      </c>
      <c r="AO47" s="18">
        <f>AN47/$D47</f>
        <v>1.1363636363636365</v>
      </c>
      <c r="AP47" s="15" t="s">
        <v>218</v>
      </c>
      <c r="AQ47" s="18">
        <f>AP47/$D47</f>
        <v>2.1818181818181817</v>
      </c>
      <c r="AR47" s="15" t="s">
        <v>572</v>
      </c>
      <c r="AS47" s="18">
        <f>AR47/$D47</f>
        <v>2.9090909090909092</v>
      </c>
      <c r="AT47" s="20">
        <v>0.43329494946954999</v>
      </c>
      <c r="AU47" s="20">
        <v>3.2003073759060752E-2</v>
      </c>
      <c r="AV47" s="20">
        <v>0.30694365857315992</v>
      </c>
      <c r="AW47" s="20">
        <v>0.12635129089639008</v>
      </c>
      <c r="AX47" s="20">
        <v>100.51006361822672</v>
      </c>
      <c r="AY47" s="20">
        <v>112.36552288076254</v>
      </c>
      <c r="AZ47" s="20">
        <v>5.1582178418855467</v>
      </c>
      <c r="BA47" s="20">
        <v>12.636363636363637</v>
      </c>
      <c r="BB47" s="20">
        <v>20.533021480888777</v>
      </c>
      <c r="BC47" s="21">
        <v>0.52315043664524641</v>
      </c>
      <c r="BD47" s="21">
        <v>0.50456621004566216</v>
      </c>
      <c r="BE47" s="20">
        <v>10.551266541482367</v>
      </c>
      <c r="BF47" s="21">
        <v>0.42465753424657532</v>
      </c>
      <c r="BG47" s="21">
        <v>0.24657534246575341</v>
      </c>
      <c r="BH47" s="20">
        <v>1.7267963538694988</v>
      </c>
      <c r="BI47" s="20">
        <v>8.4613021339605439</v>
      </c>
      <c r="BJ47" s="20">
        <v>4.7589976058813948</v>
      </c>
      <c r="BK47" s="20">
        <v>7.1888401814326341</v>
      </c>
      <c r="BL47" s="20">
        <v>1.0404495435007215</v>
      </c>
      <c r="BM47" s="20">
        <v>2.0864347316271163</v>
      </c>
      <c r="BN47" s="20">
        <v>16.508460586050351</v>
      </c>
      <c r="BO47" s="22" t="s">
        <v>263</v>
      </c>
      <c r="BP47" s="22">
        <v>130000</v>
      </c>
    </row>
    <row r="48" spans="1:68" x14ac:dyDescent="0.3">
      <c r="A48" s="16" t="s">
        <v>162</v>
      </c>
      <c r="B48" s="16" t="s">
        <v>256</v>
      </c>
      <c r="C48" s="4" t="s">
        <v>346</v>
      </c>
      <c r="D48" s="5" t="s">
        <v>206</v>
      </c>
      <c r="E48" s="5">
        <v>23</v>
      </c>
      <c r="F48" s="5">
        <v>6</v>
      </c>
      <c r="G48" s="14">
        <v>52671</v>
      </c>
      <c r="H48" s="5" t="s">
        <v>347</v>
      </c>
      <c r="I48" s="18">
        <f>H48/$D48</f>
        <v>6.3157894736842106</v>
      </c>
      <c r="J48" s="6" t="s">
        <v>481</v>
      </c>
      <c r="K48" s="6" t="s">
        <v>537</v>
      </c>
      <c r="L48" s="18">
        <f>J48/$D48</f>
        <v>4.7105263157894735</v>
      </c>
      <c r="M48" s="18">
        <f>K48/$D48</f>
        <v>2.0789473684210527</v>
      </c>
      <c r="N48" s="19">
        <f>K48/J48</f>
        <v>0.44134078212290501</v>
      </c>
      <c r="O48" s="14" t="s">
        <v>212</v>
      </c>
      <c r="P48" s="15" t="s">
        <v>371</v>
      </c>
      <c r="Q48" s="18">
        <f>O48/$D48</f>
        <v>1.5526315789473684</v>
      </c>
      <c r="R48" s="18">
        <f>P48/$D48</f>
        <v>0.94736842105263153</v>
      </c>
      <c r="S48" s="19">
        <f>P48/O48</f>
        <v>0.61016949152542377</v>
      </c>
      <c r="T48" s="15" t="s">
        <v>522</v>
      </c>
      <c r="U48" s="15" t="s">
        <v>219</v>
      </c>
      <c r="V48" s="18">
        <f>T48/$D48</f>
        <v>3.1578947368421053</v>
      </c>
      <c r="W48" s="18">
        <f>U48/$D48</f>
        <v>1.131578947368421</v>
      </c>
      <c r="X48" s="19">
        <f>U48/T48</f>
        <v>0.35833333333333334</v>
      </c>
      <c r="Y48" s="15" t="s">
        <v>209</v>
      </c>
      <c r="Z48" s="15" t="s">
        <v>186</v>
      </c>
      <c r="AA48" s="18">
        <f>Y48/$D48</f>
        <v>1.368421052631579</v>
      </c>
      <c r="AB48" s="18">
        <f>Z48/$D48</f>
        <v>1.0263157894736843</v>
      </c>
      <c r="AC48" s="19">
        <f>Z48/Y48</f>
        <v>0.75</v>
      </c>
      <c r="AD48" s="15" t="s">
        <v>620</v>
      </c>
      <c r="AE48" s="18">
        <f>AD48/$D48</f>
        <v>1.9736842105263157</v>
      </c>
      <c r="AF48" s="15" t="s">
        <v>183</v>
      </c>
      <c r="AG48" s="18">
        <f>AF48/$D48</f>
        <v>0.42105263157894735</v>
      </c>
      <c r="AH48" s="15" t="s">
        <v>212</v>
      </c>
      <c r="AI48" s="18">
        <f>AH48/$D48</f>
        <v>1.5526315789473684</v>
      </c>
      <c r="AJ48" s="15" t="s">
        <v>234</v>
      </c>
      <c r="AK48" s="18">
        <f>AJ48/$D48</f>
        <v>0.84210526315789469</v>
      </c>
      <c r="AL48" s="15" t="s">
        <v>181</v>
      </c>
      <c r="AM48" s="18">
        <f>AL48/$D48</f>
        <v>0.39473684210526316</v>
      </c>
      <c r="AN48" s="15" t="s">
        <v>229</v>
      </c>
      <c r="AO48" s="18">
        <f>AN48/$D48</f>
        <v>0.13157894736842105</v>
      </c>
      <c r="AP48" s="15" t="s">
        <v>200</v>
      </c>
      <c r="AQ48" s="18">
        <f>AP48/$D48</f>
        <v>0.60526315789473684</v>
      </c>
      <c r="AR48" s="15" t="s">
        <v>524</v>
      </c>
      <c r="AS48" s="18">
        <f>AR48/$D48</f>
        <v>2.9736842105263159</v>
      </c>
      <c r="AT48" s="20">
        <v>0.70022408942135661</v>
      </c>
      <c r="AU48" s="20">
        <v>3.1908138046085971E-2</v>
      </c>
      <c r="AV48" s="20">
        <v>1.3761890951344584</v>
      </c>
      <c r="AW48" s="20">
        <v>-0.67596500571310181</v>
      </c>
      <c r="AX48" s="20">
        <v>117.57713851444605</v>
      </c>
      <c r="AY48" s="20">
        <v>119.67880935023155</v>
      </c>
      <c r="AZ48" s="20">
        <v>4.0390749945913909</v>
      </c>
      <c r="BA48" s="20">
        <v>6.0789473684210522</v>
      </c>
      <c r="BB48" s="20">
        <v>10.526315789473685</v>
      </c>
      <c r="BC48" s="21">
        <v>0.59441252229046959</v>
      </c>
      <c r="BD48" s="21">
        <v>0.56145251396648044</v>
      </c>
      <c r="BE48" s="20">
        <v>8.6963704486751716</v>
      </c>
      <c r="BF48" s="21">
        <v>0.67039106145251393</v>
      </c>
      <c r="BG48" s="21">
        <v>0.29050279329608941</v>
      </c>
      <c r="BH48" s="20">
        <v>1.4721374976422796</v>
      </c>
      <c r="BI48" s="20">
        <v>5.4285070225559071</v>
      </c>
      <c r="BJ48" s="20">
        <v>3.223383714820796</v>
      </c>
      <c r="BK48" s="20">
        <v>3.8394624752534643</v>
      </c>
      <c r="BL48" s="20">
        <v>0.96287216525724695</v>
      </c>
      <c r="BM48" s="20">
        <v>0.44468457411446616</v>
      </c>
      <c r="BN48" s="20">
        <v>10.227676983279972</v>
      </c>
      <c r="BO48" s="22" t="s">
        <v>263</v>
      </c>
      <c r="BP48" s="22">
        <v>110000</v>
      </c>
    </row>
    <row r="49" spans="1:68" x14ac:dyDescent="0.3">
      <c r="A49" s="16" t="s">
        <v>162</v>
      </c>
      <c r="B49" s="16" t="s">
        <v>256</v>
      </c>
      <c r="C49" s="4" t="s">
        <v>358</v>
      </c>
      <c r="D49" s="5" t="s">
        <v>220</v>
      </c>
      <c r="E49" s="5">
        <v>13</v>
      </c>
      <c r="F49" s="5">
        <v>0</v>
      </c>
      <c r="G49" s="14">
        <v>32763</v>
      </c>
      <c r="H49" s="5" t="s">
        <v>359</v>
      </c>
      <c r="I49" s="18">
        <f>H49/$D49</f>
        <v>5.166666666666667</v>
      </c>
      <c r="J49" s="6" t="s">
        <v>544</v>
      </c>
      <c r="K49" s="6" t="s">
        <v>397</v>
      </c>
      <c r="L49" s="18">
        <f>J49/$D49</f>
        <v>4.5</v>
      </c>
      <c r="M49" s="18">
        <f>K49/$D49</f>
        <v>2.0714285714285716</v>
      </c>
      <c r="N49" s="19">
        <f>K49/J49</f>
        <v>0.46031746031746029</v>
      </c>
      <c r="O49" s="14" t="s">
        <v>615</v>
      </c>
      <c r="P49" s="15" t="s">
        <v>405</v>
      </c>
      <c r="Q49" s="18">
        <f>O49/$D49</f>
        <v>3.5238095238095237</v>
      </c>
      <c r="R49" s="18">
        <f>P49/$D49</f>
        <v>1.8571428571428572</v>
      </c>
      <c r="S49" s="19">
        <f>P49/O49</f>
        <v>0.52702702702702697</v>
      </c>
      <c r="T49" s="15" t="s">
        <v>188</v>
      </c>
      <c r="U49" s="15" t="s">
        <v>203</v>
      </c>
      <c r="V49" s="18">
        <f>T49/$D49</f>
        <v>0.97619047619047616</v>
      </c>
      <c r="W49" s="18">
        <f>U49/$D49</f>
        <v>0.21428571428571427</v>
      </c>
      <c r="X49" s="19">
        <f>U49/T49</f>
        <v>0.21951219512195122</v>
      </c>
      <c r="Y49" s="15" t="s">
        <v>233</v>
      </c>
      <c r="Z49" s="15" t="s">
        <v>213</v>
      </c>
      <c r="AA49" s="18">
        <f>Y49/$D49</f>
        <v>1.2142857142857142</v>
      </c>
      <c r="AB49" s="18">
        <f>Z49/$D49</f>
        <v>0.80952380952380953</v>
      </c>
      <c r="AC49" s="19">
        <f>Z49/Y49</f>
        <v>0.66666666666666663</v>
      </c>
      <c r="AD49" s="15" t="s">
        <v>533</v>
      </c>
      <c r="AE49" s="18">
        <f>AD49/$D49</f>
        <v>2.4761904761904763</v>
      </c>
      <c r="AF49" s="15" t="s">
        <v>172</v>
      </c>
      <c r="AG49" s="18">
        <f>AF49/$D49</f>
        <v>0.69047619047619047</v>
      </c>
      <c r="AH49" s="15" t="s">
        <v>620</v>
      </c>
      <c r="AI49" s="18">
        <f>AH49/$D49</f>
        <v>1.7857142857142858</v>
      </c>
      <c r="AJ49" s="15" t="s">
        <v>247</v>
      </c>
      <c r="AK49" s="18">
        <f>AJ49/$D49</f>
        <v>1.0714285714285714</v>
      </c>
      <c r="AL49" s="15" t="s">
        <v>173</v>
      </c>
      <c r="AM49" s="18">
        <f>AL49/$D49</f>
        <v>0.40476190476190477</v>
      </c>
      <c r="AN49" s="15" t="s">
        <v>173</v>
      </c>
      <c r="AO49" s="18">
        <f>AN49/$D49</f>
        <v>0.40476190476190477</v>
      </c>
      <c r="AP49" s="15" t="s">
        <v>213</v>
      </c>
      <c r="AQ49" s="18">
        <f>AP49/$D49</f>
        <v>0.80952380952380953</v>
      </c>
      <c r="AR49" s="15" t="s">
        <v>212</v>
      </c>
      <c r="AS49" s="18">
        <f>AR49/$D49</f>
        <v>1.4047619047619047</v>
      </c>
      <c r="AT49" s="20">
        <v>0.49285925301902955</v>
      </c>
      <c r="AU49" s="20">
        <v>3.6106904983079093E-2</v>
      </c>
      <c r="AV49" s="20">
        <v>0.45390191848464112</v>
      </c>
      <c r="AW49" s="20">
        <v>3.8957334534388426E-2</v>
      </c>
      <c r="AX49" s="20">
        <v>103.02035962042244</v>
      </c>
      <c r="AY49" s="20">
        <v>113.54597453395827</v>
      </c>
      <c r="AZ49" s="20">
        <v>9.0575287819451624</v>
      </c>
      <c r="BA49" s="20">
        <v>5.8809523809523814</v>
      </c>
      <c r="BB49" s="20">
        <v>18.095238095238095</v>
      </c>
      <c r="BC49" s="21">
        <v>0.51314793794930003</v>
      </c>
      <c r="BD49" s="21">
        <v>0.48412698412698413</v>
      </c>
      <c r="BE49" s="20">
        <v>16.86557564496534</v>
      </c>
      <c r="BF49" s="21">
        <v>0.21693121693121692</v>
      </c>
      <c r="BG49" s="21">
        <v>0.26984126984126983</v>
      </c>
      <c r="BH49" s="20">
        <v>4.7412736041854</v>
      </c>
      <c r="BI49" s="20">
        <v>12.261914493582932</v>
      </c>
      <c r="BJ49" s="20">
        <v>7.9424174733184412</v>
      </c>
      <c r="BK49" s="20">
        <v>10.550996483001173</v>
      </c>
      <c r="BL49" s="20">
        <v>1.7544024631584605</v>
      </c>
      <c r="BM49" s="20">
        <v>2.6865789577653985</v>
      </c>
      <c r="BN49" s="20">
        <v>13.852672750977836</v>
      </c>
      <c r="BO49" s="22" t="s">
        <v>264</v>
      </c>
      <c r="BP49" s="22">
        <v>350000</v>
      </c>
    </row>
    <row r="50" spans="1:68" x14ac:dyDescent="0.3">
      <c r="A50" s="16" t="s">
        <v>162</v>
      </c>
      <c r="B50" s="16" t="s">
        <v>256</v>
      </c>
      <c r="C50" s="9" t="s">
        <v>98</v>
      </c>
      <c r="D50" s="10" t="s">
        <v>223</v>
      </c>
      <c r="E50" s="11">
        <v>17</v>
      </c>
      <c r="F50" s="11">
        <v>13</v>
      </c>
      <c r="G50" s="14">
        <v>51654</v>
      </c>
      <c r="H50" s="5" t="s">
        <v>367</v>
      </c>
      <c r="I50" s="18">
        <v>1.3333333333333333</v>
      </c>
      <c r="J50" s="6" t="s">
        <v>549</v>
      </c>
      <c r="K50" s="6" t="s">
        <v>550</v>
      </c>
      <c r="L50" s="18">
        <v>1.3333333333333333</v>
      </c>
      <c r="M50" s="18">
        <v>0.33333333333333331</v>
      </c>
      <c r="N50" s="19">
        <f>K50/J50</f>
        <v>0.42499999999999999</v>
      </c>
      <c r="O50" s="14" t="s">
        <v>232</v>
      </c>
      <c r="P50" s="15" t="s">
        <v>177</v>
      </c>
      <c r="Q50" s="18">
        <v>1.1666666666666667</v>
      </c>
      <c r="R50" s="18">
        <v>0.33333333333333331</v>
      </c>
      <c r="S50" s="19">
        <f>P50/O50</f>
        <v>0.53061224489795922</v>
      </c>
      <c r="T50" s="15" t="s">
        <v>517</v>
      </c>
      <c r="U50" s="15" t="s">
        <v>220</v>
      </c>
      <c r="V50" s="18">
        <v>0.16666666666666666</v>
      </c>
      <c r="W50" s="18">
        <v>0</v>
      </c>
      <c r="X50" s="19">
        <f>U50/T50</f>
        <v>0.3783783783783784</v>
      </c>
      <c r="Y50" s="15" t="s">
        <v>181</v>
      </c>
      <c r="Z50" s="15" t="s">
        <v>176</v>
      </c>
      <c r="AA50" s="18">
        <v>0.66666666666666663</v>
      </c>
      <c r="AB50" s="18">
        <v>0.66666666666666663</v>
      </c>
      <c r="AC50" s="19">
        <f>Z50/Y50</f>
        <v>0.66666666666666663</v>
      </c>
      <c r="AD50" s="15" t="s">
        <v>539</v>
      </c>
      <c r="AE50" s="18">
        <v>1.1666666666666667</v>
      </c>
      <c r="AF50" s="15" t="s">
        <v>185</v>
      </c>
      <c r="AG50" s="18">
        <v>0.5</v>
      </c>
      <c r="AH50" s="15" t="s">
        <v>409</v>
      </c>
      <c r="AI50" s="18">
        <v>0.66666666666666663</v>
      </c>
      <c r="AJ50" s="15" t="s">
        <v>245</v>
      </c>
      <c r="AK50" s="18">
        <v>0.5</v>
      </c>
      <c r="AL50" s="15" t="s">
        <v>172</v>
      </c>
      <c r="AM50" s="18">
        <v>0</v>
      </c>
      <c r="AN50" s="15" t="s">
        <v>194</v>
      </c>
      <c r="AO50" s="18">
        <v>0</v>
      </c>
      <c r="AP50" s="15" t="s">
        <v>183</v>
      </c>
      <c r="AQ50" s="18">
        <v>0.16666666666666666</v>
      </c>
      <c r="AR50" s="15" t="s">
        <v>616</v>
      </c>
      <c r="AS50" s="18">
        <v>1.1666666666666667</v>
      </c>
      <c r="AT50" s="20">
        <v>0.6216324866374463</v>
      </c>
      <c r="AU50" s="20">
        <v>2.8885149427490243E-2</v>
      </c>
      <c r="AV50" s="20">
        <v>0.99095998587752288</v>
      </c>
      <c r="AW50" s="20">
        <v>-0.36932749924007657</v>
      </c>
      <c r="AX50" s="20">
        <v>115.31032612278082</v>
      </c>
      <c r="AY50" s="20">
        <v>117.19312914251415</v>
      </c>
      <c r="AZ50" s="20">
        <v>5.8136556123227088</v>
      </c>
      <c r="BA50" s="20">
        <v>4.4800000000000004</v>
      </c>
      <c r="BB50" s="20">
        <v>10.408518877057116</v>
      </c>
      <c r="BC50" s="21">
        <v>0.56422569027611047</v>
      </c>
      <c r="BD50" s="21">
        <v>0.55625000000000002</v>
      </c>
      <c r="BE50" s="20">
        <v>9.47438177669944</v>
      </c>
      <c r="BF50" s="21">
        <v>0.69374999999999998</v>
      </c>
      <c r="BG50" s="21">
        <v>9.375E-2</v>
      </c>
      <c r="BH50" s="20">
        <v>1.4814007055170859</v>
      </c>
      <c r="BI50" s="20">
        <v>8.764954174309425</v>
      </c>
      <c r="BJ50" s="20">
        <v>4.7862099488293612</v>
      </c>
      <c r="BK50" s="20">
        <v>5.7184091930235406</v>
      </c>
      <c r="BL50" s="20">
        <v>1.8982432846638162</v>
      </c>
      <c r="BM50" s="20">
        <v>0.23865743261283651</v>
      </c>
      <c r="BN50" s="20">
        <v>8.762322015334064</v>
      </c>
      <c r="BO50" s="22" t="s">
        <v>263</v>
      </c>
      <c r="BP50" s="22">
        <v>600000</v>
      </c>
    </row>
    <row r="51" spans="1:68" x14ac:dyDescent="0.3">
      <c r="A51" s="16" t="s">
        <v>162</v>
      </c>
      <c r="B51" s="16" t="s">
        <v>256</v>
      </c>
      <c r="C51" s="4" t="s">
        <v>169</v>
      </c>
      <c r="D51" s="10" t="s">
        <v>209</v>
      </c>
      <c r="E51" s="11">
        <v>16</v>
      </c>
      <c r="F51" s="11">
        <v>38</v>
      </c>
      <c r="G51" s="14">
        <v>51873</v>
      </c>
      <c r="H51" s="5" t="s">
        <v>374</v>
      </c>
      <c r="I51" s="18">
        <f>H51/$D51</f>
        <v>3.2884615384615383</v>
      </c>
      <c r="J51" s="6" t="s">
        <v>378</v>
      </c>
      <c r="K51" s="6" t="s">
        <v>553</v>
      </c>
      <c r="L51" s="18">
        <f>J51/$D51</f>
        <v>3.1730769230769229</v>
      </c>
      <c r="M51" s="18">
        <f>K51/$D51</f>
        <v>1.1538461538461537</v>
      </c>
      <c r="N51" s="19">
        <f>K51/J51</f>
        <v>0.36363636363636365</v>
      </c>
      <c r="O51" s="14" t="s">
        <v>553</v>
      </c>
      <c r="P51" s="15" t="s">
        <v>174</v>
      </c>
      <c r="Q51" s="18">
        <f>O51/$D51</f>
        <v>1.1538461538461537</v>
      </c>
      <c r="R51" s="18">
        <f>P51/$D51</f>
        <v>0.46153846153846156</v>
      </c>
      <c r="S51" s="19">
        <f>P51/O51</f>
        <v>0.4</v>
      </c>
      <c r="T51" s="15" t="s">
        <v>518</v>
      </c>
      <c r="U51" s="15" t="s">
        <v>371</v>
      </c>
      <c r="V51" s="18">
        <f>T51/$D51</f>
        <v>2.0192307692307692</v>
      </c>
      <c r="W51" s="18">
        <f>U51/$D51</f>
        <v>0.69230769230769229</v>
      </c>
      <c r="X51" s="19">
        <f>U51/T51</f>
        <v>0.34285714285714286</v>
      </c>
      <c r="Y51" s="15" t="s">
        <v>208</v>
      </c>
      <c r="Z51" s="15" t="s">
        <v>181</v>
      </c>
      <c r="AA51" s="18">
        <f>Y51/$D51</f>
        <v>0.38461538461538464</v>
      </c>
      <c r="AB51" s="18">
        <f>Z51/$D51</f>
        <v>0.28846153846153844</v>
      </c>
      <c r="AC51" s="19">
        <f>Z51/Y51</f>
        <v>0.75</v>
      </c>
      <c r="AD51" s="15" t="s">
        <v>550</v>
      </c>
      <c r="AE51" s="18">
        <f>AD51/$D51</f>
        <v>1.3076923076923077</v>
      </c>
      <c r="AF51" s="15" t="s">
        <v>178</v>
      </c>
      <c r="AG51" s="18">
        <f>AF51/$D51</f>
        <v>0.26923076923076922</v>
      </c>
      <c r="AH51" s="15" t="s">
        <v>201</v>
      </c>
      <c r="AI51" s="18">
        <f>AH51/$D51</f>
        <v>1.0384615384615385</v>
      </c>
      <c r="AJ51" s="15" t="s">
        <v>601</v>
      </c>
      <c r="AK51" s="18">
        <f>AJ51/$D51</f>
        <v>1.9807692307692308</v>
      </c>
      <c r="AL51" s="15" t="s">
        <v>234</v>
      </c>
      <c r="AM51" s="18">
        <f>AL51/$D51</f>
        <v>0.61538461538461542</v>
      </c>
      <c r="AN51" s="15" t="s">
        <v>194</v>
      </c>
      <c r="AO51" s="18">
        <f>AN51/$D51</f>
        <v>3.8461538461538464E-2</v>
      </c>
      <c r="AP51" s="15" t="s">
        <v>224</v>
      </c>
      <c r="AQ51" s="18">
        <f>AP51/$D51</f>
        <v>1.0576923076923077</v>
      </c>
      <c r="AR51" s="15" t="s">
        <v>608</v>
      </c>
      <c r="AS51" s="18">
        <f>AR51/$D51</f>
        <v>1.7692307692307692</v>
      </c>
      <c r="AT51" s="20">
        <v>-0.48104423161763932</v>
      </c>
      <c r="AU51" s="20">
        <v>-2.2246534528332328E-2</v>
      </c>
      <c r="AV51" s="20">
        <v>-5.430501535240348E-2</v>
      </c>
      <c r="AW51" s="20">
        <v>-0.42673921626523581</v>
      </c>
      <c r="AX51" s="20">
        <v>96.474160762214368</v>
      </c>
      <c r="AY51" s="20">
        <v>117.66210777145096</v>
      </c>
      <c r="AZ51" s="20">
        <v>4.6728410404976701</v>
      </c>
      <c r="BA51" s="20">
        <v>4.0576923076923075</v>
      </c>
      <c r="BB51" s="20">
        <v>9.7579774934484362</v>
      </c>
      <c r="BC51" s="21">
        <v>0.49194476409666282</v>
      </c>
      <c r="BD51" s="21">
        <v>0.47272727272727272</v>
      </c>
      <c r="BE51" s="20">
        <v>12.28785019477961</v>
      </c>
      <c r="BF51" s="21">
        <v>0.63636363636363635</v>
      </c>
      <c r="BG51" s="21">
        <v>0.12121212121212122</v>
      </c>
      <c r="BH51" s="20">
        <v>1.7889125754165081</v>
      </c>
      <c r="BI51" s="20">
        <v>6.9000913623208167</v>
      </c>
      <c r="BJ51" s="20">
        <v>4.0587504122168383</v>
      </c>
      <c r="BK51" s="20">
        <v>17.252449680355099</v>
      </c>
      <c r="BL51" s="20">
        <v>2.0846842895953417</v>
      </c>
      <c r="BM51" s="20">
        <v>0.24702718225356723</v>
      </c>
      <c r="BN51" s="20">
        <v>24.038461538461537</v>
      </c>
      <c r="BO51" s="22" t="s">
        <v>263</v>
      </c>
      <c r="BP51" s="22">
        <v>200000</v>
      </c>
    </row>
    <row r="52" spans="1:68" x14ac:dyDescent="0.3">
      <c r="A52" s="16" t="s">
        <v>162</v>
      </c>
      <c r="B52" s="16" t="s">
        <v>256</v>
      </c>
      <c r="C52" s="4" t="s">
        <v>91</v>
      </c>
      <c r="D52" s="7" t="s">
        <v>170</v>
      </c>
      <c r="E52" s="7">
        <v>8</v>
      </c>
      <c r="F52" s="7">
        <v>35</v>
      </c>
      <c r="G52" s="14">
        <v>14427</v>
      </c>
      <c r="H52" s="5" t="s">
        <v>224</v>
      </c>
      <c r="I52" s="18">
        <f>H52/$D52</f>
        <v>1.9642857142857142</v>
      </c>
      <c r="J52" s="6" t="s">
        <v>215</v>
      </c>
      <c r="K52" s="6" t="s">
        <v>204</v>
      </c>
      <c r="L52" s="18">
        <f>J52/$D52</f>
        <v>2.0357142857142856</v>
      </c>
      <c r="M52" s="18">
        <f>K52/$D52</f>
        <v>0.7857142857142857</v>
      </c>
      <c r="N52" s="19">
        <f>K52/J52</f>
        <v>0.38596491228070173</v>
      </c>
      <c r="O52" s="14" t="s">
        <v>232</v>
      </c>
      <c r="P52" s="15" t="s">
        <v>191</v>
      </c>
      <c r="Q52" s="18">
        <f>O52/$D52</f>
        <v>1.75</v>
      </c>
      <c r="R52" s="18">
        <f>P52/$D52</f>
        <v>0.6785714285714286</v>
      </c>
      <c r="S52" s="19">
        <f>P52/O52</f>
        <v>0.38775510204081631</v>
      </c>
      <c r="T52" s="15" t="s">
        <v>189</v>
      </c>
      <c r="U52" s="15" t="s">
        <v>193</v>
      </c>
      <c r="V52" s="18">
        <f>T52/$D52</f>
        <v>0.2857142857142857</v>
      </c>
      <c r="W52" s="18">
        <f>U52/$D52</f>
        <v>0.10714285714285714</v>
      </c>
      <c r="X52" s="19">
        <f>U52/T52</f>
        <v>0.375</v>
      </c>
      <c r="Y52" s="15" t="s">
        <v>176</v>
      </c>
      <c r="Z52" s="15" t="s">
        <v>189</v>
      </c>
      <c r="AA52" s="18">
        <f>Y52/$D52</f>
        <v>0.35714285714285715</v>
      </c>
      <c r="AB52" s="18">
        <f>Z52/$D52</f>
        <v>0.2857142857142857</v>
      </c>
      <c r="AC52" s="19">
        <f>Z52/Y52</f>
        <v>0.8</v>
      </c>
      <c r="AD52" s="15" t="s">
        <v>183</v>
      </c>
      <c r="AE52" s="18">
        <f>AD52/$D52</f>
        <v>0.5714285714285714</v>
      </c>
      <c r="AF52" s="15" t="s">
        <v>229</v>
      </c>
      <c r="AG52" s="18">
        <f>AF52/$D52</f>
        <v>0.17857142857142858</v>
      </c>
      <c r="AH52" s="15" t="s">
        <v>211</v>
      </c>
      <c r="AI52" s="18">
        <f>AH52/$D52</f>
        <v>0.39285714285714285</v>
      </c>
      <c r="AJ52" s="15" t="s">
        <v>191</v>
      </c>
      <c r="AK52" s="18">
        <f>AJ52/$D52</f>
        <v>0.6785714285714286</v>
      </c>
      <c r="AL52" s="15" t="s">
        <v>193</v>
      </c>
      <c r="AM52" s="18">
        <f>AL52/$D52</f>
        <v>0.10714285714285714</v>
      </c>
      <c r="AN52" s="15" t="s">
        <v>192</v>
      </c>
      <c r="AO52" s="18">
        <f>AN52/$D52</f>
        <v>0</v>
      </c>
      <c r="AP52" s="15" t="s">
        <v>187</v>
      </c>
      <c r="AQ52" s="18">
        <f>AP52/$D52</f>
        <v>0.25</v>
      </c>
      <c r="AR52" s="15" t="s">
        <v>178</v>
      </c>
      <c r="AS52" s="18">
        <f>AR52/$D52</f>
        <v>0.5</v>
      </c>
      <c r="AT52" s="20">
        <v>-0.16962064408638883</v>
      </c>
      <c r="AU52" s="20">
        <v>-2.8230897767498833E-2</v>
      </c>
      <c r="AV52" s="20">
        <v>8.1426946754051224E-2</v>
      </c>
      <c r="AW52" s="20">
        <v>-0.25104759084044004</v>
      </c>
      <c r="AX52" s="20">
        <v>100.93165417524908</v>
      </c>
      <c r="AY52" s="20">
        <v>121.67965468027242</v>
      </c>
      <c r="AZ52" s="20">
        <v>2.6920335224066712</v>
      </c>
      <c r="BA52" s="20">
        <v>1.75</v>
      </c>
      <c r="BB52" s="20">
        <v>8.1553398058252426</v>
      </c>
      <c r="BC52" s="21">
        <v>0.44788273615635182</v>
      </c>
      <c r="BD52" s="21">
        <v>0.41228070175438597</v>
      </c>
      <c r="BE52" s="20">
        <v>7.1186772304321373</v>
      </c>
      <c r="BF52" s="21">
        <v>0.14035087719298245</v>
      </c>
      <c r="BG52" s="21">
        <v>0.17543859649122806</v>
      </c>
      <c r="BH52" s="20">
        <v>1.2380962207112862</v>
      </c>
      <c r="BI52" s="20">
        <v>2.7238116855648298</v>
      </c>
      <c r="BJ52" s="20">
        <v>1.8506603821324523</v>
      </c>
      <c r="BK52" s="20">
        <v>5.9929031410172175</v>
      </c>
      <c r="BL52" s="20">
        <v>0.70336409431024516</v>
      </c>
      <c r="BM52" s="20">
        <v>0</v>
      </c>
      <c r="BN52" s="20">
        <v>10.23391812865497</v>
      </c>
      <c r="BO52" s="22" t="s">
        <v>263</v>
      </c>
      <c r="BP52" s="22">
        <v>50000</v>
      </c>
    </row>
    <row r="53" spans="1:68" x14ac:dyDescent="0.3">
      <c r="A53" s="16" t="s">
        <v>162</v>
      </c>
      <c r="B53" s="16" t="s">
        <v>256</v>
      </c>
      <c r="C53" s="4" t="s">
        <v>99</v>
      </c>
      <c r="D53" s="7" t="s">
        <v>178</v>
      </c>
      <c r="E53" s="7">
        <v>6</v>
      </c>
      <c r="F53" s="7">
        <v>11</v>
      </c>
      <c r="G53" s="14">
        <v>5190</v>
      </c>
      <c r="H53" s="5" t="s">
        <v>235</v>
      </c>
      <c r="I53" s="18">
        <f>H53/$D53</f>
        <v>2.6428571428571428</v>
      </c>
      <c r="J53" s="6" t="s">
        <v>200</v>
      </c>
      <c r="K53" s="6" t="s">
        <v>185</v>
      </c>
      <c r="L53" s="18">
        <f>J53/$D53</f>
        <v>1.6428571428571428</v>
      </c>
      <c r="M53" s="18">
        <f>K53/$D53</f>
        <v>0.8571428571428571</v>
      </c>
      <c r="N53" s="19">
        <f>K53/J53</f>
        <v>0.52173913043478259</v>
      </c>
      <c r="O53" s="14" t="s">
        <v>185</v>
      </c>
      <c r="P53" s="15" t="s">
        <v>189</v>
      </c>
      <c r="Q53" s="18">
        <f>O53/$D53</f>
        <v>0.8571428571428571</v>
      </c>
      <c r="R53" s="18">
        <f>P53/$D53</f>
        <v>0.5714285714285714</v>
      </c>
      <c r="S53" s="19">
        <f>P53/O53</f>
        <v>0.66666666666666663</v>
      </c>
      <c r="T53" s="15" t="s">
        <v>211</v>
      </c>
      <c r="U53" s="15" t="s">
        <v>184</v>
      </c>
      <c r="V53" s="18">
        <f>T53/$D53</f>
        <v>0.7857142857142857</v>
      </c>
      <c r="W53" s="18">
        <f>U53/$D53</f>
        <v>0.2857142857142857</v>
      </c>
      <c r="X53" s="19">
        <f>U53/T53</f>
        <v>0.36363636363636365</v>
      </c>
      <c r="Y53" s="15" t="s">
        <v>176</v>
      </c>
      <c r="Z53" s="15" t="s">
        <v>203</v>
      </c>
      <c r="AA53" s="18">
        <f>Y53/$D53</f>
        <v>0.7142857142857143</v>
      </c>
      <c r="AB53" s="18">
        <f>Z53/$D53</f>
        <v>0.6428571428571429</v>
      </c>
      <c r="AC53" s="19">
        <f>Z53/Y53</f>
        <v>0.9</v>
      </c>
      <c r="AD53" s="15" t="s">
        <v>189</v>
      </c>
      <c r="AE53" s="18">
        <f>AD53/$D53</f>
        <v>0.5714285714285714</v>
      </c>
      <c r="AF53" s="15" t="s">
        <v>193</v>
      </c>
      <c r="AG53" s="18">
        <f>AF53/$D53</f>
        <v>0.21428571428571427</v>
      </c>
      <c r="AH53" s="15" t="s">
        <v>229</v>
      </c>
      <c r="AI53" s="18">
        <f>AH53/$D53</f>
        <v>0.35714285714285715</v>
      </c>
      <c r="AJ53" s="15" t="s">
        <v>226</v>
      </c>
      <c r="AK53" s="18">
        <f>AJ53/$D53</f>
        <v>0.42857142857142855</v>
      </c>
      <c r="AL53" s="15" t="s">
        <v>193</v>
      </c>
      <c r="AM53" s="18">
        <f>AL53/$D53</f>
        <v>0.21428571428571427</v>
      </c>
      <c r="AN53" s="15" t="s">
        <v>192</v>
      </c>
      <c r="AO53" s="18">
        <f>AN53/$D53</f>
        <v>0</v>
      </c>
      <c r="AP53" s="15" t="s">
        <v>226</v>
      </c>
      <c r="AQ53" s="18">
        <f>AP53/$D53</f>
        <v>0.42857142857142855</v>
      </c>
      <c r="AR53" s="15" t="s">
        <v>189</v>
      </c>
      <c r="AS53" s="18">
        <f>AR53/$D53</f>
        <v>0.5714285714285714</v>
      </c>
      <c r="AT53" s="20">
        <v>0.1913196590461087</v>
      </c>
      <c r="AU53" s="20">
        <v>8.8403385003977833E-2</v>
      </c>
      <c r="AV53" s="20">
        <v>0.24180167005765027</v>
      </c>
      <c r="AW53" s="20">
        <v>-5.0482011011541573E-2</v>
      </c>
      <c r="AX53" s="20">
        <v>120.13710206670775</v>
      </c>
      <c r="AY53" s="20">
        <v>118.31648265820256</v>
      </c>
      <c r="AZ53" s="20">
        <v>3.183251552323759</v>
      </c>
      <c r="BA53" s="20">
        <v>2.5714285714285716</v>
      </c>
      <c r="BB53" s="20">
        <v>16.634578359645747</v>
      </c>
      <c r="BC53" s="21">
        <v>0.67518248175182483</v>
      </c>
      <c r="BD53" s="21">
        <v>0.60869565217391308</v>
      </c>
      <c r="BE53" s="20">
        <v>4.825285187838432</v>
      </c>
      <c r="BF53" s="21">
        <v>0.47826086956521741</v>
      </c>
      <c r="BG53" s="21">
        <v>0.43478260869565216</v>
      </c>
      <c r="BH53" s="20">
        <v>1.0311906528296158</v>
      </c>
      <c r="BI53" s="20">
        <v>1.7186510880493597</v>
      </c>
      <c r="BJ53" s="20">
        <v>1.2844880010757587</v>
      </c>
      <c r="BK53" s="20">
        <v>2.5835157343284654</v>
      </c>
      <c r="BL53" s="20">
        <v>1.9527358952548584</v>
      </c>
      <c r="BM53" s="20">
        <v>0</v>
      </c>
      <c r="BN53" s="20">
        <v>17.964071856287426</v>
      </c>
      <c r="BO53" s="22" t="s">
        <v>263</v>
      </c>
      <c r="BP53" s="22"/>
    </row>
    <row r="54" spans="1:68" x14ac:dyDescent="0.3">
      <c r="A54" s="16" t="s">
        <v>162</v>
      </c>
      <c r="B54" s="16" t="s">
        <v>256</v>
      </c>
      <c r="C54" s="4" t="s">
        <v>117</v>
      </c>
      <c r="D54" s="5" t="s">
        <v>371</v>
      </c>
      <c r="E54" s="7">
        <v>5</v>
      </c>
      <c r="F54" s="7">
        <v>59</v>
      </c>
      <c r="G54" s="14">
        <v>12911</v>
      </c>
      <c r="H54" s="5" t="s">
        <v>171</v>
      </c>
      <c r="I54" s="18">
        <f>H54/$D54</f>
        <v>0.86111111111111116</v>
      </c>
      <c r="J54" s="6" t="s">
        <v>199</v>
      </c>
      <c r="K54" s="6" t="s">
        <v>176</v>
      </c>
      <c r="L54" s="18">
        <f>J54/$D54</f>
        <v>0.91666666666666663</v>
      </c>
      <c r="M54" s="18">
        <f>K54/$D54</f>
        <v>0.27777777777777779</v>
      </c>
      <c r="N54" s="19">
        <f>K54/J54</f>
        <v>0.30303030303030304</v>
      </c>
      <c r="O54" s="14" t="s">
        <v>176</v>
      </c>
      <c r="P54" s="15" t="s">
        <v>193</v>
      </c>
      <c r="Q54" s="18">
        <f>O54/$D54</f>
        <v>0.27777777777777779</v>
      </c>
      <c r="R54" s="18">
        <f>P54/$D54</f>
        <v>8.3333333333333329E-2</v>
      </c>
      <c r="S54" s="19">
        <f>P54/O54</f>
        <v>0.3</v>
      </c>
      <c r="T54" s="15" t="s">
        <v>200</v>
      </c>
      <c r="U54" s="15" t="s">
        <v>187</v>
      </c>
      <c r="V54" s="18">
        <f>T54/$D54</f>
        <v>0.63888888888888884</v>
      </c>
      <c r="W54" s="18">
        <f>U54/$D54</f>
        <v>0.19444444444444445</v>
      </c>
      <c r="X54" s="19">
        <f>U54/T54</f>
        <v>0.30434782608695654</v>
      </c>
      <c r="Y54" s="15" t="s">
        <v>187</v>
      </c>
      <c r="Z54" s="15" t="s">
        <v>184</v>
      </c>
      <c r="AA54" s="18">
        <f>Y54/$D54</f>
        <v>0.19444444444444445</v>
      </c>
      <c r="AB54" s="18">
        <f>Z54/$D54</f>
        <v>0.1111111111111111</v>
      </c>
      <c r="AC54" s="19">
        <f>Z54/Y54</f>
        <v>0.5714285714285714</v>
      </c>
      <c r="AD54" s="15" t="s">
        <v>177</v>
      </c>
      <c r="AE54" s="18">
        <f>AD54/$D54</f>
        <v>0.72222222222222221</v>
      </c>
      <c r="AF54" s="15" t="s">
        <v>211</v>
      </c>
      <c r="AG54" s="18">
        <f>AF54/$D54</f>
        <v>0.30555555555555558</v>
      </c>
      <c r="AH54" s="15" t="s">
        <v>181</v>
      </c>
      <c r="AI54" s="18">
        <f>AH54/$D54</f>
        <v>0.41666666666666669</v>
      </c>
      <c r="AJ54" s="15" t="s">
        <v>229</v>
      </c>
      <c r="AK54" s="18">
        <f>AJ54/$D54</f>
        <v>0.1388888888888889</v>
      </c>
      <c r="AL54" s="15" t="s">
        <v>231</v>
      </c>
      <c r="AM54" s="18">
        <f>AL54/$D54</f>
        <v>2.7777777777777776E-2</v>
      </c>
      <c r="AN54" s="15" t="s">
        <v>189</v>
      </c>
      <c r="AO54" s="18">
        <f>AN54/$D54</f>
        <v>0.22222222222222221</v>
      </c>
      <c r="AP54" s="15" t="s">
        <v>193</v>
      </c>
      <c r="AQ54" s="18">
        <f>AP54/$D54</f>
        <v>8.3333333333333329E-2</v>
      </c>
      <c r="AR54" s="15" t="s">
        <v>170</v>
      </c>
      <c r="AS54" s="18">
        <f>AR54/$D54</f>
        <v>0.77777777777777779</v>
      </c>
      <c r="AT54" s="20">
        <v>-8.912508900699681E-2</v>
      </c>
      <c r="AU54" s="20">
        <v>-1.6550620057009621E-2</v>
      </c>
      <c r="AV54" s="20">
        <v>7.0121126954167196E-2</v>
      </c>
      <c r="AW54" s="20">
        <v>-0.15924621596116401</v>
      </c>
      <c r="AX54" s="20">
        <v>102.80256340152174</v>
      </c>
      <c r="AY54" s="20">
        <v>119.45459023473265</v>
      </c>
      <c r="AZ54" s="20">
        <v>1.8150114606781758</v>
      </c>
      <c r="BA54" s="20">
        <v>1.1666666666666667</v>
      </c>
      <c r="BB54" s="20">
        <v>7.7994428969359326</v>
      </c>
      <c r="BC54" s="21">
        <v>0.42960088691796011</v>
      </c>
      <c r="BD54" s="21">
        <v>0.40909090909090912</v>
      </c>
      <c r="BE54" s="20">
        <v>5.8345925847921967</v>
      </c>
      <c r="BF54" s="21">
        <v>0.69696969696969702</v>
      </c>
      <c r="BG54" s="21">
        <v>0.21212121212121213</v>
      </c>
      <c r="BH54" s="20">
        <v>3.9074178776208566</v>
      </c>
      <c r="BI54" s="20">
        <v>5.3282971058466222</v>
      </c>
      <c r="BJ54" s="20">
        <v>4.3141264827217158</v>
      </c>
      <c r="BK54" s="20">
        <v>2.2090497404366554</v>
      </c>
      <c r="BL54" s="20">
        <v>0.26159368203739131</v>
      </c>
      <c r="BM54" s="20">
        <v>2.7468872188196114</v>
      </c>
      <c r="BN54" s="20">
        <v>7.6765609007164795</v>
      </c>
      <c r="BO54" s="22" t="s">
        <v>263</v>
      </c>
      <c r="BP54" s="22">
        <v>560000</v>
      </c>
    </row>
    <row r="55" spans="1:68" x14ac:dyDescent="0.3">
      <c r="A55" s="16" t="s">
        <v>162</v>
      </c>
      <c r="B55" s="16" t="s">
        <v>256</v>
      </c>
      <c r="C55" s="4" t="s">
        <v>96</v>
      </c>
      <c r="D55" s="5" t="s">
        <v>194</v>
      </c>
      <c r="E55" s="7">
        <v>3</v>
      </c>
      <c r="F55" s="7">
        <v>4</v>
      </c>
      <c r="G55" s="14">
        <v>367</v>
      </c>
      <c r="H55" s="5" t="s">
        <v>194</v>
      </c>
      <c r="I55" s="18">
        <f>H55/$D55</f>
        <v>1</v>
      </c>
      <c r="J55" s="6" t="s">
        <v>231</v>
      </c>
      <c r="K55" s="6" t="s">
        <v>231</v>
      </c>
      <c r="L55" s="18">
        <f>J55/$D55</f>
        <v>0.5</v>
      </c>
      <c r="M55" s="18">
        <f>K55/$D55</f>
        <v>0.5</v>
      </c>
      <c r="N55" s="19">
        <f>K55/J55</f>
        <v>1</v>
      </c>
      <c r="O55" s="14" t="s">
        <v>231</v>
      </c>
      <c r="P55" s="15" t="s">
        <v>231</v>
      </c>
      <c r="Q55" s="18">
        <f>O55/$D55</f>
        <v>0.5</v>
      </c>
      <c r="R55" s="18">
        <f>P55/$D55</f>
        <v>0.5</v>
      </c>
      <c r="S55" s="19">
        <f>P55/O55</f>
        <v>1</v>
      </c>
      <c r="T55" s="15" t="s">
        <v>192</v>
      </c>
      <c r="U55" s="15" t="s">
        <v>192</v>
      </c>
      <c r="V55" s="18">
        <f>T55/$D55</f>
        <v>0</v>
      </c>
      <c r="W55" s="18">
        <f>U55/$D55</f>
        <v>0</v>
      </c>
      <c r="X55" s="19" t="e">
        <f>U55/T55</f>
        <v>#DIV/0!</v>
      </c>
      <c r="Y55" s="15" t="s">
        <v>192</v>
      </c>
      <c r="Z55" s="15" t="s">
        <v>192</v>
      </c>
      <c r="AA55" s="18">
        <f>Y55/$D55</f>
        <v>0</v>
      </c>
      <c r="AB55" s="18">
        <f>Z55/$D55</f>
        <v>0</v>
      </c>
      <c r="AC55" s="19" t="e">
        <f>Z55/Y55</f>
        <v>#DIV/0!</v>
      </c>
      <c r="AD55" s="15" t="s">
        <v>231</v>
      </c>
      <c r="AE55" s="18">
        <f>AD55/$D55</f>
        <v>0.5</v>
      </c>
      <c r="AF55" s="15" t="s">
        <v>192</v>
      </c>
      <c r="AG55" s="18">
        <f>AF55/$D55</f>
        <v>0</v>
      </c>
      <c r="AH55" s="15" t="s">
        <v>231</v>
      </c>
      <c r="AI55" s="18">
        <f>AH55/$D55</f>
        <v>0.5</v>
      </c>
      <c r="AJ55" s="15" t="s">
        <v>192</v>
      </c>
      <c r="AK55" s="18">
        <f>AJ55/$D55</f>
        <v>0</v>
      </c>
      <c r="AL55" s="15" t="s">
        <v>192</v>
      </c>
      <c r="AM55" s="18">
        <f>AL55/$D55</f>
        <v>0</v>
      </c>
      <c r="AN55" s="15" t="s">
        <v>192</v>
      </c>
      <c r="AO55" s="18">
        <f>AN55/$D55</f>
        <v>0</v>
      </c>
      <c r="AP55" s="15" t="s">
        <v>192</v>
      </c>
      <c r="AQ55" s="18">
        <f>AP55/$D55</f>
        <v>0</v>
      </c>
      <c r="AR55" s="15" t="s">
        <v>192</v>
      </c>
      <c r="AS55" s="18">
        <f>AR55/$D55</f>
        <v>0</v>
      </c>
      <c r="AT55" s="20">
        <v>1.7914278957183345E-2</v>
      </c>
      <c r="AU55" s="20">
        <v>0.11683225406858704</v>
      </c>
      <c r="AV55" s="20">
        <v>2.13726165324521E-2</v>
      </c>
      <c r="AW55" s="20">
        <v>-3.4583375752687564E-3</v>
      </c>
      <c r="AX55" s="20">
        <v>200</v>
      </c>
      <c r="AY55" s="20">
        <v>118.17582379174836</v>
      </c>
      <c r="AZ55" s="20">
        <v>0.60092046490879947</v>
      </c>
      <c r="BA55" s="20">
        <v>1.5</v>
      </c>
      <c r="BB55" s="20">
        <v>19.565217391304344</v>
      </c>
      <c r="BC55" s="21">
        <v>1</v>
      </c>
      <c r="BD55" s="21">
        <v>1</v>
      </c>
      <c r="BE55" s="20">
        <v>0.29129471568082171</v>
      </c>
      <c r="BF55" s="21">
        <v>0</v>
      </c>
      <c r="BG55" s="21">
        <v>0</v>
      </c>
      <c r="BH55" s="20">
        <v>0</v>
      </c>
      <c r="BI55" s="20">
        <v>0.69306473224599174</v>
      </c>
      <c r="BJ55" s="20">
        <v>0.32373984266243644</v>
      </c>
      <c r="BK55" s="20">
        <v>0</v>
      </c>
      <c r="BL55" s="20">
        <v>0</v>
      </c>
      <c r="BM55" s="20">
        <v>0</v>
      </c>
      <c r="BN55" s="20">
        <v>0</v>
      </c>
      <c r="BO55" s="22" t="s">
        <v>263</v>
      </c>
      <c r="BP55" s="22">
        <v>450000</v>
      </c>
    </row>
    <row r="56" spans="1:68" x14ac:dyDescent="0.3">
      <c r="A56" s="16" t="s">
        <v>162</v>
      </c>
      <c r="B56" s="16" t="s">
        <v>256</v>
      </c>
      <c r="C56" s="4" t="s">
        <v>435</v>
      </c>
      <c r="D56" s="5" t="s">
        <v>231</v>
      </c>
      <c r="E56" s="7">
        <v>1</v>
      </c>
      <c r="F56" s="7">
        <v>46</v>
      </c>
      <c r="G56" s="14">
        <v>106</v>
      </c>
      <c r="H56" s="5" t="s">
        <v>192</v>
      </c>
      <c r="I56" s="18">
        <f>H56/$D56</f>
        <v>0</v>
      </c>
      <c r="J56" s="6" t="s">
        <v>192</v>
      </c>
      <c r="K56" s="6" t="s">
        <v>192</v>
      </c>
      <c r="L56" s="18">
        <f>J56/$D56</f>
        <v>0</v>
      </c>
      <c r="M56" s="18">
        <f>K56/$D56</f>
        <v>0</v>
      </c>
      <c r="N56" s="19" t="e">
        <f>K56/J56</f>
        <v>#DIV/0!</v>
      </c>
      <c r="O56" s="14" t="s">
        <v>192</v>
      </c>
      <c r="P56" s="15" t="s">
        <v>192</v>
      </c>
      <c r="Q56" s="18">
        <f>O56/$D56</f>
        <v>0</v>
      </c>
      <c r="R56" s="18">
        <f>P56/$D56</f>
        <v>0</v>
      </c>
      <c r="S56" s="19" t="e">
        <f>P56/O56</f>
        <v>#DIV/0!</v>
      </c>
      <c r="T56" s="15" t="s">
        <v>192</v>
      </c>
      <c r="U56" s="15" t="s">
        <v>192</v>
      </c>
      <c r="V56" s="18">
        <f>T56/$D56</f>
        <v>0</v>
      </c>
      <c r="W56" s="18">
        <f>U56/$D56</f>
        <v>0</v>
      </c>
      <c r="X56" s="19" t="e">
        <f>U56/T56</f>
        <v>#DIV/0!</v>
      </c>
      <c r="Y56" s="15" t="s">
        <v>194</v>
      </c>
      <c r="Z56" s="15" t="s">
        <v>192</v>
      </c>
      <c r="AA56" s="18">
        <f>Y56/$D56</f>
        <v>2</v>
      </c>
      <c r="AB56" s="18">
        <f>Z56/$D56</f>
        <v>0</v>
      </c>
      <c r="AC56" s="19">
        <f>Z56/Y56</f>
        <v>0</v>
      </c>
      <c r="AD56" s="15" t="s">
        <v>192</v>
      </c>
      <c r="AE56" s="18">
        <f>AD56/$D56</f>
        <v>0</v>
      </c>
      <c r="AF56" s="15" t="s">
        <v>192</v>
      </c>
      <c r="AG56" s="18">
        <f>AF56/$D56</f>
        <v>0</v>
      </c>
      <c r="AH56" s="15" t="s">
        <v>192</v>
      </c>
      <c r="AI56" s="18">
        <f>AH56/$D56</f>
        <v>0</v>
      </c>
      <c r="AJ56" s="15" t="s">
        <v>192</v>
      </c>
      <c r="AK56" s="18">
        <f>AJ56/$D56</f>
        <v>0</v>
      </c>
      <c r="AL56" s="15" t="s">
        <v>231</v>
      </c>
      <c r="AM56" s="18">
        <f>AL56/$D56</f>
        <v>1</v>
      </c>
      <c r="AN56" s="15" t="s">
        <v>192</v>
      </c>
      <c r="AO56" s="18">
        <f>AN56/$D56</f>
        <v>0</v>
      </c>
      <c r="AP56" s="15" t="s">
        <v>192</v>
      </c>
      <c r="AQ56" s="18">
        <f>AP56/$D56</f>
        <v>0</v>
      </c>
      <c r="AR56" s="15" t="s">
        <v>192</v>
      </c>
      <c r="AS56" s="18">
        <f>AR56/$D56</f>
        <v>0</v>
      </c>
      <c r="AT56" s="20">
        <v>-1.4811040998633338E-2</v>
      </c>
      <c r="AU56" s="20">
        <v>-0.33534432449735863</v>
      </c>
      <c r="AV56" s="20">
        <v>-2.9043120381629418E-2</v>
      </c>
      <c r="AW56" s="20">
        <v>1.4232079382996079E-2</v>
      </c>
      <c r="AX56" s="20">
        <v>0</v>
      </c>
      <c r="AY56" s="20">
        <v>55.349088875273452</v>
      </c>
      <c r="AZ56" s="20">
        <v>0.17174817541316947</v>
      </c>
      <c r="BA56" s="20">
        <v>-1</v>
      </c>
      <c r="BB56" s="20">
        <v>-22.641509433962263</v>
      </c>
      <c r="BC56" s="21">
        <v>0</v>
      </c>
      <c r="BD56" s="21"/>
      <c r="BE56" s="20">
        <v>0.44496641851923269</v>
      </c>
      <c r="BF56" s="21"/>
      <c r="BG56" s="21"/>
      <c r="BH56" s="20">
        <v>0</v>
      </c>
      <c r="BI56" s="20">
        <v>0</v>
      </c>
      <c r="BJ56" s="20">
        <v>0</v>
      </c>
      <c r="BK56" s="20">
        <v>0</v>
      </c>
      <c r="BL56" s="20">
        <v>31.894686289162692</v>
      </c>
      <c r="BM56" s="20">
        <v>0</v>
      </c>
      <c r="BN56" s="20">
        <v>0</v>
      </c>
      <c r="BO56" s="22" t="s">
        <v>263</v>
      </c>
      <c r="BP56" s="22">
        <v>220000</v>
      </c>
    </row>
    <row r="57" spans="1:68" x14ac:dyDescent="0.3">
      <c r="A57" s="16" t="s">
        <v>162</v>
      </c>
      <c r="B57" s="16" t="s">
        <v>256</v>
      </c>
      <c r="C57" s="4" t="s">
        <v>437</v>
      </c>
      <c r="D57" s="5" t="s">
        <v>231</v>
      </c>
      <c r="E57" s="7">
        <v>1</v>
      </c>
      <c r="F57" s="7">
        <v>46</v>
      </c>
      <c r="G57" s="14">
        <v>106</v>
      </c>
      <c r="H57" s="5" t="s">
        <v>192</v>
      </c>
      <c r="I57" s="18">
        <f>H57/$D57</f>
        <v>0</v>
      </c>
      <c r="J57" s="6" t="s">
        <v>231</v>
      </c>
      <c r="K57" s="6" t="s">
        <v>192</v>
      </c>
      <c r="L57" s="18">
        <f>J57/$D57</f>
        <v>1</v>
      </c>
      <c r="M57" s="18">
        <f>K57/$D57</f>
        <v>0</v>
      </c>
      <c r="N57" s="19">
        <f>K57/J57</f>
        <v>0</v>
      </c>
      <c r="O57" s="14" t="s">
        <v>231</v>
      </c>
      <c r="P57" s="15" t="s">
        <v>192</v>
      </c>
      <c r="Q57" s="18">
        <f>O57/$D57</f>
        <v>1</v>
      </c>
      <c r="R57" s="18">
        <f>P57/$D57</f>
        <v>0</v>
      </c>
      <c r="S57" s="19">
        <f>P57/O57</f>
        <v>0</v>
      </c>
      <c r="T57" s="15" t="s">
        <v>192</v>
      </c>
      <c r="U57" s="15" t="s">
        <v>192</v>
      </c>
      <c r="V57" s="18">
        <f>T57/$D57</f>
        <v>0</v>
      </c>
      <c r="W57" s="18">
        <f>U57/$D57</f>
        <v>0</v>
      </c>
      <c r="X57" s="19" t="e">
        <f>U57/T57</f>
        <v>#DIV/0!</v>
      </c>
      <c r="Y57" s="15" t="s">
        <v>192</v>
      </c>
      <c r="Z57" s="15" t="s">
        <v>192</v>
      </c>
      <c r="AA57" s="18">
        <f>Y57/$D57</f>
        <v>0</v>
      </c>
      <c r="AB57" s="18">
        <f>Z57/$D57</f>
        <v>0</v>
      </c>
      <c r="AC57" s="19" t="e">
        <f>Z57/Y57</f>
        <v>#DIV/0!</v>
      </c>
      <c r="AD57" s="15" t="s">
        <v>192</v>
      </c>
      <c r="AE57" s="18">
        <f>AD57/$D57</f>
        <v>0</v>
      </c>
      <c r="AF57" s="15" t="s">
        <v>192</v>
      </c>
      <c r="AG57" s="18">
        <f>AF57/$D57</f>
        <v>0</v>
      </c>
      <c r="AH57" s="15" t="s">
        <v>192</v>
      </c>
      <c r="AI57" s="18">
        <f>AH57/$D57</f>
        <v>0</v>
      </c>
      <c r="AJ57" s="15" t="s">
        <v>192</v>
      </c>
      <c r="AK57" s="18">
        <f>AJ57/$D57</f>
        <v>0</v>
      </c>
      <c r="AL57" s="15" t="s">
        <v>192</v>
      </c>
      <c r="AM57" s="18">
        <f>AL57/$D57</f>
        <v>0</v>
      </c>
      <c r="AN57" s="15" t="s">
        <v>192</v>
      </c>
      <c r="AO57" s="18">
        <f>AN57/$D57</f>
        <v>0</v>
      </c>
      <c r="AP57" s="15" t="s">
        <v>192</v>
      </c>
      <c r="AQ57" s="18">
        <f>AP57/$D57</f>
        <v>0</v>
      </c>
      <c r="AR57" s="15" t="s">
        <v>192</v>
      </c>
      <c r="AS57" s="18">
        <f>AR57/$D57</f>
        <v>0</v>
      </c>
      <c r="AT57" s="20">
        <v>-2.7141562370024002E-2</v>
      </c>
      <c r="AU57" s="20">
        <v>-0.61452594045337361</v>
      </c>
      <c r="AV57" s="20">
        <v>-2.4393731291791669E-2</v>
      </c>
      <c r="AW57" s="20">
        <v>-2.7478310782323317E-3</v>
      </c>
      <c r="AX57" s="20">
        <v>0</v>
      </c>
      <c r="AY57" s="20">
        <v>125.40268444736998</v>
      </c>
      <c r="AZ57" s="20">
        <v>-0.37090777056629903</v>
      </c>
      <c r="BA57" s="20">
        <v>-1</v>
      </c>
      <c r="BB57" s="20">
        <v>-22.641509433962263</v>
      </c>
      <c r="BC57" s="21">
        <v>0</v>
      </c>
      <c r="BD57" s="21">
        <v>0</v>
      </c>
      <c r="BE57" s="20">
        <v>0.50564365740821893</v>
      </c>
      <c r="BF57" s="21">
        <v>0</v>
      </c>
      <c r="BG57" s="21">
        <v>0</v>
      </c>
      <c r="BH57" s="20">
        <v>0</v>
      </c>
      <c r="BI57" s="20">
        <v>0</v>
      </c>
      <c r="BJ57" s="20">
        <v>0</v>
      </c>
      <c r="BK57" s="20">
        <v>0</v>
      </c>
      <c r="BL57" s="20">
        <v>0</v>
      </c>
      <c r="BM57" s="20">
        <v>0</v>
      </c>
      <c r="BN57" s="20">
        <v>0</v>
      </c>
      <c r="BO57" s="22" t="s">
        <v>263</v>
      </c>
      <c r="BP57" s="22"/>
    </row>
    <row r="58" spans="1:68" x14ac:dyDescent="0.3">
      <c r="A58" s="16" t="s">
        <v>162</v>
      </c>
      <c r="B58" s="16" t="s">
        <v>256</v>
      </c>
      <c r="C58" s="4" t="s">
        <v>441</v>
      </c>
      <c r="D58" s="5" t="s">
        <v>194</v>
      </c>
      <c r="E58" s="7">
        <v>1</v>
      </c>
      <c r="F58" s="7">
        <v>35</v>
      </c>
      <c r="G58" s="14">
        <v>189</v>
      </c>
      <c r="H58" s="5" t="s">
        <v>192</v>
      </c>
      <c r="I58" s="18">
        <f>H58/$D58</f>
        <v>0</v>
      </c>
      <c r="J58" s="6" t="s">
        <v>192</v>
      </c>
      <c r="K58" s="6" t="s">
        <v>192</v>
      </c>
      <c r="L58" s="18">
        <f>J58/$D58</f>
        <v>0</v>
      </c>
      <c r="M58" s="18">
        <f>K58/$D58</f>
        <v>0</v>
      </c>
      <c r="N58" s="19" t="e">
        <f>K58/J58</f>
        <v>#DIV/0!</v>
      </c>
      <c r="O58" s="14" t="s">
        <v>192</v>
      </c>
      <c r="P58" s="15" t="s">
        <v>192</v>
      </c>
      <c r="Q58" s="18">
        <f>O58/$D58</f>
        <v>0</v>
      </c>
      <c r="R58" s="18">
        <f>P58/$D58</f>
        <v>0</v>
      </c>
      <c r="S58" s="19" t="e">
        <f>P58/O58</f>
        <v>#DIV/0!</v>
      </c>
      <c r="T58" s="15" t="s">
        <v>192</v>
      </c>
      <c r="U58" s="15" t="s">
        <v>192</v>
      </c>
      <c r="V58" s="18">
        <f>T58/$D58</f>
        <v>0</v>
      </c>
      <c r="W58" s="18">
        <f>U58/$D58</f>
        <v>0</v>
      </c>
      <c r="X58" s="19" t="e">
        <f>U58/T58</f>
        <v>#DIV/0!</v>
      </c>
      <c r="Y58" s="15" t="s">
        <v>192</v>
      </c>
      <c r="Z58" s="15" t="s">
        <v>192</v>
      </c>
      <c r="AA58" s="18">
        <f>Y58/$D58</f>
        <v>0</v>
      </c>
      <c r="AB58" s="18">
        <f>Z58/$D58</f>
        <v>0</v>
      </c>
      <c r="AC58" s="19" t="e">
        <f>Z58/Y58</f>
        <v>#DIV/0!</v>
      </c>
      <c r="AD58" s="15" t="s">
        <v>194</v>
      </c>
      <c r="AE58" s="18">
        <f>AD58/$D58</f>
        <v>1</v>
      </c>
      <c r="AF58" s="15" t="s">
        <v>192</v>
      </c>
      <c r="AG58" s="18">
        <f>AF58/$D58</f>
        <v>0</v>
      </c>
      <c r="AH58" s="15" t="s">
        <v>194</v>
      </c>
      <c r="AI58" s="18">
        <f>AH58/$D58</f>
        <v>1</v>
      </c>
      <c r="AJ58" s="15" t="s">
        <v>192</v>
      </c>
      <c r="AK58" s="18">
        <f>AJ58/$D58</f>
        <v>0</v>
      </c>
      <c r="AL58" s="15" t="s">
        <v>192</v>
      </c>
      <c r="AM58" s="18">
        <f>AL58/$D58</f>
        <v>0</v>
      </c>
      <c r="AN58" s="15" t="s">
        <v>192</v>
      </c>
      <c r="AO58" s="18">
        <f>AN58/$D58</f>
        <v>0</v>
      </c>
      <c r="AP58" s="15" t="s">
        <v>194</v>
      </c>
      <c r="AQ58" s="18">
        <f>AP58/$D58</f>
        <v>1</v>
      </c>
      <c r="AR58" s="15" t="s">
        <v>231</v>
      </c>
      <c r="AS58" s="18">
        <f>AR58/$D58</f>
        <v>0.5</v>
      </c>
      <c r="AT58" s="20">
        <v>-6.5018620200002E-2</v>
      </c>
      <c r="AU58" s="20">
        <v>-0.82128783410528849</v>
      </c>
      <c r="AV58" s="20">
        <v>-7.2607800954073543E-2</v>
      </c>
      <c r="AW58" s="20">
        <v>7.589180754071544E-3</v>
      </c>
      <c r="AX58" s="20">
        <v>0</v>
      </c>
      <c r="AY58" s="20">
        <v>96.598065608577073</v>
      </c>
      <c r="AZ58" s="20">
        <v>-1.1929281751177001</v>
      </c>
      <c r="BA58" s="20">
        <v>0</v>
      </c>
      <c r="BB58" s="20">
        <v>0</v>
      </c>
      <c r="BC58" s="21"/>
      <c r="BD58" s="21"/>
      <c r="BE58" s="20">
        <v>1.1283837407425517</v>
      </c>
      <c r="BF58" s="21"/>
      <c r="BG58" s="21"/>
      <c r="BH58" s="20">
        <v>0</v>
      </c>
      <c r="BI58" s="20">
        <v>2.6847139101739472</v>
      </c>
      <c r="BJ58" s="20">
        <v>1.2540659168397539</v>
      </c>
      <c r="BK58" s="20">
        <v>0</v>
      </c>
      <c r="BL58" s="20">
        <v>0</v>
      </c>
      <c r="BM58" s="20">
        <v>0</v>
      </c>
      <c r="BN58" s="20">
        <v>100</v>
      </c>
      <c r="BO58" s="22" t="s">
        <v>263</v>
      </c>
      <c r="BP58" s="22">
        <v>550000</v>
      </c>
    </row>
    <row r="59" spans="1:68" x14ac:dyDescent="0.3">
      <c r="A59" s="16" t="s">
        <v>268</v>
      </c>
      <c r="B59" s="16" t="s">
        <v>254</v>
      </c>
      <c r="C59" s="16" t="s">
        <v>66</v>
      </c>
      <c r="D59" s="15" t="s">
        <v>223</v>
      </c>
      <c r="E59" s="15">
        <v>33</v>
      </c>
      <c r="F59" s="15">
        <v>42</v>
      </c>
      <c r="G59" s="14">
        <v>101089</v>
      </c>
      <c r="H59" s="8" t="s">
        <v>269</v>
      </c>
      <c r="I59" s="18">
        <f>H59/$D59</f>
        <v>23.16</v>
      </c>
      <c r="J59" s="6" t="s">
        <v>443</v>
      </c>
      <c r="K59" s="6" t="s">
        <v>444</v>
      </c>
      <c r="L59" s="18">
        <f>J59/$D59</f>
        <v>21.82</v>
      </c>
      <c r="M59" s="18">
        <f>K59/$D59</f>
        <v>9.64</v>
      </c>
      <c r="N59" s="19">
        <f>K59/J59</f>
        <v>0.44179651695692024</v>
      </c>
      <c r="O59" s="12" t="s">
        <v>573</v>
      </c>
      <c r="P59" s="5" t="s">
        <v>574</v>
      </c>
      <c r="Q59" s="18">
        <f>O59/$D59</f>
        <v>15.88</v>
      </c>
      <c r="R59" s="18">
        <f>P59/$D59</f>
        <v>7.92</v>
      </c>
      <c r="S59" s="19">
        <f>P59/O59</f>
        <v>0.4987405541561713</v>
      </c>
      <c r="T59" s="12" t="s">
        <v>617</v>
      </c>
      <c r="U59" s="6" t="s">
        <v>399</v>
      </c>
      <c r="V59" s="18">
        <f>T59/$D59</f>
        <v>5.94</v>
      </c>
      <c r="W59" s="18">
        <f>U59/$D59</f>
        <v>1.72</v>
      </c>
      <c r="X59" s="19">
        <f>U59/T59</f>
        <v>0.28956228956228958</v>
      </c>
      <c r="Y59" s="5" t="s">
        <v>380</v>
      </c>
      <c r="Z59" s="5" t="s">
        <v>390</v>
      </c>
      <c r="AA59" s="18">
        <f>Y59/$D59</f>
        <v>3.22</v>
      </c>
      <c r="AB59" s="18">
        <f>Z59/$D59</f>
        <v>2.16</v>
      </c>
      <c r="AC59" s="19">
        <f>Z59/Y59</f>
        <v>0.67080745341614911</v>
      </c>
      <c r="AD59" s="15" t="s">
        <v>642</v>
      </c>
      <c r="AE59" s="18">
        <f>AD59/$D59</f>
        <v>10.86</v>
      </c>
      <c r="AF59" s="15" t="s">
        <v>524</v>
      </c>
      <c r="AG59" s="18">
        <f>AF59/$D59</f>
        <v>2.2599999999999998</v>
      </c>
      <c r="AH59" s="6">
        <v>430</v>
      </c>
      <c r="AI59" s="18">
        <f>AH59/$D59</f>
        <v>8.6</v>
      </c>
      <c r="AJ59" s="6">
        <v>238</v>
      </c>
      <c r="AK59" s="18">
        <f>AJ59/$D59</f>
        <v>4.76</v>
      </c>
      <c r="AL59" s="8" t="s">
        <v>554</v>
      </c>
      <c r="AM59" s="18">
        <f>AL59/$D59</f>
        <v>1.22</v>
      </c>
      <c r="AN59" s="8" t="s">
        <v>209</v>
      </c>
      <c r="AO59" s="18">
        <f>AN59/$D59</f>
        <v>1.04</v>
      </c>
      <c r="AP59" s="12" t="s">
        <v>523</v>
      </c>
      <c r="AQ59" s="18">
        <f>AP59/$D59</f>
        <v>1.88</v>
      </c>
      <c r="AR59" s="12" t="s">
        <v>613</v>
      </c>
      <c r="AS59" s="18">
        <f>AR59/$D59</f>
        <v>1.52</v>
      </c>
      <c r="AT59" s="20">
        <v>5.4970451831135723</v>
      </c>
      <c r="AU59" s="20">
        <v>0.13049365419854178</v>
      </c>
      <c r="AV59" s="20">
        <v>2.9988850833627065</v>
      </c>
      <c r="AW59" s="20">
        <v>2.4981600997508657</v>
      </c>
      <c r="AX59" s="20">
        <v>106.64045748990677</v>
      </c>
      <c r="AY59" s="20">
        <v>99.868498978805434</v>
      </c>
      <c r="AZ59" s="20">
        <v>17.820030108897779</v>
      </c>
      <c r="BA59" s="20">
        <v>25.92</v>
      </c>
      <c r="BB59" s="20">
        <v>30.76557863501484</v>
      </c>
      <c r="BC59" s="21">
        <v>0.49834744887419957</v>
      </c>
      <c r="BD59" s="21">
        <v>0.48120989917506873</v>
      </c>
      <c r="BE59" s="20">
        <v>33.289217733071709</v>
      </c>
      <c r="BF59" s="21">
        <v>0.27222731439046743</v>
      </c>
      <c r="BG59" s="21">
        <v>0.14757103574702107</v>
      </c>
      <c r="BH59" s="20">
        <v>7.1267071774770834</v>
      </c>
      <c r="BI59" s="20">
        <v>27.119328197479163</v>
      </c>
      <c r="BJ59" s="20">
        <v>15.99678296740324</v>
      </c>
      <c r="BK59" s="20">
        <v>28.028028028028025</v>
      </c>
      <c r="BL59" s="20">
        <v>2.0398718253781007</v>
      </c>
      <c r="BM59" s="20">
        <v>3.1700600025299517</v>
      </c>
      <c r="BN59" s="20">
        <v>7.4850299401197606</v>
      </c>
      <c r="BO59" s="22" t="s">
        <v>265</v>
      </c>
      <c r="BP59" s="22"/>
    </row>
    <row r="60" spans="1:68" x14ac:dyDescent="0.3">
      <c r="A60" s="16" t="s">
        <v>162</v>
      </c>
      <c r="B60" s="16" t="s">
        <v>254</v>
      </c>
      <c r="C60" s="4" t="s">
        <v>297</v>
      </c>
      <c r="D60" s="5" t="s">
        <v>223</v>
      </c>
      <c r="E60" s="7">
        <v>20</v>
      </c>
      <c r="F60" s="7">
        <v>56</v>
      </c>
      <c r="G60" s="14">
        <v>62812</v>
      </c>
      <c r="H60" s="5" t="s">
        <v>298</v>
      </c>
      <c r="I60" s="18">
        <f>H60/$D60</f>
        <v>11.04</v>
      </c>
      <c r="J60" s="6" t="s">
        <v>480</v>
      </c>
      <c r="K60" s="6" t="s">
        <v>481</v>
      </c>
      <c r="L60" s="18">
        <f>J60/$D60</f>
        <v>7.68</v>
      </c>
      <c r="M60" s="18">
        <f>K60/$D60</f>
        <v>3.58</v>
      </c>
      <c r="N60" s="19">
        <f>K60/J60</f>
        <v>0.46614583333333331</v>
      </c>
      <c r="O60" s="14" t="s">
        <v>365</v>
      </c>
      <c r="P60" s="15" t="s">
        <v>525</v>
      </c>
      <c r="Q60" s="18">
        <f>O60/$D60</f>
        <v>4.18</v>
      </c>
      <c r="R60" s="18">
        <f>P60/$D60</f>
        <v>2.2000000000000002</v>
      </c>
      <c r="S60" s="19">
        <f>P60/O60</f>
        <v>0.52631578947368418</v>
      </c>
      <c r="T60" s="15" t="s">
        <v>628</v>
      </c>
      <c r="U60" s="15" t="s">
        <v>412</v>
      </c>
      <c r="V60" s="18">
        <f>T60/$D60</f>
        <v>3.5</v>
      </c>
      <c r="W60" s="18">
        <f>U60/$D60</f>
        <v>1.38</v>
      </c>
      <c r="X60" s="19">
        <f>U60/T60</f>
        <v>0.39428571428571429</v>
      </c>
      <c r="Y60" s="15" t="s">
        <v>379</v>
      </c>
      <c r="Z60" s="15" t="s">
        <v>611</v>
      </c>
      <c r="AA60" s="18">
        <f>Y60/$D60</f>
        <v>3.26</v>
      </c>
      <c r="AB60" s="18">
        <f>Z60/$D60</f>
        <v>2.5</v>
      </c>
      <c r="AC60" s="19">
        <f>Z60/Y60</f>
        <v>0.76687116564417179</v>
      </c>
      <c r="AD60" s="15" t="s">
        <v>640</v>
      </c>
      <c r="AE60" s="18">
        <f>AD60/$D60</f>
        <v>2.82</v>
      </c>
      <c r="AF60" s="15" t="s">
        <v>204</v>
      </c>
      <c r="AG60" s="18">
        <f>AF60/$D60</f>
        <v>0.44</v>
      </c>
      <c r="AH60" s="15">
        <v>119</v>
      </c>
      <c r="AI60" s="18">
        <f>AH60/$D60</f>
        <v>2.38</v>
      </c>
      <c r="AJ60" s="15">
        <v>47</v>
      </c>
      <c r="AK60" s="18">
        <f>AJ60/$D60</f>
        <v>0.94</v>
      </c>
      <c r="AL60" s="15" t="s">
        <v>182</v>
      </c>
      <c r="AM60" s="18">
        <f>AL60/$D60</f>
        <v>0.54</v>
      </c>
      <c r="AN60" s="15" t="s">
        <v>185</v>
      </c>
      <c r="AO60" s="18">
        <f>AN60/$D60</f>
        <v>0.24</v>
      </c>
      <c r="AP60" s="15" t="s">
        <v>552</v>
      </c>
      <c r="AQ60" s="18">
        <f>AP60/$D60</f>
        <v>1.44</v>
      </c>
      <c r="AR60" s="15" t="s">
        <v>539</v>
      </c>
      <c r="AS60" s="18">
        <f>AR60/$D60</f>
        <v>1.66</v>
      </c>
      <c r="AT60" s="20">
        <v>2.2053948801687824</v>
      </c>
      <c r="AU60" s="20">
        <v>8.4282606885431169E-2</v>
      </c>
      <c r="AV60" s="20">
        <v>1.5664879120419166</v>
      </c>
      <c r="AW60" s="20">
        <v>0.63890696812686587</v>
      </c>
      <c r="AX60" s="20">
        <v>109.43510060792963</v>
      </c>
      <c r="AY60" s="20">
        <v>108.22052717909885</v>
      </c>
      <c r="AZ60" s="20">
        <v>9.9424899073014252</v>
      </c>
      <c r="BA60" s="20">
        <v>9.2799999999999994</v>
      </c>
      <c r="BB60" s="20">
        <v>17.732484076433121</v>
      </c>
      <c r="BC60" s="21">
        <v>0.60563503905907135</v>
      </c>
      <c r="BD60" s="21">
        <v>0.55598958333333337</v>
      </c>
      <c r="BE60" s="20">
        <v>22.519790377445318</v>
      </c>
      <c r="BF60" s="21">
        <v>0.45572916666666669</v>
      </c>
      <c r="BG60" s="21">
        <v>0.42447916666666669</v>
      </c>
      <c r="BH60" s="20">
        <v>2.233699073353324</v>
      </c>
      <c r="BI60" s="20">
        <v>12.082281351320251</v>
      </c>
      <c r="BJ60" s="20">
        <v>6.6871866863330025</v>
      </c>
      <c r="BK60" s="20">
        <v>7.2545791315085406</v>
      </c>
      <c r="BL60" s="20">
        <v>1.4535444611398667</v>
      </c>
      <c r="BM60" s="20">
        <v>1.1777060249477393</v>
      </c>
      <c r="BN60" s="20">
        <v>13.64359887819298</v>
      </c>
      <c r="BO60" s="22" t="s">
        <v>264</v>
      </c>
      <c r="BP60" s="22">
        <v>64000</v>
      </c>
    </row>
    <row r="61" spans="1:68" x14ac:dyDescent="0.3">
      <c r="A61" s="16" t="s">
        <v>162</v>
      </c>
      <c r="B61" s="16" t="s">
        <v>254</v>
      </c>
      <c r="C61" s="4" t="s">
        <v>72</v>
      </c>
      <c r="D61" s="5" t="s">
        <v>235</v>
      </c>
      <c r="E61" s="7">
        <v>32</v>
      </c>
      <c r="F61" s="7">
        <v>40</v>
      </c>
      <c r="G61" s="14">
        <v>72509</v>
      </c>
      <c r="H61" s="5" t="s">
        <v>299</v>
      </c>
      <c r="I61" s="18">
        <f>H61/$D61</f>
        <v>14.864864864864865</v>
      </c>
      <c r="J61" s="6" t="s">
        <v>482</v>
      </c>
      <c r="K61" s="6" t="s">
        <v>483</v>
      </c>
      <c r="L61" s="18">
        <f>J61/$D61</f>
        <v>11.72972972972973</v>
      </c>
      <c r="M61" s="18">
        <f>K61/$D61</f>
        <v>5.3513513513513518</v>
      </c>
      <c r="N61" s="19">
        <f>K61/J61</f>
        <v>0.45622119815668205</v>
      </c>
      <c r="O61" s="14" t="s">
        <v>513</v>
      </c>
      <c r="P61" s="15" t="s">
        <v>598</v>
      </c>
      <c r="Q61" s="18">
        <f>O61/$D61</f>
        <v>7.1351351351351351</v>
      </c>
      <c r="R61" s="18">
        <f>P61/$D61</f>
        <v>3.7567567567567566</v>
      </c>
      <c r="S61" s="19">
        <f>P61/O61</f>
        <v>0.52651515151515149</v>
      </c>
      <c r="T61" s="15" t="s">
        <v>375</v>
      </c>
      <c r="U61" s="15" t="s">
        <v>212</v>
      </c>
      <c r="V61" s="18">
        <f>T61/$D61</f>
        <v>4.5945945945945947</v>
      </c>
      <c r="W61" s="18">
        <f>U61/$D61</f>
        <v>1.5945945945945945</v>
      </c>
      <c r="X61" s="19">
        <f>U61/T61</f>
        <v>0.34705882352941175</v>
      </c>
      <c r="Y61" s="15" t="s">
        <v>389</v>
      </c>
      <c r="Z61" s="15" t="s">
        <v>529</v>
      </c>
      <c r="AA61" s="18">
        <f>Y61/$D61</f>
        <v>3.3243243243243241</v>
      </c>
      <c r="AB61" s="18">
        <f>Z61/$D61</f>
        <v>2.5675675675675675</v>
      </c>
      <c r="AC61" s="19">
        <f>Z61/Y61</f>
        <v>0.77235772357723576</v>
      </c>
      <c r="AD61" s="15" t="s">
        <v>651</v>
      </c>
      <c r="AE61" s="18">
        <f>AD61/$D61</f>
        <v>5.5945945945945947</v>
      </c>
      <c r="AF61" s="15" t="s">
        <v>554</v>
      </c>
      <c r="AG61" s="18">
        <f>AF61/$D61</f>
        <v>1.6486486486486487</v>
      </c>
      <c r="AH61" s="15">
        <v>146</v>
      </c>
      <c r="AI61" s="18">
        <f>AH61/$D61</f>
        <v>3.9459459459459461</v>
      </c>
      <c r="AJ61" s="15">
        <v>94</v>
      </c>
      <c r="AK61" s="18">
        <f>AJ61/$D61</f>
        <v>2.5405405405405403</v>
      </c>
      <c r="AL61" s="15" t="s">
        <v>232</v>
      </c>
      <c r="AM61" s="18">
        <f>AL61/$D61</f>
        <v>1.3243243243243243</v>
      </c>
      <c r="AN61" s="15" t="s">
        <v>173</v>
      </c>
      <c r="AO61" s="18">
        <f>AN61/$D61</f>
        <v>0.45945945945945948</v>
      </c>
      <c r="AP61" s="15" t="s">
        <v>537</v>
      </c>
      <c r="AQ61" s="18">
        <f>AP61/$D61</f>
        <v>2.1351351351351351</v>
      </c>
      <c r="AR61" s="15" t="s">
        <v>546</v>
      </c>
      <c r="AS61" s="18">
        <f>AR61/$D61</f>
        <v>2.4594594594594597</v>
      </c>
      <c r="AT61" s="20">
        <v>2.5601661961579842</v>
      </c>
      <c r="AU61" s="20">
        <v>8.4726956298664668E-2</v>
      </c>
      <c r="AV61" s="20">
        <v>1.5242536884756195</v>
      </c>
      <c r="AW61" s="20">
        <v>1.0359125076823648</v>
      </c>
      <c r="AX61" s="20">
        <v>107.7433014341923</v>
      </c>
      <c r="AY61" s="20">
        <v>105.85856409693143</v>
      </c>
      <c r="AZ61" s="20">
        <v>7.8225488601863855</v>
      </c>
      <c r="BA61" s="20">
        <v>15.513513513513514</v>
      </c>
      <c r="BB61" s="20">
        <v>18.996138996138995</v>
      </c>
      <c r="BC61" s="21">
        <v>0.56338605261001395</v>
      </c>
      <c r="BD61" s="21">
        <v>0.52419354838709675</v>
      </c>
      <c r="BE61" s="20">
        <v>15.508483104526025</v>
      </c>
      <c r="BF61" s="21">
        <v>0.39170506912442399</v>
      </c>
      <c r="BG61" s="21">
        <v>0.28341013824884792</v>
      </c>
      <c r="BH61" s="20">
        <v>3.9688564054739852</v>
      </c>
      <c r="BI61" s="20">
        <v>9.4992300852328189</v>
      </c>
      <c r="BJ61" s="20">
        <v>6.2911240445545307</v>
      </c>
      <c r="BK61" s="20">
        <v>8.6054317973756493</v>
      </c>
      <c r="BL61" s="20">
        <v>2.2843491531427329</v>
      </c>
      <c r="BM61" s="20">
        <v>1.0691487689066383</v>
      </c>
      <c r="BN61" s="20">
        <v>13.930032444632529</v>
      </c>
      <c r="BO61" s="22" t="s">
        <v>263</v>
      </c>
      <c r="BP61" s="22"/>
    </row>
    <row r="62" spans="1:68" x14ac:dyDescent="0.3">
      <c r="A62" s="16" t="s">
        <v>162</v>
      </c>
      <c r="B62" s="16" t="s">
        <v>254</v>
      </c>
      <c r="C62" s="4" t="s">
        <v>151</v>
      </c>
      <c r="D62" s="5" t="s">
        <v>301</v>
      </c>
      <c r="E62" s="7">
        <v>29</v>
      </c>
      <c r="F62" s="7">
        <v>42</v>
      </c>
      <c r="G62" s="14">
        <v>71273</v>
      </c>
      <c r="H62" s="5" t="s">
        <v>307</v>
      </c>
      <c r="I62" s="18">
        <f>H62/$D62</f>
        <v>11.225</v>
      </c>
      <c r="J62" s="6" t="s">
        <v>458</v>
      </c>
      <c r="K62" s="6" t="s">
        <v>493</v>
      </c>
      <c r="L62" s="18">
        <f>J62/$D62</f>
        <v>8.1750000000000007</v>
      </c>
      <c r="M62" s="18">
        <f>K62/$D62</f>
        <v>3.9</v>
      </c>
      <c r="N62" s="19">
        <f>K62/J62</f>
        <v>0.47706422018348627</v>
      </c>
      <c r="O62" s="14" t="s">
        <v>604</v>
      </c>
      <c r="P62" s="15" t="s">
        <v>409</v>
      </c>
      <c r="Q62" s="18">
        <f>O62/$D62</f>
        <v>3.375</v>
      </c>
      <c r="R62" s="18">
        <f>P62/$D62</f>
        <v>1.7749999999999999</v>
      </c>
      <c r="S62" s="19">
        <f>P62/O62</f>
        <v>0.52592592592592591</v>
      </c>
      <c r="T62" s="15" t="s">
        <v>591</v>
      </c>
      <c r="U62" s="15" t="s">
        <v>566</v>
      </c>
      <c r="V62" s="18">
        <f>T62/$D62</f>
        <v>4.8</v>
      </c>
      <c r="W62" s="18">
        <f>U62/$D62</f>
        <v>2.125</v>
      </c>
      <c r="X62" s="19">
        <f>U62/T62</f>
        <v>0.44270833333333331</v>
      </c>
      <c r="Y62" s="15" t="s">
        <v>572</v>
      </c>
      <c r="Z62" s="15" t="s">
        <v>209</v>
      </c>
      <c r="AA62" s="18">
        <f>Y62/$D62</f>
        <v>1.6</v>
      </c>
      <c r="AB62" s="18">
        <f>Z62/$D62</f>
        <v>1.3</v>
      </c>
      <c r="AC62" s="19">
        <f>Z62/Y62</f>
        <v>0.8125</v>
      </c>
      <c r="AD62" s="15" t="s">
        <v>523</v>
      </c>
      <c r="AE62" s="18">
        <f>AD62/$D62</f>
        <v>2.35</v>
      </c>
      <c r="AF62" s="15" t="s">
        <v>199</v>
      </c>
      <c r="AG62" s="18">
        <f>AF62/$D62</f>
        <v>0.82499999999999996</v>
      </c>
      <c r="AH62" s="15" t="s">
        <v>554</v>
      </c>
      <c r="AI62" s="18">
        <f>AH62/$D62</f>
        <v>1.5249999999999999</v>
      </c>
      <c r="AJ62" s="15">
        <v>162</v>
      </c>
      <c r="AK62" s="18">
        <f>AJ62/$D62</f>
        <v>4.05</v>
      </c>
      <c r="AL62" s="15" t="s">
        <v>206</v>
      </c>
      <c r="AM62" s="18">
        <f>AL62/$D62</f>
        <v>0.95</v>
      </c>
      <c r="AN62" s="15" t="s">
        <v>193</v>
      </c>
      <c r="AO62" s="18">
        <f>AN62/$D62</f>
        <v>7.4999999999999997E-2</v>
      </c>
      <c r="AP62" s="15" t="s">
        <v>556</v>
      </c>
      <c r="AQ62" s="18">
        <f>AP62/$D62</f>
        <v>1.575</v>
      </c>
      <c r="AR62" s="15" t="s">
        <v>400</v>
      </c>
      <c r="AS62" s="18">
        <f>AR62/$D62</f>
        <v>2.1</v>
      </c>
      <c r="AT62" s="20">
        <v>3.1428631878780355</v>
      </c>
      <c r="AU62" s="20">
        <v>0.10582030935616282</v>
      </c>
      <c r="AV62" s="20">
        <v>2.7124275562178282</v>
      </c>
      <c r="AW62" s="20">
        <v>0.43043563166020737</v>
      </c>
      <c r="AX62" s="20">
        <v>121.47698519654777</v>
      </c>
      <c r="AY62" s="20">
        <v>110.59638832020865</v>
      </c>
      <c r="AZ62" s="20">
        <v>8.0616334581327163</v>
      </c>
      <c r="BA62" s="20">
        <v>12.5</v>
      </c>
      <c r="BB62" s="20">
        <v>16.835016835016837</v>
      </c>
      <c r="BC62" s="21">
        <v>0.63210947178736343</v>
      </c>
      <c r="BD62" s="21">
        <v>0.60703363914373087</v>
      </c>
      <c r="BE62" s="20">
        <v>12.577236189042093</v>
      </c>
      <c r="BF62" s="21">
        <v>0.58715596330275233</v>
      </c>
      <c r="BG62" s="21">
        <v>0.19571865443425077</v>
      </c>
      <c r="BH62" s="20">
        <v>2.3615539024678238</v>
      </c>
      <c r="BI62" s="20">
        <v>4.3652966075920379</v>
      </c>
      <c r="BJ62" s="20">
        <v>3.1422021990401241</v>
      </c>
      <c r="BK62" s="20">
        <v>15.926854446246864</v>
      </c>
      <c r="BL62" s="20">
        <v>1.8023540456333798</v>
      </c>
      <c r="BM62" s="20">
        <v>0.20751946792008424</v>
      </c>
      <c r="BN62" s="20">
        <v>15.066003443657928</v>
      </c>
      <c r="BO62" s="22" t="s">
        <v>263</v>
      </c>
      <c r="BP62" s="22">
        <v>40000</v>
      </c>
    </row>
    <row r="63" spans="1:68" x14ac:dyDescent="0.3">
      <c r="A63" s="16" t="s">
        <v>162</v>
      </c>
      <c r="B63" s="16" t="s">
        <v>254</v>
      </c>
      <c r="C63" s="4" t="s">
        <v>71</v>
      </c>
      <c r="D63" s="5" t="s">
        <v>188</v>
      </c>
      <c r="E63" s="7">
        <v>24</v>
      </c>
      <c r="F63" s="7">
        <v>3</v>
      </c>
      <c r="G63" s="14">
        <v>59150</v>
      </c>
      <c r="H63" s="5" t="s">
        <v>327</v>
      </c>
      <c r="I63" s="18">
        <f>H63/$D63</f>
        <v>7.3658536585365857</v>
      </c>
      <c r="J63" s="6" t="s">
        <v>515</v>
      </c>
      <c r="K63" s="6" t="s">
        <v>516</v>
      </c>
      <c r="L63" s="18">
        <f>J63/$D63</f>
        <v>6.6829268292682924</v>
      </c>
      <c r="M63" s="18">
        <f>K63/$D63</f>
        <v>2.7804878048780486</v>
      </c>
      <c r="N63" s="19">
        <f>K63/J63</f>
        <v>0.41605839416058393</v>
      </c>
      <c r="O63" s="14" t="s">
        <v>612</v>
      </c>
      <c r="P63" s="15" t="s">
        <v>404</v>
      </c>
      <c r="Q63" s="18">
        <f>O63/$D63</f>
        <v>3.8536585365853657</v>
      </c>
      <c r="R63" s="18">
        <f>P63/$D63</f>
        <v>1.975609756097561</v>
      </c>
      <c r="S63" s="19">
        <f>P63/O63</f>
        <v>0.51265822784810122</v>
      </c>
      <c r="T63" s="15" t="s">
        <v>624</v>
      </c>
      <c r="U63" s="15" t="s">
        <v>199</v>
      </c>
      <c r="V63" s="18">
        <f>T63/$D63</f>
        <v>2.8292682926829267</v>
      </c>
      <c r="W63" s="18">
        <f>U63/$D63</f>
        <v>0.80487804878048785</v>
      </c>
      <c r="X63" s="19">
        <f>U63/T63</f>
        <v>0.28448275862068967</v>
      </c>
      <c r="Y63" s="15" t="s">
        <v>413</v>
      </c>
      <c r="Z63" s="15" t="s">
        <v>188</v>
      </c>
      <c r="AA63" s="18">
        <f>Y63/$D63</f>
        <v>1.6097560975609757</v>
      </c>
      <c r="AB63" s="18">
        <f>Z63/$D63</f>
        <v>1</v>
      </c>
      <c r="AC63" s="19">
        <f>Z63/Y63</f>
        <v>0.62121212121212122</v>
      </c>
      <c r="AD63" s="15" t="s">
        <v>525</v>
      </c>
      <c r="AE63" s="18">
        <f>AD63/$D63</f>
        <v>2.6829268292682928</v>
      </c>
      <c r="AF63" s="15" t="s">
        <v>182</v>
      </c>
      <c r="AG63" s="18">
        <f>AF63/$D63</f>
        <v>0.65853658536585369</v>
      </c>
      <c r="AH63" s="15" t="s">
        <v>539</v>
      </c>
      <c r="AI63" s="18">
        <f>AH63/$D63</f>
        <v>2.024390243902439</v>
      </c>
      <c r="AJ63" s="15">
        <v>88</v>
      </c>
      <c r="AK63" s="18">
        <f>AJ63/$D63</f>
        <v>2.1463414634146343</v>
      </c>
      <c r="AL63" s="15" t="s">
        <v>243</v>
      </c>
      <c r="AM63" s="18">
        <f>AL63/$D63</f>
        <v>0.6097560975609756</v>
      </c>
      <c r="AN63" s="15" t="s">
        <v>203</v>
      </c>
      <c r="AO63" s="18">
        <f>AN63/$D63</f>
        <v>0.21951219512195122</v>
      </c>
      <c r="AP63" s="15" t="s">
        <v>218</v>
      </c>
      <c r="AQ63" s="18">
        <f>AP63/$D63</f>
        <v>1.1707317073170731</v>
      </c>
      <c r="AR63" s="15">
        <v>94</v>
      </c>
      <c r="AS63" s="18">
        <f>AR63/$D63</f>
        <v>2.2926829268292681</v>
      </c>
      <c r="AT63" s="20">
        <v>0.74162260586366435</v>
      </c>
      <c r="AU63" s="20">
        <v>3.0084584183912147E-2</v>
      </c>
      <c r="AV63" s="20">
        <v>0.28234376971331088</v>
      </c>
      <c r="AW63" s="20">
        <v>0.45927883615035348</v>
      </c>
      <c r="AX63" s="20">
        <v>100.27722905918178</v>
      </c>
      <c r="AY63" s="20">
        <v>109.60566670231498</v>
      </c>
      <c r="AZ63" s="20">
        <v>4.6959571774613202</v>
      </c>
      <c r="BA63" s="20">
        <v>7.3414634146341466</v>
      </c>
      <c r="BB63" s="20">
        <v>12.210334161553675</v>
      </c>
      <c r="BC63" s="21">
        <v>0.49828405491024286</v>
      </c>
      <c r="BD63" s="21">
        <v>0.47627737226277372</v>
      </c>
      <c r="BE63" s="20">
        <v>13.038892478612338</v>
      </c>
      <c r="BF63" s="21">
        <v>0.42335766423357662</v>
      </c>
      <c r="BG63" s="21">
        <v>0.24087591240875914</v>
      </c>
      <c r="BH63" s="20">
        <v>2.3861022798323543</v>
      </c>
      <c r="BI63" s="20">
        <v>7.3350551565216815</v>
      </c>
      <c r="BJ63" s="20">
        <v>4.5408831708161568</v>
      </c>
      <c r="BK63" s="20">
        <v>10.526630581058047</v>
      </c>
      <c r="BL63" s="20">
        <v>1.4286111026533668</v>
      </c>
      <c r="BM63" s="20">
        <v>0.76881432813636208</v>
      </c>
      <c r="BN63" s="20">
        <v>13.673655423883318</v>
      </c>
      <c r="BO63" s="22" t="s">
        <v>263</v>
      </c>
      <c r="BP63" s="22">
        <v>170000</v>
      </c>
    </row>
    <row r="64" spans="1:68" x14ac:dyDescent="0.3">
      <c r="A64" s="16" t="s">
        <v>162</v>
      </c>
      <c r="B64" s="16" t="s">
        <v>254</v>
      </c>
      <c r="C64" s="13" t="s">
        <v>74</v>
      </c>
      <c r="D64" s="5" t="s">
        <v>233</v>
      </c>
      <c r="E64" s="5">
        <v>17</v>
      </c>
      <c r="F64" s="5">
        <v>50</v>
      </c>
      <c r="G64" s="14">
        <v>54595</v>
      </c>
      <c r="H64" s="5" t="s">
        <v>340</v>
      </c>
      <c r="I64" s="18">
        <f>H64/$D64</f>
        <v>5.2549019607843137</v>
      </c>
      <c r="J64" s="6" t="s">
        <v>528</v>
      </c>
      <c r="K64" s="6" t="s">
        <v>529</v>
      </c>
      <c r="L64" s="18">
        <f>J64/$D64</f>
        <v>4.333333333333333</v>
      </c>
      <c r="M64" s="18">
        <f>K64/$D64</f>
        <v>1.8627450980392157</v>
      </c>
      <c r="N64" s="19">
        <f>K64/J64</f>
        <v>0.42986425339366519</v>
      </c>
      <c r="O64" s="14" t="s">
        <v>541</v>
      </c>
      <c r="P64" s="15" t="s">
        <v>223</v>
      </c>
      <c r="Q64" s="18">
        <f>O64/$D64</f>
        <v>1.7450980392156863</v>
      </c>
      <c r="R64" s="18">
        <f>P64/$D64</f>
        <v>0.98039215686274506</v>
      </c>
      <c r="S64" s="19">
        <f>P64/O64</f>
        <v>0.5617977528089888</v>
      </c>
      <c r="T64" s="15" t="s">
        <v>557</v>
      </c>
      <c r="U64" s="15" t="s">
        <v>247</v>
      </c>
      <c r="V64" s="18">
        <f>T64/$D64</f>
        <v>2.5882352941176472</v>
      </c>
      <c r="W64" s="18">
        <f>U64/$D64</f>
        <v>0.88235294117647056</v>
      </c>
      <c r="X64" s="19">
        <f>U64/T64</f>
        <v>0.34090909090909088</v>
      </c>
      <c r="Y64" s="15" t="s">
        <v>179</v>
      </c>
      <c r="Z64" s="15" t="s">
        <v>199</v>
      </c>
      <c r="AA64" s="18">
        <f>Y64/$D64</f>
        <v>0.86274509803921573</v>
      </c>
      <c r="AB64" s="18">
        <f>Z64/$D64</f>
        <v>0.6470588235294118</v>
      </c>
      <c r="AC64" s="19">
        <f>Z64/Y64</f>
        <v>0.75</v>
      </c>
      <c r="AD64" s="15" t="s">
        <v>506</v>
      </c>
      <c r="AE64" s="18">
        <f>AD64/$D64</f>
        <v>3</v>
      </c>
      <c r="AF64" s="15" t="s">
        <v>301</v>
      </c>
      <c r="AG64" s="18">
        <f>AF64/$D64</f>
        <v>0.78431372549019607</v>
      </c>
      <c r="AH64" s="15" t="s">
        <v>524</v>
      </c>
      <c r="AI64" s="18">
        <f>AH64/$D64</f>
        <v>2.215686274509804</v>
      </c>
      <c r="AJ64" s="15">
        <v>31</v>
      </c>
      <c r="AK64" s="18">
        <f>AJ64/$D64</f>
        <v>0.60784313725490191</v>
      </c>
      <c r="AL64" s="15" t="s">
        <v>208</v>
      </c>
      <c r="AM64" s="18">
        <f>AL64/$D64</f>
        <v>0.39215686274509803</v>
      </c>
      <c r="AN64" s="15" t="s">
        <v>203</v>
      </c>
      <c r="AO64" s="18">
        <f>AN64/$D64</f>
        <v>0.17647058823529413</v>
      </c>
      <c r="AP64" s="15" t="s">
        <v>174</v>
      </c>
      <c r="AQ64" s="18">
        <f>AP64/$D64</f>
        <v>0.47058823529411764</v>
      </c>
      <c r="AR64" s="15" t="s">
        <v>566</v>
      </c>
      <c r="AS64" s="18">
        <f>AR64/$D64</f>
        <v>1.6666666666666667</v>
      </c>
      <c r="AT64" s="20">
        <v>1.5413111477772736</v>
      </c>
      <c r="AU64" s="20">
        <v>6.7787186268379263E-2</v>
      </c>
      <c r="AV64" s="20">
        <v>0.99626012483341386</v>
      </c>
      <c r="AW64" s="20">
        <v>0.54505102294385976</v>
      </c>
      <c r="AX64" s="20">
        <v>112.28904493175679</v>
      </c>
      <c r="AY64" s="20">
        <v>108.32715052008923</v>
      </c>
      <c r="AZ64" s="20">
        <v>6.8300162774265818</v>
      </c>
      <c r="BA64" s="20">
        <v>6.2745098039215685</v>
      </c>
      <c r="BB64" s="20">
        <v>14.073666849917537</v>
      </c>
      <c r="BC64" s="21">
        <v>0.55749708770178064</v>
      </c>
      <c r="BD64" s="21">
        <v>0.53167420814479638</v>
      </c>
      <c r="BE64" s="20">
        <v>13.24226866437224</v>
      </c>
      <c r="BF64" s="21">
        <v>0.59728506787330315</v>
      </c>
      <c r="BG64" s="21">
        <v>0.19909502262443438</v>
      </c>
      <c r="BH64" s="20">
        <v>4.7672489993742992</v>
      </c>
      <c r="BI64" s="20">
        <v>13.467478423232393</v>
      </c>
      <c r="BJ64" s="20">
        <v>8.5176860286288889</v>
      </c>
      <c r="BK64" s="20">
        <v>5.0868316696294267</v>
      </c>
      <c r="BL64" s="20">
        <v>1.2390825532898095</v>
      </c>
      <c r="BM64" s="20">
        <v>1.0368215658885704</v>
      </c>
      <c r="BN64" s="20">
        <v>9.0785292782569211</v>
      </c>
      <c r="BO64" s="22" t="s">
        <v>263</v>
      </c>
      <c r="BP64" s="22"/>
    </row>
    <row r="65" spans="1:68" x14ac:dyDescent="0.3">
      <c r="A65" s="16" t="s">
        <v>162</v>
      </c>
      <c r="B65" s="16" t="s">
        <v>254</v>
      </c>
      <c r="C65" s="4" t="s">
        <v>361</v>
      </c>
      <c r="D65" s="5" t="s">
        <v>202</v>
      </c>
      <c r="E65" s="5">
        <v>22</v>
      </c>
      <c r="F65" s="5">
        <v>25</v>
      </c>
      <c r="G65" s="14">
        <v>40362</v>
      </c>
      <c r="H65" s="5" t="s">
        <v>362</v>
      </c>
      <c r="I65" s="18">
        <f>H65/$D65</f>
        <v>7.166666666666667</v>
      </c>
      <c r="J65" s="6" t="s">
        <v>531</v>
      </c>
      <c r="K65" s="6" t="s">
        <v>546</v>
      </c>
      <c r="L65" s="18">
        <f>J65/$D65</f>
        <v>6.0666666666666664</v>
      </c>
      <c r="M65" s="18">
        <f>K65/$D65</f>
        <v>3.0333333333333332</v>
      </c>
      <c r="N65" s="19">
        <f>K65/J65</f>
        <v>0.5</v>
      </c>
      <c r="O65" s="14" t="s">
        <v>609</v>
      </c>
      <c r="P65" s="15" t="s">
        <v>405</v>
      </c>
      <c r="Q65" s="18">
        <f>O65/$D65</f>
        <v>4.2</v>
      </c>
      <c r="R65" s="18">
        <f>P65/$D65</f>
        <v>2.6</v>
      </c>
      <c r="S65" s="19">
        <f>P65/O65</f>
        <v>0.61904761904761907</v>
      </c>
      <c r="T65" s="15" t="s">
        <v>205</v>
      </c>
      <c r="U65" s="15" t="s">
        <v>207</v>
      </c>
      <c r="V65" s="18">
        <f>T65/$D65</f>
        <v>1.8666666666666667</v>
      </c>
      <c r="W65" s="18">
        <f>U65/$D65</f>
        <v>0.43333333333333335</v>
      </c>
      <c r="X65" s="19">
        <f>U65/T65</f>
        <v>0.23214285714285715</v>
      </c>
      <c r="Y65" s="15" t="s">
        <v>371</v>
      </c>
      <c r="Z65" s="15" t="s">
        <v>208</v>
      </c>
      <c r="AA65" s="18">
        <f>Y65/$D65</f>
        <v>1.2</v>
      </c>
      <c r="AB65" s="18">
        <f>Z65/$D65</f>
        <v>0.66666666666666663</v>
      </c>
      <c r="AC65" s="19">
        <f>Z65/Y65</f>
        <v>0.55555555555555558</v>
      </c>
      <c r="AD65" s="15" t="s">
        <v>518</v>
      </c>
      <c r="AE65" s="18">
        <f>AD65/$D65</f>
        <v>3.5</v>
      </c>
      <c r="AF65" s="15" t="s">
        <v>209</v>
      </c>
      <c r="AG65" s="18">
        <f>AF65/$D65</f>
        <v>1.7333333333333334</v>
      </c>
      <c r="AH65" s="15" t="s">
        <v>230</v>
      </c>
      <c r="AI65" s="18">
        <f>AH65/$D65</f>
        <v>1.7666666666666666</v>
      </c>
      <c r="AJ65" s="15">
        <v>22</v>
      </c>
      <c r="AK65" s="18">
        <f>AJ65/$D65</f>
        <v>0.73333333333333328</v>
      </c>
      <c r="AL65" s="15" t="s">
        <v>200</v>
      </c>
      <c r="AM65" s="18">
        <f>AL65/$D65</f>
        <v>0.76666666666666672</v>
      </c>
      <c r="AN65" s="15" t="s">
        <v>176</v>
      </c>
      <c r="AO65" s="18">
        <f>AN65/$D65</f>
        <v>0.33333333333333331</v>
      </c>
      <c r="AP65" s="15" t="s">
        <v>202</v>
      </c>
      <c r="AQ65" s="18">
        <f>AP65/$D65</f>
        <v>1</v>
      </c>
      <c r="AR65" s="15" t="s">
        <v>397</v>
      </c>
      <c r="AS65" s="18">
        <f>AR65/$D65</f>
        <v>2.9</v>
      </c>
      <c r="AT65" s="20">
        <v>0.89568635073403224</v>
      </c>
      <c r="AU65" s="20">
        <v>5.3275024578975892E-2</v>
      </c>
      <c r="AV65" s="20">
        <v>0.48520986559490559</v>
      </c>
      <c r="AW65" s="20">
        <v>0.41047648513912666</v>
      </c>
      <c r="AX65" s="20">
        <v>105.44342953125184</v>
      </c>
      <c r="AY65" s="20">
        <v>108.22097452643807</v>
      </c>
      <c r="AZ65" s="20">
        <v>4.0365476998212024</v>
      </c>
      <c r="BA65" s="20">
        <v>7.9333333333333336</v>
      </c>
      <c r="BB65" s="20">
        <v>14.156133828996282</v>
      </c>
      <c r="BC65" s="21">
        <v>0.54336837848766684</v>
      </c>
      <c r="BD65" s="21">
        <v>0.5357142857142857</v>
      </c>
      <c r="BE65" s="20">
        <v>9.0794202199347147</v>
      </c>
      <c r="BF65" s="21">
        <v>0.30769230769230771</v>
      </c>
      <c r="BG65" s="21">
        <v>0.19780219780219779</v>
      </c>
      <c r="BH65" s="20">
        <v>4.9302924595759476</v>
      </c>
      <c r="BI65" s="20">
        <v>5.0251057761062539</v>
      </c>
      <c r="BJ65" s="20">
        <v>4.6503001934857044</v>
      </c>
      <c r="BK65" s="20">
        <v>2.7691823569518013</v>
      </c>
      <c r="BL65" s="20">
        <v>1.9271188394790251</v>
      </c>
      <c r="BM65" s="20">
        <v>0.91648002932736095</v>
      </c>
      <c r="BN65" s="20">
        <v>13.167134831460674</v>
      </c>
      <c r="BO65" s="22" t="s">
        <v>263</v>
      </c>
      <c r="BP65" s="22">
        <v>150000</v>
      </c>
    </row>
    <row r="66" spans="1:68" x14ac:dyDescent="0.3">
      <c r="A66" s="16" t="s">
        <v>162</v>
      </c>
      <c r="B66" s="16" t="s">
        <v>254</v>
      </c>
      <c r="C66" s="4" t="s">
        <v>67</v>
      </c>
      <c r="D66" s="10" t="s">
        <v>220</v>
      </c>
      <c r="E66" s="11">
        <v>13</v>
      </c>
      <c r="F66" s="11">
        <v>33</v>
      </c>
      <c r="G66" s="14">
        <v>34145</v>
      </c>
      <c r="H66" s="5" t="s">
        <v>368</v>
      </c>
      <c r="I66" s="18">
        <f>H66/$D66</f>
        <v>4.4523809523809526</v>
      </c>
      <c r="J66" s="6" t="s">
        <v>551</v>
      </c>
      <c r="K66" s="6" t="s">
        <v>548</v>
      </c>
      <c r="L66" s="18">
        <f>J66/$D66</f>
        <v>3.6190476190476191</v>
      </c>
      <c r="M66" s="18">
        <f>K66/$D66</f>
        <v>1.5952380952380953</v>
      </c>
      <c r="N66" s="19">
        <f>K66/J66</f>
        <v>0.44078947368421051</v>
      </c>
      <c r="O66" s="14" t="s">
        <v>205</v>
      </c>
      <c r="P66" s="15" t="s">
        <v>182</v>
      </c>
      <c r="Q66" s="18">
        <f>O66/$D66</f>
        <v>1.3333333333333333</v>
      </c>
      <c r="R66" s="18">
        <f>P66/$D66</f>
        <v>0.6428571428571429</v>
      </c>
      <c r="S66" s="19">
        <f>P66/O66</f>
        <v>0.48214285714285715</v>
      </c>
      <c r="T66" s="15" t="s">
        <v>530</v>
      </c>
      <c r="U66" s="15" t="s">
        <v>301</v>
      </c>
      <c r="V66" s="18">
        <f>T66/$D66</f>
        <v>2.2857142857142856</v>
      </c>
      <c r="W66" s="18">
        <f>U66/$D66</f>
        <v>0.95238095238095233</v>
      </c>
      <c r="X66" s="19">
        <f>U66/T66</f>
        <v>0.41666666666666669</v>
      </c>
      <c r="Y66" s="15" t="s">
        <v>181</v>
      </c>
      <c r="Z66" s="15" t="s">
        <v>207</v>
      </c>
      <c r="AA66" s="18">
        <f>Y66/$D66</f>
        <v>0.35714285714285715</v>
      </c>
      <c r="AB66" s="18">
        <f>Z66/$D66</f>
        <v>0.30952380952380953</v>
      </c>
      <c r="AC66" s="19">
        <f>Z66/Y66</f>
        <v>0.8666666666666667</v>
      </c>
      <c r="AD66" s="15" t="s">
        <v>608</v>
      </c>
      <c r="AE66" s="18">
        <f>AD66/$D66</f>
        <v>2.1904761904761907</v>
      </c>
      <c r="AF66" s="15" t="s">
        <v>191</v>
      </c>
      <c r="AG66" s="18">
        <f>AF66/$D66</f>
        <v>0.45238095238095238</v>
      </c>
      <c r="AH66" s="15" t="s">
        <v>407</v>
      </c>
      <c r="AI66" s="18">
        <f>AH66/$D66</f>
        <v>1.7380952380952381</v>
      </c>
      <c r="AJ66" s="15">
        <v>20</v>
      </c>
      <c r="AK66" s="18">
        <f>AJ66/$D66</f>
        <v>0.47619047619047616</v>
      </c>
      <c r="AL66" s="15" t="s">
        <v>178</v>
      </c>
      <c r="AM66" s="18">
        <f>AL66/$D66</f>
        <v>0.33333333333333331</v>
      </c>
      <c r="AN66" s="15" t="s">
        <v>189</v>
      </c>
      <c r="AO66" s="18">
        <f>AN66/$D66</f>
        <v>0.19047619047619047</v>
      </c>
      <c r="AP66" s="15" t="s">
        <v>187</v>
      </c>
      <c r="AQ66" s="18">
        <f>AP66/$D66</f>
        <v>0.16666666666666666</v>
      </c>
      <c r="AR66" s="15" t="s">
        <v>205</v>
      </c>
      <c r="AS66" s="18">
        <f>AR66/$D66</f>
        <v>1.3333333333333333</v>
      </c>
      <c r="AT66" s="20">
        <v>1.3819511355475929</v>
      </c>
      <c r="AU66" s="20">
        <v>9.7132393993856467E-2</v>
      </c>
      <c r="AV66" s="20">
        <v>0.99462123727925822</v>
      </c>
      <c r="AW66" s="20">
        <v>0.38732989826833469</v>
      </c>
      <c r="AX66" s="20">
        <v>122.17531961204746</v>
      </c>
      <c r="AY66" s="20">
        <v>107.54846985141279</v>
      </c>
      <c r="AZ66" s="20">
        <v>6.8692329338951916</v>
      </c>
      <c r="BA66" s="20">
        <v>5.4047619047619051</v>
      </c>
      <c r="BB66" s="20">
        <v>15.955016693024074</v>
      </c>
      <c r="BC66" s="21">
        <v>0.58953341740226983</v>
      </c>
      <c r="BD66" s="21">
        <v>0.57236842105263153</v>
      </c>
      <c r="BE66" s="20">
        <v>10.91742497500727</v>
      </c>
      <c r="BF66" s="21">
        <v>0.63157894736842102</v>
      </c>
      <c r="BG66" s="21">
        <v>9.8684210526315791E-2</v>
      </c>
      <c r="BH66" s="20">
        <v>2.9802635964723092</v>
      </c>
      <c r="BI66" s="20">
        <v>11.450486449604135</v>
      </c>
      <c r="BJ66" s="20">
        <v>6.7407971175765367</v>
      </c>
      <c r="BK66" s="20">
        <v>4.2714506914410801</v>
      </c>
      <c r="BL66" s="20">
        <v>1.3861569276962877</v>
      </c>
      <c r="BM66" s="20">
        <v>1.2129551187653633</v>
      </c>
      <c r="BN66" s="20">
        <v>4.2270531400966185</v>
      </c>
      <c r="BO66" s="22" t="s">
        <v>263</v>
      </c>
      <c r="BP66" s="22">
        <v>40000</v>
      </c>
    </row>
    <row r="67" spans="1:68" x14ac:dyDescent="0.3">
      <c r="A67" s="16" t="s">
        <v>162</v>
      </c>
      <c r="B67" s="16" t="s">
        <v>254</v>
      </c>
      <c r="C67" s="4" t="s">
        <v>239</v>
      </c>
      <c r="D67" s="10" t="s">
        <v>232</v>
      </c>
      <c r="E67" s="11">
        <v>9</v>
      </c>
      <c r="F67" s="11">
        <v>37</v>
      </c>
      <c r="G67" s="14">
        <v>28285</v>
      </c>
      <c r="H67" s="5" t="s">
        <v>379</v>
      </c>
      <c r="I67" s="18">
        <f>H67/$D67</f>
        <v>3.3265306122448979</v>
      </c>
      <c r="J67" s="6" t="s">
        <v>558</v>
      </c>
      <c r="K67" s="6" t="s">
        <v>412</v>
      </c>
      <c r="L67" s="18">
        <f>J67/$D67</f>
        <v>3.306122448979592</v>
      </c>
      <c r="M67" s="18">
        <f>K67/$D67</f>
        <v>1.4081632653061225</v>
      </c>
      <c r="N67" s="19">
        <f>K67/J67</f>
        <v>0.42592592592592593</v>
      </c>
      <c r="O67" s="14" t="s">
        <v>559</v>
      </c>
      <c r="P67" s="15" t="s">
        <v>217</v>
      </c>
      <c r="Q67" s="18">
        <f>O67/$D67</f>
        <v>2.4081632653061225</v>
      </c>
      <c r="R67" s="18">
        <f>P67/$D67</f>
        <v>1.1836734693877551</v>
      </c>
      <c r="S67" s="19">
        <f>P67/O67</f>
        <v>0.49152542372881358</v>
      </c>
      <c r="T67" s="15" t="s">
        <v>179</v>
      </c>
      <c r="U67" s="15" t="s">
        <v>211</v>
      </c>
      <c r="V67" s="18">
        <f>T67/$D67</f>
        <v>0.89795918367346939</v>
      </c>
      <c r="W67" s="18">
        <f>U67/$D67</f>
        <v>0.22448979591836735</v>
      </c>
      <c r="X67" s="19">
        <f>U67/T67</f>
        <v>0.25</v>
      </c>
      <c r="Y67" s="15" t="s">
        <v>174</v>
      </c>
      <c r="Z67" s="15" t="s">
        <v>178</v>
      </c>
      <c r="AA67" s="18">
        <f>Y67/$D67</f>
        <v>0.48979591836734693</v>
      </c>
      <c r="AB67" s="18">
        <f>Z67/$D67</f>
        <v>0.2857142857142857</v>
      </c>
      <c r="AC67" s="19">
        <f>Z67/Y67</f>
        <v>0.58333333333333337</v>
      </c>
      <c r="AD67" s="15" t="s">
        <v>563</v>
      </c>
      <c r="AE67" s="18">
        <f>AD67/$D67</f>
        <v>2.9795918367346941</v>
      </c>
      <c r="AF67" s="15" t="s">
        <v>175</v>
      </c>
      <c r="AG67" s="18">
        <f>AF67/$D67</f>
        <v>0.42857142857142855</v>
      </c>
      <c r="AH67" s="15" t="s">
        <v>611</v>
      </c>
      <c r="AI67" s="18">
        <f>AH67/$D67</f>
        <v>2.5510204081632653</v>
      </c>
      <c r="AJ67" s="15">
        <v>74</v>
      </c>
      <c r="AK67" s="18">
        <f>AJ67/$D67</f>
        <v>1.510204081632653</v>
      </c>
      <c r="AL67" s="15" t="s">
        <v>204</v>
      </c>
      <c r="AM67" s="18">
        <f>AL67/$D67</f>
        <v>0.44897959183673469</v>
      </c>
      <c r="AN67" s="15" t="s">
        <v>194</v>
      </c>
      <c r="AO67" s="18">
        <f>AN67/$D67</f>
        <v>4.0816326530612242E-2</v>
      </c>
      <c r="AP67" s="15" t="s">
        <v>202</v>
      </c>
      <c r="AQ67" s="18">
        <f>AP67/$D67</f>
        <v>0.61224489795918369</v>
      </c>
      <c r="AR67" s="15" t="s">
        <v>548</v>
      </c>
      <c r="AS67" s="18">
        <f>AR67/$D67</f>
        <v>1.3673469387755102</v>
      </c>
      <c r="AT67" s="20">
        <v>0.9001974967900418</v>
      </c>
      <c r="AU67" s="20">
        <v>7.6414741707498332E-2</v>
      </c>
      <c r="AV67" s="20">
        <v>0.17930371181253593</v>
      </c>
      <c r="AW67" s="20">
        <v>0.72089378497750589</v>
      </c>
      <c r="AX67" s="20">
        <v>100.43243545329186</v>
      </c>
      <c r="AY67" s="20">
        <v>99.415845348518062</v>
      </c>
      <c r="AZ67" s="20">
        <v>9.1248580515142805</v>
      </c>
      <c r="BA67" s="20">
        <v>5.591836734693878</v>
      </c>
      <c r="BB67" s="20">
        <v>23.258939624376612</v>
      </c>
      <c r="BC67" s="21">
        <v>0.47229949003245247</v>
      </c>
      <c r="BD67" s="21">
        <v>0.45987654320987653</v>
      </c>
      <c r="BE67" s="20">
        <v>18.816043327432471</v>
      </c>
      <c r="BF67" s="21">
        <v>0.27160493827160492</v>
      </c>
      <c r="BG67" s="21">
        <v>0.14814814814814814</v>
      </c>
      <c r="BH67" s="20">
        <v>4.6412515171551334</v>
      </c>
      <c r="BI67" s="20">
        <v>27.626497125923414</v>
      </c>
      <c r="BJ67" s="20">
        <v>15.072698671202241</v>
      </c>
      <c r="BK67" s="20">
        <v>23.805055893627856</v>
      </c>
      <c r="BL67" s="20">
        <v>2.6307221881769678</v>
      </c>
      <c r="BM67" s="20">
        <v>0.42726711939178519</v>
      </c>
      <c r="BN67" s="20">
        <v>14.810426540284361</v>
      </c>
      <c r="BO67" s="22" t="s">
        <v>267</v>
      </c>
      <c r="BP67" s="22">
        <v>50000</v>
      </c>
    </row>
    <row r="68" spans="1:68" x14ac:dyDescent="0.3">
      <c r="A68" s="16" t="s">
        <v>162</v>
      </c>
      <c r="B68" s="16" t="s">
        <v>254</v>
      </c>
      <c r="C68" s="9" t="s">
        <v>68</v>
      </c>
      <c r="D68" s="10" t="s">
        <v>233</v>
      </c>
      <c r="E68" s="11">
        <v>15</v>
      </c>
      <c r="F68" s="11">
        <v>32</v>
      </c>
      <c r="G68" s="14">
        <v>47516</v>
      </c>
      <c r="H68" s="5" t="s">
        <v>380</v>
      </c>
      <c r="I68" s="18">
        <v>0.33333333333333331</v>
      </c>
      <c r="J68" s="6" t="s">
        <v>559</v>
      </c>
      <c r="K68" s="6" t="s">
        <v>553</v>
      </c>
      <c r="L68" s="18">
        <v>2</v>
      </c>
      <c r="M68" s="18">
        <v>0.16666666666666666</v>
      </c>
      <c r="N68" s="19">
        <f>K68/J68</f>
        <v>0.50847457627118642</v>
      </c>
      <c r="O68" s="14" t="s">
        <v>523</v>
      </c>
      <c r="P68" s="15" t="s">
        <v>230</v>
      </c>
      <c r="Q68" s="18">
        <v>0.83333333333333337</v>
      </c>
      <c r="R68" s="18">
        <v>0.16666666666666666</v>
      </c>
      <c r="S68" s="19">
        <f>P68/O68</f>
        <v>0.56382978723404253</v>
      </c>
      <c r="T68" s="15" t="s">
        <v>174</v>
      </c>
      <c r="U68" s="15" t="s">
        <v>187</v>
      </c>
      <c r="V68" s="18">
        <v>1.1666666666666667</v>
      </c>
      <c r="W68" s="18">
        <v>0</v>
      </c>
      <c r="X68" s="19">
        <f>U68/T68</f>
        <v>0.29166666666666669</v>
      </c>
      <c r="Y68" s="15" t="s">
        <v>218</v>
      </c>
      <c r="Z68" s="15" t="s">
        <v>213</v>
      </c>
      <c r="AA68" s="18">
        <v>0</v>
      </c>
      <c r="AB68" s="18">
        <v>0</v>
      </c>
      <c r="AC68" s="19">
        <f>Z68/Y68</f>
        <v>0.70833333333333337</v>
      </c>
      <c r="AD68" s="15" t="s">
        <v>560</v>
      </c>
      <c r="AE68" s="18">
        <v>0.5</v>
      </c>
      <c r="AF68" s="15" t="s">
        <v>572</v>
      </c>
      <c r="AG68" s="18">
        <v>0</v>
      </c>
      <c r="AH68" s="15" t="s">
        <v>535</v>
      </c>
      <c r="AI68" s="18">
        <v>0.5</v>
      </c>
      <c r="AJ68" s="15">
        <v>36</v>
      </c>
      <c r="AK68" s="18">
        <v>0.83333333333333337</v>
      </c>
      <c r="AL68" s="15" t="s">
        <v>173</v>
      </c>
      <c r="AM68" s="18">
        <v>0.16666666666666666</v>
      </c>
      <c r="AN68" s="15" t="s">
        <v>187</v>
      </c>
      <c r="AO68" s="18">
        <v>0</v>
      </c>
      <c r="AP68" s="15" t="s">
        <v>208</v>
      </c>
      <c r="AQ68" s="18">
        <v>0.33333333333333331</v>
      </c>
      <c r="AR68" s="15" t="s">
        <v>541</v>
      </c>
      <c r="AS68" s="18">
        <v>1.1666666666666667</v>
      </c>
      <c r="AT68" s="20">
        <v>1.5706791055927971</v>
      </c>
      <c r="AU68" s="20">
        <v>7.9307200484362378E-2</v>
      </c>
      <c r="AV68" s="20">
        <v>1.1389486116242922</v>
      </c>
      <c r="AW68" s="20">
        <v>0.43173049396850499</v>
      </c>
      <c r="AX68" s="20">
        <v>122.39250525393058</v>
      </c>
      <c r="AY68" s="20">
        <v>108.84723104943507</v>
      </c>
      <c r="AZ68" s="20">
        <v>6.2446246259641844</v>
      </c>
      <c r="BA68" s="20">
        <v>5.5490196078431371</v>
      </c>
      <c r="BB68" s="20">
        <v>14.289320878566018</v>
      </c>
      <c r="BC68" s="21">
        <v>0.57863714778608388</v>
      </c>
      <c r="BD68" s="21">
        <v>0.53813559322033899</v>
      </c>
      <c r="BE68" s="20">
        <v>9.150804709528277</v>
      </c>
      <c r="BF68" s="21">
        <v>0.20338983050847459</v>
      </c>
      <c r="BG68" s="21">
        <v>0.40677966101694918</v>
      </c>
      <c r="BH68" s="20">
        <v>8.7570067456317577</v>
      </c>
      <c r="BI68" s="20">
        <v>12.314540736044661</v>
      </c>
      <c r="BJ68" s="20">
        <v>9.8428027700459229</v>
      </c>
      <c r="BK68" s="20">
        <v>6.5032817486602044</v>
      </c>
      <c r="BL68" s="20">
        <v>1.209169079632062</v>
      </c>
      <c r="BM68" s="20">
        <v>0.92582183220140579</v>
      </c>
      <c r="BN68" s="20">
        <v>12.569130216189039</v>
      </c>
      <c r="BO68" s="22" t="s">
        <v>263</v>
      </c>
      <c r="BP68" s="22">
        <v>70000</v>
      </c>
    </row>
    <row r="69" spans="1:68" x14ac:dyDescent="0.3">
      <c r="A69" s="16" t="s">
        <v>162</v>
      </c>
      <c r="B69" s="16" t="s">
        <v>254</v>
      </c>
      <c r="C69" s="4" t="s">
        <v>410</v>
      </c>
      <c r="D69" s="5" t="s">
        <v>170</v>
      </c>
      <c r="E69" s="5">
        <v>10</v>
      </c>
      <c r="F69" s="5">
        <v>43</v>
      </c>
      <c r="G69" s="14">
        <v>18007</v>
      </c>
      <c r="H69" s="5" t="s">
        <v>411</v>
      </c>
      <c r="I69" s="18">
        <f>H69/$D69</f>
        <v>2.5</v>
      </c>
      <c r="J69" s="6" t="s">
        <v>407</v>
      </c>
      <c r="K69" s="6" t="s">
        <v>183</v>
      </c>
      <c r="L69" s="18">
        <f>J69/$D69</f>
        <v>2.6071428571428572</v>
      </c>
      <c r="M69" s="18">
        <f>K69/$D69</f>
        <v>0.5714285714285714</v>
      </c>
      <c r="N69" s="19">
        <f>K69/J69</f>
        <v>0.21917808219178081</v>
      </c>
      <c r="O69" s="14" t="s">
        <v>171</v>
      </c>
      <c r="P69" s="15" t="s">
        <v>187</v>
      </c>
      <c r="Q69" s="18">
        <f>O69/$D69</f>
        <v>1.1071428571428572</v>
      </c>
      <c r="R69" s="18">
        <f>P69/$D69</f>
        <v>0.25</v>
      </c>
      <c r="S69" s="19">
        <f>P69/O69</f>
        <v>0.22580645161290322</v>
      </c>
      <c r="T69" s="15" t="s">
        <v>220</v>
      </c>
      <c r="U69" s="15" t="s">
        <v>203</v>
      </c>
      <c r="V69" s="18">
        <f>T69/$D69</f>
        <v>1.5</v>
      </c>
      <c r="W69" s="18">
        <f>U69/$D69</f>
        <v>0.32142857142857145</v>
      </c>
      <c r="X69" s="19">
        <f>U69/T69</f>
        <v>0.21428571428571427</v>
      </c>
      <c r="Y69" s="15" t="s">
        <v>235</v>
      </c>
      <c r="Z69" s="15" t="s">
        <v>172</v>
      </c>
      <c r="AA69" s="18">
        <f>Y69/$D69</f>
        <v>1.3214285714285714</v>
      </c>
      <c r="AB69" s="18">
        <f>Z69/$D69</f>
        <v>1.0357142857142858</v>
      </c>
      <c r="AC69" s="19">
        <f>Z69/Y69</f>
        <v>0.78378378378378377</v>
      </c>
      <c r="AD69" s="15" t="s">
        <v>208</v>
      </c>
      <c r="AE69" s="18">
        <f>AD69/$D69</f>
        <v>0.7142857142857143</v>
      </c>
      <c r="AF69" s="15" t="s">
        <v>226</v>
      </c>
      <c r="AG69" s="18">
        <f>AF69/$D69</f>
        <v>0.21428571428571427</v>
      </c>
      <c r="AH69" s="15" t="s">
        <v>178</v>
      </c>
      <c r="AI69" s="18">
        <f>AH69/$D69</f>
        <v>0.5</v>
      </c>
      <c r="AJ69" s="15">
        <v>39</v>
      </c>
      <c r="AK69" s="18">
        <f>AJ69/$D69</f>
        <v>1.3928571428571428</v>
      </c>
      <c r="AL69" s="15" t="s">
        <v>185</v>
      </c>
      <c r="AM69" s="18">
        <f>AL69/$D69</f>
        <v>0.42857142857142855</v>
      </c>
      <c r="AN69" s="15" t="s">
        <v>192</v>
      </c>
      <c r="AO69" s="18">
        <f>AN69/$D69</f>
        <v>0</v>
      </c>
      <c r="AP69" s="15" t="s">
        <v>191</v>
      </c>
      <c r="AQ69" s="18">
        <f>AP69/$D69</f>
        <v>0.6785714285714286</v>
      </c>
      <c r="AR69" s="15" t="s">
        <v>245</v>
      </c>
      <c r="AS69" s="18">
        <f>AR69/$D69</f>
        <v>1.25</v>
      </c>
      <c r="AT69" s="20">
        <v>-0.14274402606020314</v>
      </c>
      <c r="AU69" s="20">
        <v>-1.9028308295072623E-2</v>
      </c>
      <c r="AV69" s="20">
        <v>-0.27755543157190488</v>
      </c>
      <c r="AW69" s="20">
        <v>0.13481140551170173</v>
      </c>
      <c r="AX69" s="20">
        <v>87.634855117412883</v>
      </c>
      <c r="AY69" s="20">
        <v>109.76372064359977</v>
      </c>
      <c r="AZ69" s="20">
        <v>1.2073624045745228</v>
      </c>
      <c r="BA69" s="20">
        <v>2.0357142857142856</v>
      </c>
      <c r="BB69" s="20">
        <v>7.5983114863363701</v>
      </c>
      <c r="BC69" s="21">
        <v>0.39202508960573479</v>
      </c>
      <c r="BD69" s="21">
        <v>0.28082191780821919</v>
      </c>
      <c r="BE69" s="20">
        <v>9.0258415144030568</v>
      </c>
      <c r="BF69" s="21">
        <v>0.57534246575342463</v>
      </c>
      <c r="BG69" s="21">
        <v>0.50684931506849318</v>
      </c>
      <c r="BH69" s="20">
        <v>1.189958731570101</v>
      </c>
      <c r="BI69" s="20">
        <v>2.776570373663569</v>
      </c>
      <c r="BJ69" s="20">
        <v>1.8528190062173657</v>
      </c>
      <c r="BK69" s="20">
        <v>9.5750557521942827</v>
      </c>
      <c r="BL69" s="20">
        <v>2.2533904110094949</v>
      </c>
      <c r="BM69" s="20">
        <v>0</v>
      </c>
      <c r="BN69" s="20">
        <v>17.547100110823791</v>
      </c>
      <c r="BO69" s="22" t="s">
        <v>263</v>
      </c>
      <c r="BP69" s="22">
        <v>50000</v>
      </c>
    </row>
    <row r="70" spans="1:68" x14ac:dyDescent="0.3">
      <c r="A70" s="16" t="s">
        <v>162</v>
      </c>
      <c r="B70" s="16" t="s">
        <v>254</v>
      </c>
      <c r="C70" s="4" t="s">
        <v>69</v>
      </c>
      <c r="D70" s="7" t="s">
        <v>206</v>
      </c>
      <c r="E70" s="7">
        <v>13</v>
      </c>
      <c r="F70" s="7">
        <v>22</v>
      </c>
      <c r="G70" s="14">
        <v>30493</v>
      </c>
      <c r="H70" s="5" t="s">
        <v>215</v>
      </c>
      <c r="I70" s="18">
        <f>H70/$D70</f>
        <v>1.5</v>
      </c>
      <c r="J70" s="6" t="s">
        <v>572</v>
      </c>
      <c r="K70" s="6" t="s">
        <v>173</v>
      </c>
      <c r="L70" s="18">
        <f>J70/$D70</f>
        <v>1.6842105263157894</v>
      </c>
      <c r="M70" s="18">
        <f>K70/$D70</f>
        <v>0.44736842105263158</v>
      </c>
      <c r="N70" s="19">
        <f>K70/J70</f>
        <v>0.265625</v>
      </c>
      <c r="O70" s="14" t="s">
        <v>191</v>
      </c>
      <c r="P70" s="15" t="s">
        <v>226</v>
      </c>
      <c r="Q70" s="18">
        <f>O70/$D70</f>
        <v>0.5</v>
      </c>
      <c r="R70" s="18">
        <f>P70/$D70</f>
        <v>0.15789473684210525</v>
      </c>
      <c r="S70" s="19">
        <f>P70/O70</f>
        <v>0.31578947368421051</v>
      </c>
      <c r="T70" s="15" t="s">
        <v>247</v>
      </c>
      <c r="U70" s="15" t="s">
        <v>211</v>
      </c>
      <c r="V70" s="18">
        <f>T70/$D70</f>
        <v>1.1842105263157894</v>
      </c>
      <c r="W70" s="18">
        <f>U70/$D70</f>
        <v>0.28947368421052633</v>
      </c>
      <c r="X70" s="19">
        <f>U70/T70</f>
        <v>0.24444444444444444</v>
      </c>
      <c r="Y70" s="15" t="s">
        <v>185</v>
      </c>
      <c r="Z70" s="15" t="s">
        <v>185</v>
      </c>
      <c r="AA70" s="18">
        <f>Y70/$D70</f>
        <v>0.31578947368421051</v>
      </c>
      <c r="AB70" s="18">
        <f>Z70/$D70</f>
        <v>0.31578947368421051</v>
      </c>
      <c r="AC70" s="19">
        <f>Z70/Y70</f>
        <v>1</v>
      </c>
      <c r="AD70" s="15" t="s">
        <v>616</v>
      </c>
      <c r="AE70" s="18">
        <f>AD70/$D70</f>
        <v>2.3157894736842106</v>
      </c>
      <c r="AF70" s="15" t="s">
        <v>188</v>
      </c>
      <c r="AG70" s="18">
        <f>AF70/$D70</f>
        <v>1.0789473684210527</v>
      </c>
      <c r="AH70" s="15" t="s">
        <v>190</v>
      </c>
      <c r="AI70" s="18">
        <f>AH70/$D70</f>
        <v>1.236842105263158</v>
      </c>
      <c r="AJ70" s="15">
        <v>42</v>
      </c>
      <c r="AK70" s="18">
        <f>AJ70/$D70</f>
        <v>1.1052631578947369</v>
      </c>
      <c r="AL70" s="15" t="s">
        <v>171</v>
      </c>
      <c r="AM70" s="18">
        <f>AL70/$D70</f>
        <v>0.81578947368421051</v>
      </c>
      <c r="AN70" s="15" t="s">
        <v>194</v>
      </c>
      <c r="AO70" s="18">
        <f>AN70/$D70</f>
        <v>5.2631578947368418E-2</v>
      </c>
      <c r="AP70" s="15" t="s">
        <v>204</v>
      </c>
      <c r="AQ70" s="18">
        <f>AP70/$D70</f>
        <v>0.57894736842105265</v>
      </c>
      <c r="AR70" s="15" t="s">
        <v>217</v>
      </c>
      <c r="AS70" s="18">
        <f>AR70/$D70</f>
        <v>1.5263157894736843</v>
      </c>
      <c r="AT70" s="20">
        <v>0.55787756155089463</v>
      </c>
      <c r="AU70" s="20">
        <v>4.393313255421142E-2</v>
      </c>
      <c r="AV70" s="20">
        <v>7.0381760317539885E-2</v>
      </c>
      <c r="AW70" s="20">
        <v>0.48749580123335479</v>
      </c>
      <c r="AX70" s="20">
        <v>99.640826409207179</v>
      </c>
      <c r="AY70" s="20">
        <v>104.87515843583</v>
      </c>
      <c r="AZ70" s="20">
        <v>3.4825811419609245</v>
      </c>
      <c r="BA70" s="20">
        <v>3.9736842105263159</v>
      </c>
      <c r="BB70" s="20">
        <v>11.891324320777006</v>
      </c>
      <c r="BC70" s="21">
        <v>0.4113741339491917</v>
      </c>
      <c r="BD70" s="21">
        <v>0.3515625</v>
      </c>
      <c r="BE70" s="20">
        <v>6.1003070113610418</v>
      </c>
      <c r="BF70" s="21">
        <v>0.703125</v>
      </c>
      <c r="BG70" s="21">
        <v>0.1875</v>
      </c>
      <c r="BH70" s="20">
        <v>6.519302169655564</v>
      </c>
      <c r="BI70" s="20">
        <v>7.4733463896051582</v>
      </c>
      <c r="BJ70" s="20">
        <v>6.5361540304116845</v>
      </c>
      <c r="BK70" s="20">
        <v>8.2194461658892983</v>
      </c>
      <c r="BL70" s="20">
        <v>3.4389663717741374</v>
      </c>
      <c r="BM70" s="20">
        <v>0.307397915073641</v>
      </c>
      <c r="BN70" s="20">
        <v>24.101665205959684</v>
      </c>
      <c r="BO70" s="22" t="s">
        <v>263</v>
      </c>
      <c r="BP70" s="22">
        <v>40000</v>
      </c>
    </row>
    <row r="71" spans="1:68" x14ac:dyDescent="0.3">
      <c r="A71" s="16" t="s">
        <v>162</v>
      </c>
      <c r="B71" s="16" t="s">
        <v>254</v>
      </c>
      <c r="C71" s="4" t="s">
        <v>419</v>
      </c>
      <c r="D71" s="7" t="s">
        <v>177</v>
      </c>
      <c r="E71" s="7">
        <v>8</v>
      </c>
      <c r="F71" s="7">
        <v>10</v>
      </c>
      <c r="G71" s="14">
        <v>12730</v>
      </c>
      <c r="H71" s="5" t="s">
        <v>247</v>
      </c>
      <c r="I71" s="18">
        <f>H71/$D71</f>
        <v>1.7307692307692308</v>
      </c>
      <c r="J71" s="6" t="s">
        <v>247</v>
      </c>
      <c r="K71" s="6" t="s">
        <v>181</v>
      </c>
      <c r="L71" s="18">
        <f>J71/$D71</f>
        <v>1.7307692307692308</v>
      </c>
      <c r="M71" s="18">
        <f>K71/$D71</f>
        <v>0.57692307692307687</v>
      </c>
      <c r="N71" s="19">
        <f>K71/J71</f>
        <v>0.33333333333333331</v>
      </c>
      <c r="O71" s="14" t="s">
        <v>175</v>
      </c>
      <c r="P71" s="15" t="s">
        <v>187</v>
      </c>
      <c r="Q71" s="18">
        <f>O71/$D71</f>
        <v>0.80769230769230771</v>
      </c>
      <c r="R71" s="18">
        <f>P71/$D71</f>
        <v>0.26923076923076922</v>
      </c>
      <c r="S71" s="19">
        <f>P71/O71</f>
        <v>0.33333333333333331</v>
      </c>
      <c r="T71" s="15" t="s">
        <v>174</v>
      </c>
      <c r="U71" s="15" t="s">
        <v>189</v>
      </c>
      <c r="V71" s="18">
        <f>T71/$D71</f>
        <v>0.92307692307692313</v>
      </c>
      <c r="W71" s="18">
        <f>U71/$D71</f>
        <v>0.30769230769230771</v>
      </c>
      <c r="X71" s="19">
        <f>U71/T71</f>
        <v>0.33333333333333331</v>
      </c>
      <c r="Y71" s="15" t="s">
        <v>176</v>
      </c>
      <c r="Z71" s="15" t="s">
        <v>187</v>
      </c>
      <c r="AA71" s="18">
        <f>Y71/$D71</f>
        <v>0.38461538461538464</v>
      </c>
      <c r="AB71" s="18">
        <f>Z71/$D71</f>
        <v>0.26923076923076922</v>
      </c>
      <c r="AC71" s="19">
        <f>Z71/Y71</f>
        <v>0.7</v>
      </c>
      <c r="AD71" s="15" t="s">
        <v>173</v>
      </c>
      <c r="AE71" s="18">
        <f>AD71/$D71</f>
        <v>0.65384615384615385</v>
      </c>
      <c r="AF71" s="15" t="s">
        <v>187</v>
      </c>
      <c r="AG71" s="18">
        <f>AF71/$D71</f>
        <v>0.26923076923076922</v>
      </c>
      <c r="AH71" s="15" t="s">
        <v>176</v>
      </c>
      <c r="AI71" s="18">
        <f>AH71/$D71</f>
        <v>0.38461538461538464</v>
      </c>
      <c r="AJ71" s="15">
        <v>11</v>
      </c>
      <c r="AK71" s="18">
        <f>AJ71/$D71</f>
        <v>0.42307692307692307</v>
      </c>
      <c r="AL71" s="15" t="s">
        <v>184</v>
      </c>
      <c r="AM71" s="18">
        <f>AL71/$D71</f>
        <v>0.15384615384615385</v>
      </c>
      <c r="AN71" s="15" t="s">
        <v>192</v>
      </c>
      <c r="AO71" s="18">
        <f>AN71/$D71</f>
        <v>0</v>
      </c>
      <c r="AP71" s="15" t="s">
        <v>203</v>
      </c>
      <c r="AQ71" s="18">
        <f>AP71/$D71</f>
        <v>0.34615384615384615</v>
      </c>
      <c r="AR71" s="15" t="s">
        <v>245</v>
      </c>
      <c r="AS71" s="18">
        <f>AR71/$D71</f>
        <v>1.3461538461538463</v>
      </c>
      <c r="AT71" s="20">
        <v>-3.6138071117032822E-2</v>
      </c>
      <c r="AU71" s="20">
        <v>-6.8077998964583015E-3</v>
      </c>
      <c r="AV71" s="20">
        <v>-7.423934322622254E-2</v>
      </c>
      <c r="AW71" s="20">
        <v>3.8101272109189718E-2</v>
      </c>
      <c r="AX71" s="20">
        <v>92.253581368949156</v>
      </c>
      <c r="AY71" s="20">
        <v>112.34766794924231</v>
      </c>
      <c r="AZ71" s="20">
        <v>0.39822400125780838</v>
      </c>
      <c r="BA71" s="20">
        <v>1.3461538461538463</v>
      </c>
      <c r="BB71" s="20">
        <v>6.5934065934065931</v>
      </c>
      <c r="BC71" s="21">
        <v>0.45546558704453444</v>
      </c>
      <c r="BD71" s="21">
        <v>0.42222222222222222</v>
      </c>
      <c r="BE71" s="20">
        <v>6.3880336669792621</v>
      </c>
      <c r="BF71" s="21">
        <v>0.53333333333333333</v>
      </c>
      <c r="BG71" s="21">
        <v>0.22222222222222221</v>
      </c>
      <c r="BH71" s="20">
        <v>1.8217701533323212</v>
      </c>
      <c r="BI71" s="20">
        <v>2.6025287904747443</v>
      </c>
      <c r="BJ71" s="20">
        <v>2.066649444587962</v>
      </c>
      <c r="BK71" s="20">
        <v>3.5762665944188567</v>
      </c>
      <c r="BL71" s="20">
        <v>1.061487204600077</v>
      </c>
      <c r="BM71" s="20">
        <v>0</v>
      </c>
      <c r="BN71" s="20">
        <v>15.41095890410959</v>
      </c>
      <c r="BO71" s="22" t="s">
        <v>263</v>
      </c>
      <c r="BP71" s="22"/>
    </row>
    <row r="72" spans="1:68" x14ac:dyDescent="0.3">
      <c r="A72" s="16" t="s">
        <v>162</v>
      </c>
      <c r="B72" s="16" t="s">
        <v>254</v>
      </c>
      <c r="C72" s="4" t="s">
        <v>164</v>
      </c>
      <c r="D72" s="5" t="s">
        <v>200</v>
      </c>
      <c r="E72" s="7">
        <v>8</v>
      </c>
      <c r="F72" s="7">
        <v>55</v>
      </c>
      <c r="G72" s="14">
        <v>12300</v>
      </c>
      <c r="H72" s="5" t="s">
        <v>200</v>
      </c>
      <c r="I72" s="18">
        <f>H72/$D72</f>
        <v>1</v>
      </c>
      <c r="J72" s="6" t="s">
        <v>243</v>
      </c>
      <c r="K72" s="6" t="s">
        <v>187</v>
      </c>
      <c r="L72" s="18">
        <f>J72/$D72</f>
        <v>1.0869565217391304</v>
      </c>
      <c r="M72" s="18">
        <f>K72/$D72</f>
        <v>0.30434782608695654</v>
      </c>
      <c r="N72" s="19">
        <f>K72/J72</f>
        <v>0.28000000000000003</v>
      </c>
      <c r="O72" s="14" t="s">
        <v>187</v>
      </c>
      <c r="P72" s="15" t="s">
        <v>184</v>
      </c>
      <c r="Q72" s="18">
        <f>O72/$D72</f>
        <v>0.30434782608695654</v>
      </c>
      <c r="R72" s="18">
        <f>P72/$D72</f>
        <v>0.17391304347826086</v>
      </c>
      <c r="S72" s="19">
        <f>P72/O72</f>
        <v>0.5714285714285714</v>
      </c>
      <c r="T72" s="15" t="s">
        <v>180</v>
      </c>
      <c r="U72" s="15" t="s">
        <v>193</v>
      </c>
      <c r="V72" s="18">
        <f>T72/$D72</f>
        <v>0.78260869565217395</v>
      </c>
      <c r="W72" s="18">
        <f>U72/$D72</f>
        <v>0.13043478260869565</v>
      </c>
      <c r="X72" s="19">
        <f>U72/T72</f>
        <v>0.16666666666666666</v>
      </c>
      <c r="Y72" s="15" t="s">
        <v>226</v>
      </c>
      <c r="Z72" s="15" t="s">
        <v>226</v>
      </c>
      <c r="AA72" s="18">
        <f>Y72/$D72</f>
        <v>0.2608695652173913</v>
      </c>
      <c r="AB72" s="18">
        <f>Z72/$D72</f>
        <v>0.2608695652173913</v>
      </c>
      <c r="AC72" s="19">
        <f>Z72/Y72</f>
        <v>1</v>
      </c>
      <c r="AD72" s="15" t="s">
        <v>172</v>
      </c>
      <c r="AE72" s="18">
        <f>AD72/$D72</f>
        <v>1.2608695652173914</v>
      </c>
      <c r="AF72" s="15" t="s">
        <v>203</v>
      </c>
      <c r="AG72" s="18">
        <f>AF72/$D72</f>
        <v>0.39130434782608697</v>
      </c>
      <c r="AH72" s="15" t="s">
        <v>208</v>
      </c>
      <c r="AI72" s="18">
        <f>AH72/$D72</f>
        <v>0.86956521739130432</v>
      </c>
      <c r="AJ72" s="15">
        <v>4</v>
      </c>
      <c r="AK72" s="18">
        <f>AJ72/$D72</f>
        <v>0.17391304347826086</v>
      </c>
      <c r="AL72" s="15" t="s">
        <v>187</v>
      </c>
      <c r="AM72" s="18">
        <f>AL72/$D72</f>
        <v>0.30434782608695654</v>
      </c>
      <c r="AN72" s="15" t="s">
        <v>194</v>
      </c>
      <c r="AO72" s="18">
        <f>AN72/$D72</f>
        <v>8.6956521739130432E-2</v>
      </c>
      <c r="AP72" s="15" t="s">
        <v>193</v>
      </c>
      <c r="AQ72" s="18">
        <f>AP72/$D72</f>
        <v>0.13043478260869565</v>
      </c>
      <c r="AR72" s="15" t="s">
        <v>175</v>
      </c>
      <c r="AS72" s="18">
        <f>AR72/$D72</f>
        <v>0.91304347826086951</v>
      </c>
      <c r="AT72" s="20">
        <v>0.14307427833595404</v>
      </c>
      <c r="AU72" s="20">
        <v>2.7905588623022323E-2</v>
      </c>
      <c r="AV72" s="20">
        <v>9.8566611413667821E-3</v>
      </c>
      <c r="AW72" s="20">
        <v>0.13321761719458727</v>
      </c>
      <c r="AX72" s="20">
        <v>98.376819389512917</v>
      </c>
      <c r="AY72" s="20">
        <v>107.84554970891921</v>
      </c>
      <c r="AZ72" s="20">
        <v>1.2034692829790947</v>
      </c>
      <c r="BA72" s="20">
        <v>1.9130434782608696</v>
      </c>
      <c r="BB72" s="20">
        <v>8.5818772856562369</v>
      </c>
      <c r="BC72" s="21">
        <v>0.41606367583212733</v>
      </c>
      <c r="BD72" s="21">
        <v>0.34</v>
      </c>
      <c r="BE72" s="20">
        <v>3.0696256005172144</v>
      </c>
      <c r="BF72" s="21">
        <v>0.72</v>
      </c>
      <c r="BG72" s="21">
        <v>0.24</v>
      </c>
      <c r="BH72" s="20">
        <v>2.1452620497184345</v>
      </c>
      <c r="BI72" s="20">
        <v>4.7672489993742992</v>
      </c>
      <c r="BJ72" s="20">
        <v>3.2289267298070299</v>
      </c>
      <c r="BK72" s="20">
        <v>1.1587205793602895</v>
      </c>
      <c r="BL72" s="20">
        <v>1.9232716153237481</v>
      </c>
      <c r="BM72" s="20">
        <v>0.46080958483936463</v>
      </c>
      <c r="BN72" s="20">
        <v>9.7911227154046987</v>
      </c>
      <c r="BO72" s="22" t="s">
        <v>263</v>
      </c>
      <c r="BP72" s="22">
        <v>500000</v>
      </c>
    </row>
    <row r="73" spans="1:68" x14ac:dyDescent="0.3">
      <c r="A73" s="16" t="s">
        <v>162</v>
      </c>
      <c r="B73" s="16" t="s">
        <v>254</v>
      </c>
      <c r="C73" s="4" t="s">
        <v>75</v>
      </c>
      <c r="D73" s="5" t="s">
        <v>229</v>
      </c>
      <c r="E73" s="7">
        <v>9</v>
      </c>
      <c r="F73" s="7">
        <v>49</v>
      </c>
      <c r="G73" s="14">
        <v>2944</v>
      </c>
      <c r="H73" s="5" t="s">
        <v>180</v>
      </c>
      <c r="I73" s="18">
        <f>H73/$D73</f>
        <v>3.6</v>
      </c>
      <c r="J73" s="6" t="s">
        <v>178</v>
      </c>
      <c r="K73" s="6" t="s">
        <v>226</v>
      </c>
      <c r="L73" s="18">
        <f>J73/$D73</f>
        <v>2.8</v>
      </c>
      <c r="M73" s="18">
        <f>K73/$D73</f>
        <v>1.2</v>
      </c>
      <c r="N73" s="19">
        <f>K73/J73</f>
        <v>0.42857142857142855</v>
      </c>
      <c r="O73" s="14" t="s">
        <v>187</v>
      </c>
      <c r="P73" s="15" t="s">
        <v>193</v>
      </c>
      <c r="Q73" s="18">
        <f>O73/$D73</f>
        <v>1.4</v>
      </c>
      <c r="R73" s="18">
        <f>P73/$D73</f>
        <v>0.6</v>
      </c>
      <c r="S73" s="19">
        <f>P73/O73</f>
        <v>0.42857142857142855</v>
      </c>
      <c r="T73" s="15" t="s">
        <v>187</v>
      </c>
      <c r="U73" s="15" t="s">
        <v>193</v>
      </c>
      <c r="V73" s="18">
        <f>T73/$D73</f>
        <v>1.4</v>
      </c>
      <c r="W73" s="18">
        <f>U73/$D73</f>
        <v>0.6</v>
      </c>
      <c r="X73" s="19">
        <f>U73/T73</f>
        <v>0.42857142857142855</v>
      </c>
      <c r="Y73" s="15" t="s">
        <v>184</v>
      </c>
      <c r="Z73" s="15" t="s">
        <v>193</v>
      </c>
      <c r="AA73" s="18">
        <f>Y73/$D73</f>
        <v>0.8</v>
      </c>
      <c r="AB73" s="18">
        <f>Z73/$D73</f>
        <v>0.6</v>
      </c>
      <c r="AC73" s="19">
        <f>Z73/Y73</f>
        <v>0.75</v>
      </c>
      <c r="AD73" s="15" t="s">
        <v>193</v>
      </c>
      <c r="AE73" s="18">
        <f>AD73/$D73</f>
        <v>0.6</v>
      </c>
      <c r="AF73" s="15" t="s">
        <v>231</v>
      </c>
      <c r="AG73" s="18">
        <f>AF73/$D73</f>
        <v>0.2</v>
      </c>
      <c r="AH73" s="15" t="s">
        <v>194</v>
      </c>
      <c r="AI73" s="18">
        <f>AH73/$D73</f>
        <v>0.4</v>
      </c>
      <c r="AJ73" s="15">
        <v>1</v>
      </c>
      <c r="AK73" s="18">
        <f>AJ73/$D73</f>
        <v>0.2</v>
      </c>
      <c r="AL73" s="15" t="s">
        <v>231</v>
      </c>
      <c r="AM73" s="18">
        <f>AL73/$D73</f>
        <v>0.2</v>
      </c>
      <c r="AN73" s="15" t="s">
        <v>231</v>
      </c>
      <c r="AO73" s="18">
        <f>AN73/$D73</f>
        <v>0.2</v>
      </c>
      <c r="AP73" s="15" t="s">
        <v>192</v>
      </c>
      <c r="AQ73" s="18">
        <f>AP73/$D73</f>
        <v>0</v>
      </c>
      <c r="AR73" s="15" t="s">
        <v>226</v>
      </c>
      <c r="AS73" s="18">
        <f>AR73/$D73</f>
        <v>1.2</v>
      </c>
      <c r="AT73" s="20">
        <v>0.10912824520874381</v>
      </c>
      <c r="AU73" s="20">
        <v>8.8933035144646913E-2</v>
      </c>
      <c r="AV73" s="20">
        <v>9.4924660448112153E-2</v>
      </c>
      <c r="AW73" s="20">
        <v>1.4203584760631658E-2</v>
      </c>
      <c r="AX73" s="20">
        <v>123.2148955281793</v>
      </c>
      <c r="AY73" s="20">
        <v>111.29490000306245</v>
      </c>
      <c r="AZ73" s="20">
        <v>0.67865018198434823</v>
      </c>
      <c r="BA73" s="20">
        <v>3</v>
      </c>
      <c r="BB73" s="20">
        <v>12.224108658743633</v>
      </c>
      <c r="BC73" s="21">
        <v>0.57106598984771573</v>
      </c>
      <c r="BD73" s="21">
        <v>0.5357142857142857</v>
      </c>
      <c r="BE73" s="20">
        <v>1.4341393350082754</v>
      </c>
      <c r="BF73" s="21">
        <v>0.5</v>
      </c>
      <c r="BG73" s="21">
        <v>0.2857142857142857</v>
      </c>
      <c r="BH73" s="20">
        <v>0.21650918630435056</v>
      </c>
      <c r="BI73" s="20">
        <v>0.43301837260870113</v>
      </c>
      <c r="BJ73" s="20">
        <v>0.30340304439671467</v>
      </c>
      <c r="BK73" s="20">
        <v>0.26194582087271617</v>
      </c>
      <c r="BL73" s="20">
        <v>1.1479921041260595</v>
      </c>
      <c r="BM73" s="20">
        <v>0.20928109328443131</v>
      </c>
      <c r="BN73" s="20">
        <v>0</v>
      </c>
      <c r="BO73" s="22" t="s">
        <v>263</v>
      </c>
      <c r="BP73" s="22">
        <v>240000</v>
      </c>
    </row>
    <row r="74" spans="1:68" x14ac:dyDescent="0.3">
      <c r="A74" s="16" t="s">
        <v>162</v>
      </c>
      <c r="B74" s="16" t="s">
        <v>254</v>
      </c>
      <c r="C74" s="4" t="s">
        <v>423</v>
      </c>
      <c r="D74" s="5" t="s">
        <v>226</v>
      </c>
      <c r="E74" s="7">
        <v>9</v>
      </c>
      <c r="F74" s="7">
        <v>56</v>
      </c>
      <c r="G74" s="14">
        <v>3579</v>
      </c>
      <c r="H74" s="5" t="s">
        <v>178</v>
      </c>
      <c r="I74" s="18">
        <f>H74/$D74</f>
        <v>2.3333333333333335</v>
      </c>
      <c r="J74" s="6" t="s">
        <v>173</v>
      </c>
      <c r="K74" s="6" t="s">
        <v>229</v>
      </c>
      <c r="L74" s="18">
        <f>J74/$D74</f>
        <v>2.8333333333333335</v>
      </c>
      <c r="M74" s="18">
        <f>K74/$D74</f>
        <v>0.83333333333333337</v>
      </c>
      <c r="N74" s="19">
        <f>K74/J74</f>
        <v>0.29411764705882354</v>
      </c>
      <c r="O74" s="14" t="s">
        <v>187</v>
      </c>
      <c r="P74" s="15" t="s">
        <v>184</v>
      </c>
      <c r="Q74" s="18">
        <f>O74/$D74</f>
        <v>1.1666666666666667</v>
      </c>
      <c r="R74" s="18">
        <f>P74/$D74</f>
        <v>0.66666666666666663</v>
      </c>
      <c r="S74" s="19">
        <f>P74/O74</f>
        <v>0.5714285714285714</v>
      </c>
      <c r="T74" s="15" t="s">
        <v>176</v>
      </c>
      <c r="U74" s="15" t="s">
        <v>231</v>
      </c>
      <c r="V74" s="18">
        <f>T74/$D74</f>
        <v>1.6666666666666667</v>
      </c>
      <c r="W74" s="18">
        <f>U74/$D74</f>
        <v>0.16666666666666666</v>
      </c>
      <c r="X74" s="19">
        <f>U74/T74</f>
        <v>0.1</v>
      </c>
      <c r="Y74" s="15" t="s">
        <v>176</v>
      </c>
      <c r="Z74" s="15" t="s">
        <v>193</v>
      </c>
      <c r="AA74" s="18">
        <f>Y74/$D74</f>
        <v>1.6666666666666667</v>
      </c>
      <c r="AB74" s="18">
        <f>Z74/$D74</f>
        <v>0.5</v>
      </c>
      <c r="AC74" s="19">
        <f>Z74/Y74</f>
        <v>0.3</v>
      </c>
      <c r="AD74" s="15" t="s">
        <v>189</v>
      </c>
      <c r="AE74" s="18">
        <f>AD74/$D74</f>
        <v>1.3333333333333333</v>
      </c>
      <c r="AF74" s="15" t="s">
        <v>231</v>
      </c>
      <c r="AG74" s="18">
        <f>AF74/$D74</f>
        <v>0.16666666666666666</v>
      </c>
      <c r="AH74" s="15" t="s">
        <v>187</v>
      </c>
      <c r="AI74" s="18">
        <f>AH74/$D74</f>
        <v>1.1666666666666667</v>
      </c>
      <c r="AJ74" s="15">
        <v>2</v>
      </c>
      <c r="AK74" s="18">
        <f>AJ74/$D74</f>
        <v>0.33333333333333331</v>
      </c>
      <c r="AL74" s="15" t="s">
        <v>231</v>
      </c>
      <c r="AM74" s="18">
        <f>AL74/$D74</f>
        <v>0.16666666666666666</v>
      </c>
      <c r="AN74" s="15" t="s">
        <v>194</v>
      </c>
      <c r="AO74" s="18">
        <f>AN74/$D74</f>
        <v>0.33333333333333331</v>
      </c>
      <c r="AP74" s="15" t="s">
        <v>231</v>
      </c>
      <c r="AQ74" s="18">
        <f>AP74/$D74</f>
        <v>0.16666666666666666</v>
      </c>
      <c r="AR74" s="15" t="s">
        <v>203</v>
      </c>
      <c r="AS74" s="18">
        <f>AR74/$D74</f>
        <v>1.5</v>
      </c>
      <c r="AT74" s="20">
        <v>-8.9735366702243829E-2</v>
      </c>
      <c r="AU74" s="20">
        <v>-6.0225078323653577E-2</v>
      </c>
      <c r="AV74" s="20">
        <v>-0.12961482697815468</v>
      </c>
      <c r="AW74" s="20">
        <v>3.9879460275910862E-2</v>
      </c>
      <c r="AX74" s="20">
        <v>73.359955410710612</v>
      </c>
      <c r="AY74" s="20">
        <v>107.65842651975056</v>
      </c>
      <c r="AZ74" s="20">
        <v>1.9501274016378845E-2</v>
      </c>
      <c r="BA74" s="20">
        <v>1.1666666666666667</v>
      </c>
      <c r="BB74" s="20">
        <v>4.6979865771812079</v>
      </c>
      <c r="BC74" s="21">
        <v>0.32710280373831779</v>
      </c>
      <c r="BD74" s="21">
        <v>0.3235294117647059</v>
      </c>
      <c r="BE74" s="20">
        <v>2.0144300338088508</v>
      </c>
      <c r="BF74" s="21">
        <v>0.58823529411764708</v>
      </c>
      <c r="BG74" s="21">
        <v>0.58823529411764708</v>
      </c>
      <c r="BH74" s="20">
        <v>0.21396629317661492</v>
      </c>
      <c r="BI74" s="20">
        <v>1.4977640522363045</v>
      </c>
      <c r="BJ74" s="20">
        <v>0.79957222885756118</v>
      </c>
      <c r="BK74" s="20">
        <v>0.51630668617158593</v>
      </c>
      <c r="BL74" s="20">
        <v>0.94542414615526993</v>
      </c>
      <c r="BM74" s="20">
        <v>0.41364618773332229</v>
      </c>
      <c r="BN74" s="20">
        <v>4.4642857142857144</v>
      </c>
      <c r="BO74" s="22" t="s">
        <v>263</v>
      </c>
      <c r="BP74" s="22">
        <v>600000</v>
      </c>
    </row>
    <row r="75" spans="1:68" x14ac:dyDescent="0.3">
      <c r="A75" s="16" t="s">
        <v>162</v>
      </c>
      <c r="B75" s="16" t="s">
        <v>254</v>
      </c>
      <c r="C75" s="9" t="s">
        <v>427</v>
      </c>
      <c r="D75" s="5" t="s">
        <v>231</v>
      </c>
      <c r="E75" s="7">
        <v>14</v>
      </c>
      <c r="F75" s="7">
        <v>56</v>
      </c>
      <c r="G75" s="14">
        <v>896</v>
      </c>
      <c r="H75" s="5" t="s">
        <v>189</v>
      </c>
      <c r="I75" s="18">
        <v>8.1052631578947363</v>
      </c>
      <c r="J75" s="6" t="s">
        <v>229</v>
      </c>
      <c r="K75" s="6" t="s">
        <v>194</v>
      </c>
      <c r="L75" s="18">
        <v>7.3684210526315788</v>
      </c>
      <c r="M75" s="18">
        <v>3.4736842105263159</v>
      </c>
      <c r="N75" s="19">
        <f>K75/J75</f>
        <v>0.4</v>
      </c>
      <c r="O75" s="14" t="s">
        <v>229</v>
      </c>
      <c r="P75" s="15" t="s">
        <v>194</v>
      </c>
      <c r="Q75" s="18">
        <v>7</v>
      </c>
      <c r="R75" s="18">
        <v>3.4210526315789473</v>
      </c>
      <c r="S75" s="19">
        <f>P75/O75</f>
        <v>0.4</v>
      </c>
      <c r="T75" s="15" t="s">
        <v>192</v>
      </c>
      <c r="U75" s="15" t="s">
        <v>192</v>
      </c>
      <c r="V75" s="18">
        <v>0.36842105263157893</v>
      </c>
      <c r="W75" s="18">
        <v>5.2631578947368418E-2</v>
      </c>
      <c r="X75" s="19" t="e">
        <f>U75/T75</f>
        <v>#DIV/0!</v>
      </c>
      <c r="Y75" s="15" t="s">
        <v>184</v>
      </c>
      <c r="Z75" s="15" t="s">
        <v>184</v>
      </c>
      <c r="AA75" s="18">
        <v>1.3157894736842106</v>
      </c>
      <c r="AB75" s="18">
        <v>1.1052631578947369</v>
      </c>
      <c r="AC75" s="19">
        <f>Z75/Y75</f>
        <v>1</v>
      </c>
      <c r="AD75" s="15" t="s">
        <v>187</v>
      </c>
      <c r="AE75" s="18">
        <v>6.1052631578947372</v>
      </c>
      <c r="AF75" s="15" t="s">
        <v>184</v>
      </c>
      <c r="AG75" s="18">
        <v>2.6842105263157894</v>
      </c>
      <c r="AH75" s="15" t="s">
        <v>193</v>
      </c>
      <c r="AI75" s="18">
        <v>3.4210526315789473</v>
      </c>
      <c r="AJ75" s="15">
        <v>0</v>
      </c>
      <c r="AK75" s="18">
        <v>3</v>
      </c>
      <c r="AL75" s="15" t="s">
        <v>192</v>
      </c>
      <c r="AM75" s="18">
        <v>0.57894736842105265</v>
      </c>
      <c r="AN75" s="15" t="s">
        <v>192</v>
      </c>
      <c r="AO75" s="18">
        <v>0.78947368421052633</v>
      </c>
      <c r="AP75" s="15" t="s">
        <v>231</v>
      </c>
      <c r="AQ75" s="18">
        <v>2.263157894736842</v>
      </c>
      <c r="AR75" s="15" t="s">
        <v>231</v>
      </c>
      <c r="AS75" s="18">
        <v>2.4736842105263159</v>
      </c>
      <c r="AT75" s="20">
        <v>6.9798525630554942E-2</v>
      </c>
      <c r="AU75" s="20">
        <v>0.18696033651041502</v>
      </c>
      <c r="AV75" s="20">
        <v>6.1389641203422579E-2</v>
      </c>
      <c r="AW75" s="20">
        <v>8.4088844271323609E-3</v>
      </c>
      <c r="AX75" s="20">
        <v>125.34545746367189</v>
      </c>
      <c r="AY75" s="20">
        <v>108.67372693590876</v>
      </c>
      <c r="AZ75" s="20">
        <v>0.30526887864954688</v>
      </c>
      <c r="BA75" s="20">
        <v>11</v>
      </c>
      <c r="BB75" s="20">
        <v>29.464285714285712</v>
      </c>
      <c r="BC75" s="21">
        <v>0.59171597633136097</v>
      </c>
      <c r="BD75" s="21">
        <v>0.4</v>
      </c>
      <c r="BE75" s="20">
        <v>0.46419893620279529</v>
      </c>
      <c r="BF75" s="21">
        <v>0</v>
      </c>
      <c r="BG75" s="21">
        <v>0.8</v>
      </c>
      <c r="BH75" s="20">
        <v>0.56930317291635046</v>
      </c>
      <c r="BI75" s="20">
        <v>0.42697737968726279</v>
      </c>
      <c r="BJ75" s="20">
        <v>0.46537602382725241</v>
      </c>
      <c r="BK75" s="20">
        <v>0</v>
      </c>
      <c r="BL75" s="20">
        <v>0</v>
      </c>
      <c r="BM75" s="20">
        <v>0</v>
      </c>
      <c r="BN75" s="20">
        <v>12.88659793814433</v>
      </c>
      <c r="BO75" s="22" t="s">
        <v>263</v>
      </c>
      <c r="BP75" s="22">
        <v>370000</v>
      </c>
    </row>
    <row r="76" spans="1:68" x14ac:dyDescent="0.3">
      <c r="A76" s="16" t="s">
        <v>162</v>
      </c>
      <c r="B76" s="16" t="s">
        <v>254</v>
      </c>
      <c r="C76" s="4" t="s">
        <v>433</v>
      </c>
      <c r="D76" s="5" t="s">
        <v>231</v>
      </c>
      <c r="E76" s="7">
        <v>12</v>
      </c>
      <c r="F76" s="7">
        <v>21</v>
      </c>
      <c r="G76" s="14">
        <v>741</v>
      </c>
      <c r="H76" s="5" t="s">
        <v>194</v>
      </c>
      <c r="I76" s="18">
        <f>H76/$D76</f>
        <v>2</v>
      </c>
      <c r="J76" s="6" t="s">
        <v>193</v>
      </c>
      <c r="K76" s="6" t="s">
        <v>231</v>
      </c>
      <c r="L76" s="18">
        <f>J76/$D76</f>
        <v>3</v>
      </c>
      <c r="M76" s="18">
        <f>K76/$D76</f>
        <v>1</v>
      </c>
      <c r="N76" s="19">
        <f>K76/J76</f>
        <v>0.33333333333333331</v>
      </c>
      <c r="O76" s="14" t="s">
        <v>231</v>
      </c>
      <c r="P76" s="15" t="s">
        <v>231</v>
      </c>
      <c r="Q76" s="18">
        <f>O76/$D76</f>
        <v>1</v>
      </c>
      <c r="R76" s="18">
        <f>P76/$D76</f>
        <v>1</v>
      </c>
      <c r="S76" s="19">
        <f>P76/O76</f>
        <v>1</v>
      </c>
      <c r="T76" s="15" t="s">
        <v>194</v>
      </c>
      <c r="U76" s="15" t="s">
        <v>192</v>
      </c>
      <c r="V76" s="18">
        <f>T76/$D76</f>
        <v>2</v>
      </c>
      <c r="W76" s="18">
        <f>U76/$D76</f>
        <v>0</v>
      </c>
      <c r="X76" s="19">
        <f>U76/T76</f>
        <v>0</v>
      </c>
      <c r="Y76" s="15" t="s">
        <v>192</v>
      </c>
      <c r="Z76" s="15" t="s">
        <v>192</v>
      </c>
      <c r="AA76" s="18">
        <f>Y76/$D76</f>
        <v>0</v>
      </c>
      <c r="AB76" s="18">
        <f>Z76/$D76</f>
        <v>0</v>
      </c>
      <c r="AC76" s="19" t="e">
        <f>Z76/Y76</f>
        <v>#DIV/0!</v>
      </c>
      <c r="AD76" s="15" t="s">
        <v>231</v>
      </c>
      <c r="AE76" s="18">
        <f>AD76/$D76</f>
        <v>1</v>
      </c>
      <c r="AF76" s="15" t="s">
        <v>192</v>
      </c>
      <c r="AG76" s="18">
        <f>AF76/$D76</f>
        <v>0</v>
      </c>
      <c r="AH76" s="15" t="s">
        <v>231</v>
      </c>
      <c r="AI76" s="18">
        <f>AH76/$D76</f>
        <v>1</v>
      </c>
      <c r="AJ76" s="15">
        <v>0</v>
      </c>
      <c r="AK76" s="18">
        <f>AJ76/$D76</f>
        <v>0</v>
      </c>
      <c r="AL76" s="15" t="s">
        <v>192</v>
      </c>
      <c r="AM76" s="18">
        <f>AL76/$D76</f>
        <v>0</v>
      </c>
      <c r="AN76" s="15" t="s">
        <v>192</v>
      </c>
      <c r="AO76" s="18">
        <f>AN76/$D76</f>
        <v>0</v>
      </c>
      <c r="AP76" s="15" t="s">
        <v>192</v>
      </c>
      <c r="AQ76" s="18">
        <f>AP76/$D76</f>
        <v>0</v>
      </c>
      <c r="AR76" s="15" t="s">
        <v>194</v>
      </c>
      <c r="AS76" s="18">
        <f>AR76/$D76</f>
        <v>2</v>
      </c>
      <c r="AT76" s="20">
        <v>-1.6071668507320832E-2</v>
      </c>
      <c r="AU76" s="20">
        <v>-5.2053987068245614E-2</v>
      </c>
      <c r="AV76" s="20">
        <v>-1.6941684557126434E-2</v>
      </c>
      <c r="AW76" s="20">
        <v>8.7001604980560207E-4</v>
      </c>
      <c r="AX76" s="20">
        <v>71.914030728771962</v>
      </c>
      <c r="AY76" s="20">
        <v>113.39141610134499</v>
      </c>
      <c r="AZ76" s="20">
        <v>-3.9964870697826213E-2</v>
      </c>
      <c r="BA76" s="20">
        <v>1</v>
      </c>
      <c r="BB76" s="20">
        <v>3.2388663967611335</v>
      </c>
      <c r="BC76" s="21">
        <v>0.33333333333333331</v>
      </c>
      <c r="BD76" s="21">
        <v>0.33333333333333331</v>
      </c>
      <c r="BE76" s="20">
        <v>0.21699687321972147</v>
      </c>
      <c r="BF76" s="21">
        <v>0.66666666666666663</v>
      </c>
      <c r="BG76" s="21">
        <v>0</v>
      </c>
      <c r="BH76" s="20">
        <v>0</v>
      </c>
      <c r="BI76" s="20">
        <v>0.17209704552397098</v>
      </c>
      <c r="BJ76" s="20">
        <v>8.038884082306115E-2</v>
      </c>
      <c r="BK76" s="20">
        <v>0</v>
      </c>
      <c r="BL76" s="20">
        <v>0</v>
      </c>
      <c r="BM76" s="20">
        <v>0</v>
      </c>
      <c r="BN76" s="20">
        <v>0</v>
      </c>
      <c r="BO76" s="22" t="s">
        <v>263</v>
      </c>
      <c r="BP76" s="22">
        <v>48000</v>
      </c>
    </row>
    <row r="77" spans="1:68" x14ac:dyDescent="0.3">
      <c r="A77" s="16" t="s">
        <v>162</v>
      </c>
      <c r="B77" s="16" t="s">
        <v>254</v>
      </c>
      <c r="C77" s="4" t="s">
        <v>436</v>
      </c>
      <c r="D77" s="5" t="s">
        <v>184</v>
      </c>
      <c r="E77" s="7">
        <v>2</v>
      </c>
      <c r="F77" s="7">
        <v>23</v>
      </c>
      <c r="G77" s="14">
        <v>574</v>
      </c>
      <c r="H77" s="5" t="s">
        <v>192</v>
      </c>
      <c r="I77" s="18">
        <f>H77/$D77</f>
        <v>0</v>
      </c>
      <c r="J77" s="6" t="s">
        <v>192</v>
      </c>
      <c r="K77" s="6" t="s">
        <v>192</v>
      </c>
      <c r="L77" s="18">
        <f>J77/$D77</f>
        <v>0</v>
      </c>
      <c r="M77" s="18">
        <f>K77/$D77</f>
        <v>0</v>
      </c>
      <c r="N77" s="19" t="e">
        <f>K77/J77</f>
        <v>#DIV/0!</v>
      </c>
      <c r="O77" s="14" t="s">
        <v>192</v>
      </c>
      <c r="P77" s="15" t="s">
        <v>192</v>
      </c>
      <c r="Q77" s="18">
        <f>O77/$D77</f>
        <v>0</v>
      </c>
      <c r="R77" s="18">
        <f>P77/$D77</f>
        <v>0</v>
      </c>
      <c r="S77" s="19" t="e">
        <f>P77/O77</f>
        <v>#DIV/0!</v>
      </c>
      <c r="T77" s="15" t="s">
        <v>192</v>
      </c>
      <c r="U77" s="15" t="s">
        <v>192</v>
      </c>
      <c r="V77" s="18">
        <f>T77/$D77</f>
        <v>0</v>
      </c>
      <c r="W77" s="18">
        <f>U77/$D77</f>
        <v>0</v>
      </c>
      <c r="X77" s="19" t="e">
        <f>U77/T77</f>
        <v>#DIV/0!</v>
      </c>
      <c r="Y77" s="15" t="s">
        <v>194</v>
      </c>
      <c r="Z77" s="15" t="s">
        <v>192</v>
      </c>
      <c r="AA77" s="18">
        <f>Y77/$D77</f>
        <v>0.5</v>
      </c>
      <c r="AB77" s="18">
        <f>Z77/$D77</f>
        <v>0</v>
      </c>
      <c r="AC77" s="19">
        <f>Z77/Y77</f>
        <v>0</v>
      </c>
      <c r="AD77" s="15" t="s">
        <v>193</v>
      </c>
      <c r="AE77" s="18">
        <f>AD77/$D77</f>
        <v>0.75</v>
      </c>
      <c r="AF77" s="15" t="s">
        <v>194</v>
      </c>
      <c r="AG77" s="18">
        <f>AF77/$D77</f>
        <v>0.5</v>
      </c>
      <c r="AH77" s="15" t="s">
        <v>231</v>
      </c>
      <c r="AI77" s="18">
        <f>AH77/$D77</f>
        <v>0.25</v>
      </c>
      <c r="AJ77" s="15">
        <v>0</v>
      </c>
      <c r="AK77" s="18">
        <f>AJ77/$D77</f>
        <v>0</v>
      </c>
      <c r="AL77" s="15" t="s">
        <v>192</v>
      </c>
      <c r="AM77" s="18">
        <f>AL77/$D77</f>
        <v>0</v>
      </c>
      <c r="AN77" s="15" t="s">
        <v>192</v>
      </c>
      <c r="AO77" s="18">
        <f>AN77/$D77</f>
        <v>0</v>
      </c>
      <c r="AP77" s="15" t="s">
        <v>192</v>
      </c>
      <c r="AQ77" s="18">
        <f>AP77/$D77</f>
        <v>0</v>
      </c>
      <c r="AR77" s="15" t="s">
        <v>231</v>
      </c>
      <c r="AS77" s="18">
        <f>AR77/$D77</f>
        <v>0.25</v>
      </c>
      <c r="AT77" s="20">
        <v>-2.0340836337735344E-3</v>
      </c>
      <c r="AU77" s="20">
        <v>-8.5346166452036406E-3</v>
      </c>
      <c r="AV77" s="20">
        <v>-3.5250221339199052E-3</v>
      </c>
      <c r="AW77" s="20">
        <v>1.4909385001463705E-3</v>
      </c>
      <c r="AX77" s="20">
        <v>88.49974912595701</v>
      </c>
      <c r="AY77" s="20">
        <v>112.56838638788821</v>
      </c>
      <c r="AZ77" s="20">
        <v>0.14483016518696409</v>
      </c>
      <c r="BA77" s="20">
        <v>0.25</v>
      </c>
      <c r="BB77" s="20">
        <v>4.1958041958041958</v>
      </c>
      <c r="BC77" s="21">
        <v>0</v>
      </c>
      <c r="BD77" s="21"/>
      <c r="BE77" s="20">
        <v>0.32983524729397662</v>
      </c>
      <c r="BF77" s="21"/>
      <c r="BG77" s="21"/>
      <c r="BH77" s="20">
        <v>1.7835511990666082</v>
      </c>
      <c r="BI77" s="20">
        <v>0.8917755995333041</v>
      </c>
      <c r="BJ77" s="20">
        <v>1.2496810709766779</v>
      </c>
      <c r="BK77" s="20">
        <v>0</v>
      </c>
      <c r="BL77" s="20">
        <v>0</v>
      </c>
      <c r="BM77" s="20">
        <v>0</v>
      </c>
      <c r="BN77" s="20">
        <v>0</v>
      </c>
      <c r="BO77" s="22" t="s">
        <v>263</v>
      </c>
      <c r="BP77" s="22">
        <v>200000</v>
      </c>
    </row>
    <row r="78" spans="1:68" x14ac:dyDescent="0.3">
      <c r="A78" s="16" t="s">
        <v>162</v>
      </c>
      <c r="B78" s="16" t="s">
        <v>259</v>
      </c>
      <c r="C78" s="16" t="s">
        <v>280</v>
      </c>
      <c r="D78" s="15" t="s">
        <v>201</v>
      </c>
      <c r="E78" s="15">
        <v>23</v>
      </c>
      <c r="F78" s="15">
        <v>33</v>
      </c>
      <c r="G78" s="14">
        <v>76281</v>
      </c>
      <c r="H78" s="8" t="s">
        <v>281</v>
      </c>
      <c r="I78" s="18">
        <f>H78/$D78</f>
        <v>17.296296296296298</v>
      </c>
      <c r="J78" s="6" t="s">
        <v>457</v>
      </c>
      <c r="K78" s="6" t="s">
        <v>458</v>
      </c>
      <c r="L78" s="18">
        <f>J78/$D78</f>
        <v>11.592592592592593</v>
      </c>
      <c r="M78" s="18">
        <f>K78/$D78</f>
        <v>6.0555555555555554</v>
      </c>
      <c r="N78" s="19">
        <f>K78/J78</f>
        <v>0.52236421725239612</v>
      </c>
      <c r="O78" s="12" t="s">
        <v>584</v>
      </c>
      <c r="P78" s="5" t="s">
        <v>327</v>
      </c>
      <c r="Q78" s="18">
        <f>O78/$D78</f>
        <v>10.351851851851851</v>
      </c>
      <c r="R78" s="18">
        <f>P78/$D78</f>
        <v>5.5925925925925926</v>
      </c>
      <c r="S78" s="19">
        <f>P78/O78</f>
        <v>0.5402504472271914</v>
      </c>
      <c r="T78" s="12" t="s">
        <v>548</v>
      </c>
      <c r="U78" s="6" t="s">
        <v>243</v>
      </c>
      <c r="V78" s="18">
        <f>T78/$D78</f>
        <v>1.2407407407407407</v>
      </c>
      <c r="W78" s="18">
        <f>U78/$D78</f>
        <v>0.46296296296296297</v>
      </c>
      <c r="X78" s="19">
        <f>U78/T78</f>
        <v>0.37313432835820898</v>
      </c>
      <c r="Y78" s="5" t="s">
        <v>576</v>
      </c>
      <c r="Z78" s="5" t="s">
        <v>639</v>
      </c>
      <c r="AA78" s="18">
        <f>Y78/$D78</f>
        <v>6.166666666666667</v>
      </c>
      <c r="AB78" s="18">
        <f>Z78/$D78</f>
        <v>4.7222222222222223</v>
      </c>
      <c r="AC78" s="19">
        <f>Z78/Y78</f>
        <v>0.76576576576576572</v>
      </c>
      <c r="AD78" s="15" t="s">
        <v>647</v>
      </c>
      <c r="AE78" s="18">
        <f>AD78/$D78</f>
        <v>9.1296296296296298</v>
      </c>
      <c r="AF78" s="15" t="s">
        <v>557</v>
      </c>
      <c r="AG78" s="18">
        <f>AF78/$D78</f>
        <v>2.4444444444444446</v>
      </c>
      <c r="AH78" s="8" t="s">
        <v>321</v>
      </c>
      <c r="AI78" s="18">
        <f>AH78/$D78</f>
        <v>6.6851851851851851</v>
      </c>
      <c r="AJ78" s="8" t="s">
        <v>598</v>
      </c>
      <c r="AK78" s="18">
        <f>AJ78/$D78</f>
        <v>2.574074074074074</v>
      </c>
      <c r="AL78" s="8" t="s">
        <v>218</v>
      </c>
      <c r="AM78" s="18">
        <f>AL78/$D78</f>
        <v>0.88888888888888884</v>
      </c>
      <c r="AN78" s="8" t="s">
        <v>181</v>
      </c>
      <c r="AO78" s="18">
        <f>AN78/$D78</f>
        <v>0.27777777777777779</v>
      </c>
      <c r="AP78" s="12" t="s">
        <v>533</v>
      </c>
      <c r="AQ78" s="18">
        <f>AP78/$D78</f>
        <v>1.9259259259259258</v>
      </c>
      <c r="AR78" s="12" t="s">
        <v>520</v>
      </c>
      <c r="AS78" s="18">
        <f>AR78/$D78</f>
        <v>2.074074074074074</v>
      </c>
      <c r="AT78" s="20">
        <v>6.4783874578645566</v>
      </c>
      <c r="AU78" s="20">
        <v>0.20377093521631062</v>
      </c>
      <c r="AV78" s="20">
        <v>5.2949649178090841</v>
      </c>
      <c r="AW78" s="20">
        <v>1.1834225400554721</v>
      </c>
      <c r="AX78" s="20">
        <v>118.25277813058514</v>
      </c>
      <c r="AY78" s="20">
        <v>106.27859089355941</v>
      </c>
      <c r="AZ78" s="20">
        <v>22.875109708160867</v>
      </c>
      <c r="BA78" s="20">
        <v>21.25925925925926</v>
      </c>
      <c r="BB78" s="20">
        <v>36.109145238656915</v>
      </c>
      <c r="BC78" s="21">
        <v>0.60451509346036347</v>
      </c>
      <c r="BD78" s="21">
        <v>0.542332268370607</v>
      </c>
      <c r="BE78" s="20">
        <v>33.248349986336819</v>
      </c>
      <c r="BF78" s="21">
        <v>0.10702875399361023</v>
      </c>
      <c r="BG78" s="21">
        <v>0.53194888178913735</v>
      </c>
      <c r="BH78" s="20">
        <v>11.91306172455106</v>
      </c>
      <c r="BI78" s="20">
        <v>32.580418807294947</v>
      </c>
      <c r="BJ78" s="20">
        <v>20.783502199288701</v>
      </c>
      <c r="BK78" s="20">
        <v>23.042811554560902</v>
      </c>
      <c r="BL78" s="20">
        <v>2.126814026359201</v>
      </c>
      <c r="BM78" s="20">
        <v>1.3085622499419325</v>
      </c>
      <c r="BN78" s="20">
        <v>11.865102906950213</v>
      </c>
      <c r="BO78" s="22" t="s">
        <v>265</v>
      </c>
      <c r="BP78" s="22">
        <v>40000</v>
      </c>
    </row>
    <row r="79" spans="1:68" x14ac:dyDescent="0.3">
      <c r="A79" s="16" t="s">
        <v>162</v>
      </c>
      <c r="B79" s="16" t="s">
        <v>259</v>
      </c>
      <c r="C79" s="16" t="s">
        <v>145</v>
      </c>
      <c r="D79" s="15" t="s">
        <v>220</v>
      </c>
      <c r="E79" s="15">
        <v>21</v>
      </c>
      <c r="F79" s="15">
        <v>10</v>
      </c>
      <c r="G79" s="14">
        <v>53333</v>
      </c>
      <c r="H79" s="8" t="s">
        <v>292</v>
      </c>
      <c r="I79" s="18">
        <f>H79/$D79</f>
        <v>16.69047619047619</v>
      </c>
      <c r="J79" s="6" t="s">
        <v>472</v>
      </c>
      <c r="K79" s="6" t="s">
        <v>473</v>
      </c>
      <c r="L79" s="18">
        <f>J79/$D79</f>
        <v>13</v>
      </c>
      <c r="M79" s="18">
        <f>K79/$D79</f>
        <v>6.3571428571428568</v>
      </c>
      <c r="N79" s="19">
        <f>K79/J79</f>
        <v>0.48901098901098899</v>
      </c>
      <c r="O79" s="12" t="s">
        <v>595</v>
      </c>
      <c r="P79" s="5" t="s">
        <v>596</v>
      </c>
      <c r="Q79" s="18">
        <f>O79/$D79</f>
        <v>8.9285714285714288</v>
      </c>
      <c r="R79" s="18">
        <f>P79/$D79</f>
        <v>4.5952380952380949</v>
      </c>
      <c r="S79" s="19">
        <f>P79/O79</f>
        <v>0.51466666666666672</v>
      </c>
      <c r="T79" s="12" t="s">
        <v>374</v>
      </c>
      <c r="U79" s="6" t="s">
        <v>627</v>
      </c>
      <c r="V79" s="18">
        <f>T79/$D79</f>
        <v>4.0714285714285712</v>
      </c>
      <c r="W79" s="18">
        <f>U79/$D79</f>
        <v>1.7619047619047619</v>
      </c>
      <c r="X79" s="19">
        <f>U79/T79</f>
        <v>0.43274853801169588</v>
      </c>
      <c r="Y79" s="5" t="s">
        <v>559</v>
      </c>
      <c r="Z79" s="5" t="s">
        <v>569</v>
      </c>
      <c r="AA79" s="18">
        <f>Y79/$D79</f>
        <v>2.8095238095238093</v>
      </c>
      <c r="AB79" s="18">
        <f>Z79/$D79</f>
        <v>2.2142857142857144</v>
      </c>
      <c r="AC79" s="19">
        <f>Z79/Y79</f>
        <v>0.78813559322033899</v>
      </c>
      <c r="AD79" s="15" t="s">
        <v>649</v>
      </c>
      <c r="AE79" s="18">
        <f>AD79/$D79</f>
        <v>6.1904761904761907</v>
      </c>
      <c r="AF79" s="15" t="s">
        <v>190</v>
      </c>
      <c r="AG79" s="18">
        <f>AF79/$D79</f>
        <v>1.1190476190476191</v>
      </c>
      <c r="AH79" s="8" t="s">
        <v>614</v>
      </c>
      <c r="AI79" s="18">
        <f>AH79/$D79</f>
        <v>5.0714285714285712</v>
      </c>
      <c r="AJ79" s="8" t="s">
        <v>245</v>
      </c>
      <c r="AK79" s="18">
        <f>AJ79/$D79</f>
        <v>0.83333333333333337</v>
      </c>
      <c r="AL79" s="8" t="s">
        <v>208</v>
      </c>
      <c r="AM79" s="18">
        <f>AL79/$D79</f>
        <v>0.47619047619047616</v>
      </c>
      <c r="AN79" s="8" t="s">
        <v>204</v>
      </c>
      <c r="AO79" s="18">
        <f>AN79/$D79</f>
        <v>0.52380952380952384</v>
      </c>
      <c r="AP79" s="12" t="s">
        <v>224</v>
      </c>
      <c r="AQ79" s="18">
        <f>AP79/$D79</f>
        <v>1.3095238095238095</v>
      </c>
      <c r="AR79" s="12" t="s">
        <v>550</v>
      </c>
      <c r="AS79" s="18">
        <f>AR79/$D79</f>
        <v>1.6190476190476191</v>
      </c>
      <c r="AT79" s="20">
        <v>2.4084761798855654</v>
      </c>
      <c r="AU79" s="20">
        <v>0.10836788210958674</v>
      </c>
      <c r="AV79" s="20">
        <v>1.887683376070312</v>
      </c>
      <c r="AW79" s="20">
        <v>0.52079280381525317</v>
      </c>
      <c r="AX79" s="20">
        <v>108.36016450275127</v>
      </c>
      <c r="AY79" s="20">
        <v>109.1636965682594</v>
      </c>
      <c r="AZ79" s="20">
        <v>15.904734939865374</v>
      </c>
      <c r="BA79" s="20">
        <v>16.166666666666668</v>
      </c>
      <c r="BB79" s="20">
        <v>30.551181102362204</v>
      </c>
      <c r="BC79" s="21">
        <v>0.58619882258496125</v>
      </c>
      <c r="BD79" s="21">
        <v>0.5567765567765568</v>
      </c>
      <c r="BE79" s="20">
        <v>27.555397496273443</v>
      </c>
      <c r="BF79" s="21">
        <v>0.31318681318681318</v>
      </c>
      <c r="BG79" s="21">
        <v>0.21611721611721613</v>
      </c>
      <c r="BH79" s="20">
        <v>4.7193888224120757</v>
      </c>
      <c r="BI79" s="20">
        <v>21.387868493058985</v>
      </c>
      <c r="BJ79" s="20">
        <v>12.195050451158236</v>
      </c>
      <c r="BK79" s="20">
        <v>6.150241616634939</v>
      </c>
      <c r="BL79" s="20">
        <v>1.2676553230788321</v>
      </c>
      <c r="BM79" s="20">
        <v>2.1353263045509143</v>
      </c>
      <c r="BN79" s="20">
        <v>8.423696624395026</v>
      </c>
      <c r="BO79" s="22" t="s">
        <v>265</v>
      </c>
      <c r="BP79" s="22">
        <v>300000</v>
      </c>
    </row>
    <row r="80" spans="1:68" x14ac:dyDescent="0.3">
      <c r="A80" s="16" t="s">
        <v>162</v>
      </c>
      <c r="B80" s="16" t="s">
        <v>259</v>
      </c>
      <c r="C80" s="4" t="s">
        <v>137</v>
      </c>
      <c r="D80" s="5" t="s">
        <v>201</v>
      </c>
      <c r="E80" s="7">
        <v>24</v>
      </c>
      <c r="F80" s="7">
        <v>54</v>
      </c>
      <c r="G80" s="14">
        <v>80677</v>
      </c>
      <c r="H80" s="5" t="s">
        <v>296</v>
      </c>
      <c r="I80" s="18">
        <f>H80/$D80</f>
        <v>10.314814814814815</v>
      </c>
      <c r="J80" s="6" t="s">
        <v>478</v>
      </c>
      <c r="K80" s="6" t="s">
        <v>479</v>
      </c>
      <c r="L80" s="18">
        <f>J80/$D80</f>
        <v>9.518518518518519</v>
      </c>
      <c r="M80" s="18">
        <f>K80/$D80</f>
        <v>3.7407407407407409</v>
      </c>
      <c r="N80" s="19">
        <f>K80/J80</f>
        <v>0.39299610894941633</v>
      </c>
      <c r="O80" s="14" t="s">
        <v>534</v>
      </c>
      <c r="P80" s="15" t="s">
        <v>533</v>
      </c>
      <c r="Q80" s="18">
        <f>O80/$D80</f>
        <v>4.5925925925925926</v>
      </c>
      <c r="R80" s="18">
        <f>P80/$D80</f>
        <v>1.9259259259259258</v>
      </c>
      <c r="S80" s="19">
        <f>P80/O80</f>
        <v>0.41935483870967744</v>
      </c>
      <c r="T80" s="15" t="s">
        <v>476</v>
      </c>
      <c r="U80" s="15" t="s">
        <v>394</v>
      </c>
      <c r="V80" s="18">
        <f>T80/$D80</f>
        <v>4.9259259259259256</v>
      </c>
      <c r="W80" s="18">
        <f>U80/$D80</f>
        <v>1.8148148148148149</v>
      </c>
      <c r="X80" s="19">
        <f>U80/T80</f>
        <v>0.36842105263157893</v>
      </c>
      <c r="Y80" s="15" t="s">
        <v>627</v>
      </c>
      <c r="Z80" s="15" t="s">
        <v>224</v>
      </c>
      <c r="AA80" s="18">
        <f>Y80/$D80</f>
        <v>1.3703703703703705</v>
      </c>
      <c r="AB80" s="18">
        <f>Z80/$D80</f>
        <v>1.0185185185185186</v>
      </c>
      <c r="AC80" s="19">
        <f>Z80/Y80</f>
        <v>0.7432432432432432</v>
      </c>
      <c r="AD80" s="15" t="s">
        <v>502</v>
      </c>
      <c r="AE80" s="18">
        <f>AD80/$D80</f>
        <v>2.4814814814814814</v>
      </c>
      <c r="AF80" s="15" t="s">
        <v>182</v>
      </c>
      <c r="AG80" s="18">
        <f>AF80/$D80</f>
        <v>0.5</v>
      </c>
      <c r="AH80" s="15" t="s">
        <v>669</v>
      </c>
      <c r="AI80" s="18">
        <f>AH80/$D80</f>
        <v>1.9814814814814814</v>
      </c>
      <c r="AJ80" s="15" t="s">
        <v>650</v>
      </c>
      <c r="AK80" s="18">
        <f>AJ80/$D80</f>
        <v>2.6481481481481484</v>
      </c>
      <c r="AL80" s="15" t="s">
        <v>224</v>
      </c>
      <c r="AM80" s="18">
        <f>AL80/$D80</f>
        <v>1.0185185185185186</v>
      </c>
      <c r="AN80" s="15" t="s">
        <v>229</v>
      </c>
      <c r="AO80" s="18">
        <f>AN80/$D80</f>
        <v>9.2592592592592587E-2</v>
      </c>
      <c r="AP80" s="15" t="s">
        <v>409</v>
      </c>
      <c r="AQ80" s="18">
        <f>AP80/$D80</f>
        <v>1.3148148148148149</v>
      </c>
      <c r="AR80" s="15" t="s">
        <v>566</v>
      </c>
      <c r="AS80" s="18">
        <f>AR80/$D80</f>
        <v>1.5740740740740742</v>
      </c>
      <c r="AT80" s="20">
        <v>0.70311234183072202</v>
      </c>
      <c r="AU80" s="20">
        <v>2.0916624775568111E-2</v>
      </c>
      <c r="AV80" s="20">
        <v>0.77431956026230553</v>
      </c>
      <c r="AW80" s="20">
        <v>-7.1207218431583508E-2</v>
      </c>
      <c r="AX80" s="20">
        <v>101.61729921869207</v>
      </c>
      <c r="AY80" s="20">
        <v>114.50919572744593</v>
      </c>
      <c r="AZ80" s="20">
        <v>10.022722229109533</v>
      </c>
      <c r="BA80" s="20">
        <v>9.1111111111111107</v>
      </c>
      <c r="BB80" s="20">
        <v>14.63632307005801</v>
      </c>
      <c r="BC80" s="21">
        <v>0.50955064402810313</v>
      </c>
      <c r="BD80" s="21">
        <v>0.48832684824902722</v>
      </c>
      <c r="BE80" s="20">
        <v>22.155369136088407</v>
      </c>
      <c r="BF80" s="21">
        <v>0.51750972762645919</v>
      </c>
      <c r="BG80" s="21">
        <v>0.14396887159533073</v>
      </c>
      <c r="BH80" s="20">
        <v>2.3046489891553463</v>
      </c>
      <c r="BI80" s="20">
        <v>9.1332385866526682</v>
      </c>
      <c r="BJ80" s="20">
        <v>5.3427908706057785</v>
      </c>
      <c r="BK80" s="20">
        <v>18.296973961998592</v>
      </c>
      <c r="BL80" s="20">
        <v>2.3048492868488588</v>
      </c>
      <c r="BM80" s="20">
        <v>0.41253870128691456</v>
      </c>
      <c r="BN80" s="20">
        <v>11.496858604831921</v>
      </c>
      <c r="BO80" s="22" t="s">
        <v>263</v>
      </c>
      <c r="BP80" s="22">
        <v>280000</v>
      </c>
    </row>
    <row r="81" spans="1:68" x14ac:dyDescent="0.3">
      <c r="A81" s="16" t="s">
        <v>162</v>
      </c>
      <c r="B81" s="16" t="s">
        <v>259</v>
      </c>
      <c r="C81" s="4" t="s">
        <v>135</v>
      </c>
      <c r="D81" s="5" t="s">
        <v>230</v>
      </c>
      <c r="E81" s="7">
        <v>26</v>
      </c>
      <c r="F81" s="7">
        <v>12</v>
      </c>
      <c r="G81" s="14">
        <v>83303</v>
      </c>
      <c r="H81" s="5" t="s">
        <v>306</v>
      </c>
      <c r="I81" s="18">
        <f>H81/$D81</f>
        <v>8.6226415094339615</v>
      </c>
      <c r="J81" s="6" t="s">
        <v>492</v>
      </c>
      <c r="K81" s="6" t="s">
        <v>481</v>
      </c>
      <c r="L81" s="18">
        <f>J81/$D81</f>
        <v>7.2264150943396226</v>
      </c>
      <c r="M81" s="18">
        <f>K81/$D81</f>
        <v>3.3773584905660377</v>
      </c>
      <c r="N81" s="19">
        <f>K81/J81</f>
        <v>0.46736292428198434</v>
      </c>
      <c r="O81" s="14" t="s">
        <v>602</v>
      </c>
      <c r="P81" s="15" t="s">
        <v>603</v>
      </c>
      <c r="Q81" s="18">
        <f>O81/$D81</f>
        <v>4.1132075471698117</v>
      </c>
      <c r="R81" s="18">
        <f>P81/$D81</f>
        <v>2.1698113207547172</v>
      </c>
      <c r="S81" s="19">
        <f>P81/O81</f>
        <v>0.52752293577981646</v>
      </c>
      <c r="T81" s="15" t="s">
        <v>378</v>
      </c>
      <c r="U81" s="15" t="s">
        <v>572</v>
      </c>
      <c r="V81" s="18">
        <f>T81/$D81</f>
        <v>3.1132075471698113</v>
      </c>
      <c r="W81" s="18">
        <f>U81/$D81</f>
        <v>1.2075471698113207</v>
      </c>
      <c r="X81" s="19">
        <f>U81/T81</f>
        <v>0.38787878787878788</v>
      </c>
      <c r="Y81" s="15" t="s">
        <v>223</v>
      </c>
      <c r="Z81" s="15" t="s">
        <v>245</v>
      </c>
      <c r="AA81" s="18">
        <f>Y81/$D81</f>
        <v>0.94339622641509435</v>
      </c>
      <c r="AB81" s="18">
        <f>Z81/$D81</f>
        <v>0.660377358490566</v>
      </c>
      <c r="AC81" s="19">
        <f>Z81/Y81</f>
        <v>0.7</v>
      </c>
      <c r="AD81" s="15" t="s">
        <v>583</v>
      </c>
      <c r="AE81" s="18">
        <f>AD81/$D81</f>
        <v>4.1509433962264151</v>
      </c>
      <c r="AF81" s="15" t="s">
        <v>213</v>
      </c>
      <c r="AG81" s="18">
        <f>AF81/$D81</f>
        <v>0.64150943396226412</v>
      </c>
      <c r="AH81" s="15" t="s">
        <v>543</v>
      </c>
      <c r="AI81" s="18">
        <f>AH81/$D81</f>
        <v>3.5094339622641511</v>
      </c>
      <c r="AJ81" s="15" t="s">
        <v>632</v>
      </c>
      <c r="AK81" s="18">
        <f>AJ81/$D81</f>
        <v>3.7547169811320753</v>
      </c>
      <c r="AL81" s="15" t="s">
        <v>412</v>
      </c>
      <c r="AM81" s="18">
        <f>AL81/$D81</f>
        <v>1.3018867924528301</v>
      </c>
      <c r="AN81" s="15" t="s">
        <v>174</v>
      </c>
      <c r="AO81" s="18">
        <f>AN81/$D81</f>
        <v>0.45283018867924529</v>
      </c>
      <c r="AP81" s="15" t="s">
        <v>535</v>
      </c>
      <c r="AQ81" s="18">
        <f>AP81/$D81</f>
        <v>1.6981132075471699</v>
      </c>
      <c r="AR81" s="15" t="s">
        <v>625</v>
      </c>
      <c r="AS81" s="18">
        <f>AR81/$D81</f>
        <v>2.5849056603773586</v>
      </c>
      <c r="AT81" s="20">
        <v>2.2123236231926091</v>
      </c>
      <c r="AU81" s="20">
        <v>6.3728175808515322E-2</v>
      </c>
      <c r="AV81" s="20">
        <v>1.6039338721319714</v>
      </c>
      <c r="AW81" s="20">
        <v>0.60838975106063764</v>
      </c>
      <c r="AX81" s="20">
        <v>107.89460762194159</v>
      </c>
      <c r="AY81" s="20">
        <v>110.39959083361072</v>
      </c>
      <c r="AZ81" s="20">
        <v>10.876679279611579</v>
      </c>
      <c r="BA81" s="20">
        <v>12.452830188679245</v>
      </c>
      <c r="BB81" s="20">
        <v>19.011954486533199</v>
      </c>
      <c r="BC81" s="21">
        <v>0.56419753086419755</v>
      </c>
      <c r="BD81" s="21">
        <v>0.55091383812010442</v>
      </c>
      <c r="BE81" s="20">
        <v>16.877304519217077</v>
      </c>
      <c r="BF81" s="21">
        <v>0.43080939947780678</v>
      </c>
      <c r="BG81" s="21">
        <v>0.13054830287206268</v>
      </c>
      <c r="BH81" s="20">
        <v>2.7581507410502066</v>
      </c>
      <c r="BI81" s="20">
        <v>15.088706995157011</v>
      </c>
      <c r="BJ81" s="20">
        <v>8.336506889933478</v>
      </c>
      <c r="BK81" s="20">
        <v>23.250379717256685</v>
      </c>
      <c r="BL81" s="20">
        <v>2.7999152085906176</v>
      </c>
      <c r="BM81" s="20">
        <v>1.8819322739622908</v>
      </c>
      <c r="BN81" s="20">
        <v>18.181818181818183</v>
      </c>
      <c r="BO81" s="22" t="s">
        <v>264</v>
      </c>
      <c r="BP81" s="22">
        <v>250000</v>
      </c>
    </row>
    <row r="82" spans="1:68" x14ac:dyDescent="0.3">
      <c r="A82" s="16" t="s">
        <v>162</v>
      </c>
      <c r="B82" s="16" t="s">
        <v>259</v>
      </c>
      <c r="C82" s="4" t="s">
        <v>123</v>
      </c>
      <c r="D82" s="5" t="s">
        <v>190</v>
      </c>
      <c r="E82" s="7">
        <v>25</v>
      </c>
      <c r="F82" s="7">
        <v>21</v>
      </c>
      <c r="G82" s="14">
        <v>71494</v>
      </c>
      <c r="H82" s="5" t="s">
        <v>324</v>
      </c>
      <c r="I82" s="18">
        <f>H82/$D82</f>
        <v>6.6808510638297873</v>
      </c>
      <c r="J82" s="6" t="s">
        <v>513</v>
      </c>
      <c r="K82" s="6" t="s">
        <v>514</v>
      </c>
      <c r="L82" s="18">
        <f>J82/$D82</f>
        <v>5.6170212765957448</v>
      </c>
      <c r="M82" s="18">
        <f>K82/$D82</f>
        <v>2.2553191489361701</v>
      </c>
      <c r="N82" s="19">
        <f>K82/J82</f>
        <v>0.40151515151515149</v>
      </c>
      <c r="O82" s="14" t="s">
        <v>610</v>
      </c>
      <c r="P82" s="15" t="s">
        <v>172</v>
      </c>
      <c r="Q82" s="18">
        <f>O82/$D82</f>
        <v>1.3829787234042554</v>
      </c>
      <c r="R82" s="18">
        <f>P82/$D82</f>
        <v>0.61702127659574468</v>
      </c>
      <c r="S82" s="19">
        <f>P82/O82</f>
        <v>0.44615384615384618</v>
      </c>
      <c r="T82" s="15" t="s">
        <v>632</v>
      </c>
      <c r="U82" s="15" t="s">
        <v>571</v>
      </c>
      <c r="V82" s="18">
        <f>T82/$D82</f>
        <v>4.2340425531914896</v>
      </c>
      <c r="W82" s="18">
        <f>U82/$D82</f>
        <v>1.6382978723404256</v>
      </c>
      <c r="X82" s="19">
        <f>U82/T82</f>
        <v>0.38693467336683418</v>
      </c>
      <c r="Y82" s="15" t="s">
        <v>199</v>
      </c>
      <c r="Z82" s="15" t="s">
        <v>243</v>
      </c>
      <c r="AA82" s="18">
        <f>Y82/$D82</f>
        <v>0.7021276595744681</v>
      </c>
      <c r="AB82" s="18">
        <f>Z82/$D82</f>
        <v>0.53191489361702127</v>
      </c>
      <c r="AC82" s="19">
        <f>Z82/Y82</f>
        <v>0.75757575757575757</v>
      </c>
      <c r="AD82" s="15" t="s">
        <v>567</v>
      </c>
      <c r="AE82" s="18">
        <f>AD82/$D82</f>
        <v>2.1702127659574466</v>
      </c>
      <c r="AF82" s="15" t="s">
        <v>243</v>
      </c>
      <c r="AG82" s="18">
        <f>AF82/$D82</f>
        <v>0.53191489361702127</v>
      </c>
      <c r="AH82" s="15" t="s">
        <v>571</v>
      </c>
      <c r="AI82" s="18">
        <f>AH82/$D82</f>
        <v>1.6382978723404256</v>
      </c>
      <c r="AJ82" s="15" t="s">
        <v>379</v>
      </c>
      <c r="AK82" s="18">
        <f>AJ82/$D82</f>
        <v>3.4680851063829787</v>
      </c>
      <c r="AL82" s="15" t="s">
        <v>301</v>
      </c>
      <c r="AM82" s="18">
        <f>AL82/$D82</f>
        <v>0.85106382978723405</v>
      </c>
      <c r="AN82" s="15" t="s">
        <v>193</v>
      </c>
      <c r="AO82" s="18">
        <f>AN82/$D82</f>
        <v>6.3829787234042548E-2</v>
      </c>
      <c r="AP82" s="15" t="s">
        <v>627</v>
      </c>
      <c r="AQ82" s="18">
        <f>AP82/$D82</f>
        <v>1.574468085106383</v>
      </c>
      <c r="AR82" s="15" t="s">
        <v>603</v>
      </c>
      <c r="AS82" s="18">
        <f>AR82/$D82</f>
        <v>2.4468085106382977</v>
      </c>
      <c r="AT82" s="20">
        <v>0.74619734858142217</v>
      </c>
      <c r="AU82" s="20">
        <v>2.5051738590169025E-2</v>
      </c>
      <c r="AV82" s="20">
        <v>1.0133177431736331</v>
      </c>
      <c r="AW82" s="20">
        <v>-0.26712039459221099</v>
      </c>
      <c r="AX82" s="20">
        <v>106.47908631266843</v>
      </c>
      <c r="AY82" s="20">
        <v>115.94218859220079</v>
      </c>
      <c r="AZ82" s="20">
        <v>6.2576813735026704</v>
      </c>
      <c r="BA82" s="20">
        <v>8.1276595744680851</v>
      </c>
      <c r="BB82" s="20">
        <v>12.824709387720842</v>
      </c>
      <c r="BC82" s="21">
        <v>0.56369381013930786</v>
      </c>
      <c r="BD82" s="21">
        <v>0.54734848484848486</v>
      </c>
      <c r="BE82" s="20">
        <v>12.422384762400924</v>
      </c>
      <c r="BF82" s="21">
        <v>0.75378787878787878</v>
      </c>
      <c r="BG82" s="21">
        <v>0.125</v>
      </c>
      <c r="BH82" s="20">
        <v>2.0960537595868258</v>
      </c>
      <c r="BI82" s="20">
        <v>6.4558455795274234</v>
      </c>
      <c r="BJ82" s="20">
        <v>3.9947070132075</v>
      </c>
      <c r="BK82" s="20">
        <v>18.205679501856867</v>
      </c>
      <c r="BL82" s="20">
        <v>1.8917211502238147</v>
      </c>
      <c r="BM82" s="20">
        <v>0.2431293174448324</v>
      </c>
      <c r="BN82" s="20">
        <v>20.991716782026554</v>
      </c>
      <c r="BO82" s="22" t="s">
        <v>263</v>
      </c>
      <c r="BP82" s="22">
        <v>64000</v>
      </c>
    </row>
    <row r="83" spans="1:68" x14ac:dyDescent="0.3">
      <c r="A83" s="16" t="s">
        <v>162</v>
      </c>
      <c r="B83" s="16" t="s">
        <v>259</v>
      </c>
      <c r="C83" s="4" t="s">
        <v>94</v>
      </c>
      <c r="D83" s="5" t="s">
        <v>201</v>
      </c>
      <c r="E83" s="7">
        <v>16</v>
      </c>
      <c r="F83" s="7">
        <v>24</v>
      </c>
      <c r="G83" s="14">
        <v>53128</v>
      </c>
      <c r="H83" s="5" t="s">
        <v>333</v>
      </c>
      <c r="I83" s="18">
        <f>H83/$D83</f>
        <v>5.333333333333333</v>
      </c>
      <c r="J83" s="6" t="s">
        <v>348</v>
      </c>
      <c r="K83" s="6" t="s">
        <v>523</v>
      </c>
      <c r="L83" s="18">
        <f>J83/$D83</f>
        <v>4.4259259259259256</v>
      </c>
      <c r="M83" s="18">
        <f>K83/$D83</f>
        <v>1.7407407407407407</v>
      </c>
      <c r="N83" s="19">
        <f>K83/J83</f>
        <v>0.39330543933054396</v>
      </c>
      <c r="O83" s="14" t="s">
        <v>176</v>
      </c>
      <c r="P83" s="15" t="s">
        <v>226</v>
      </c>
      <c r="Q83" s="18">
        <f>O83/$D83</f>
        <v>0.18518518518518517</v>
      </c>
      <c r="R83" s="18">
        <f>P83/$D83</f>
        <v>0.1111111111111111</v>
      </c>
      <c r="S83" s="19">
        <f>P83/O83</f>
        <v>0.6</v>
      </c>
      <c r="T83" s="15" t="s">
        <v>633</v>
      </c>
      <c r="U83" s="15" t="s">
        <v>616</v>
      </c>
      <c r="V83" s="18">
        <f>T83/$D83</f>
        <v>4.2407407407407405</v>
      </c>
      <c r="W83" s="18">
        <f>U83/$D83</f>
        <v>1.6296296296296295</v>
      </c>
      <c r="X83" s="19">
        <f>U83/T83</f>
        <v>0.38427947598253276</v>
      </c>
      <c r="Y83" s="15" t="s">
        <v>178</v>
      </c>
      <c r="Z83" s="15" t="s">
        <v>185</v>
      </c>
      <c r="AA83" s="18">
        <f>Y83/$D83</f>
        <v>0.25925925925925924</v>
      </c>
      <c r="AB83" s="18">
        <f>Z83/$D83</f>
        <v>0.22222222222222221</v>
      </c>
      <c r="AC83" s="19">
        <f>Z83/Y83</f>
        <v>0.8571428571428571</v>
      </c>
      <c r="AD83" s="15" t="s">
        <v>550</v>
      </c>
      <c r="AE83" s="18">
        <f>AD83/$D83</f>
        <v>1.2592592592592593</v>
      </c>
      <c r="AF83" s="15" t="s">
        <v>173</v>
      </c>
      <c r="AG83" s="18">
        <f>AF83/$D83</f>
        <v>0.31481481481481483</v>
      </c>
      <c r="AH83" s="15" t="s">
        <v>233</v>
      </c>
      <c r="AI83" s="18">
        <f>AH83/$D83</f>
        <v>0.94444444444444442</v>
      </c>
      <c r="AJ83" s="15" t="s">
        <v>212</v>
      </c>
      <c r="AK83" s="18">
        <f>AJ83/$D83</f>
        <v>1.0925925925925926</v>
      </c>
      <c r="AL83" s="15" t="s">
        <v>174</v>
      </c>
      <c r="AM83" s="18">
        <f>AL83/$D83</f>
        <v>0.44444444444444442</v>
      </c>
      <c r="AN83" s="15" t="s">
        <v>193</v>
      </c>
      <c r="AO83" s="18">
        <f>AN83/$D83</f>
        <v>5.5555555555555552E-2</v>
      </c>
      <c r="AP83" s="15" t="s">
        <v>243</v>
      </c>
      <c r="AQ83" s="18">
        <f>AP83/$D83</f>
        <v>0.46296296296296297</v>
      </c>
      <c r="AR83" s="15" t="s">
        <v>220</v>
      </c>
      <c r="AS83" s="18">
        <f>AR83/$D83</f>
        <v>0.77777777777777779</v>
      </c>
      <c r="AT83" s="20">
        <v>0.94865434726178799</v>
      </c>
      <c r="AU83" s="20">
        <v>4.2847983164489067E-2</v>
      </c>
      <c r="AV83" s="20">
        <v>1.2717484619068296</v>
      </c>
      <c r="AW83" s="20">
        <v>-0.32309411464504156</v>
      </c>
      <c r="AX83" s="20">
        <v>114.23446560695058</v>
      </c>
      <c r="AY83" s="20">
        <v>117.11905334898766</v>
      </c>
      <c r="AZ83" s="20">
        <v>9.0855637660233093</v>
      </c>
      <c r="BA83" s="20">
        <v>5</v>
      </c>
      <c r="BB83" s="20">
        <v>12.195121951219512</v>
      </c>
      <c r="BC83" s="21">
        <v>0.58737151248164465</v>
      </c>
      <c r="BD83" s="21">
        <v>0.57740585774058573</v>
      </c>
      <c r="BE83" s="20">
        <v>14.715545926273238</v>
      </c>
      <c r="BF83" s="21">
        <v>0.95815899581589958</v>
      </c>
      <c r="BG83" s="21">
        <v>5.8577405857740586E-2</v>
      </c>
      <c r="BH83" s="20">
        <v>2.2031569943754699</v>
      </c>
      <c r="BI83" s="20">
        <v>6.6094709831264087</v>
      </c>
      <c r="BJ83" s="20">
        <v>4.116496861171143</v>
      </c>
      <c r="BK83" s="20">
        <v>10.653665583243049</v>
      </c>
      <c r="BL83" s="20">
        <v>1.5270265341694875</v>
      </c>
      <c r="BM83" s="20">
        <v>0.37581269495283559</v>
      </c>
      <c r="BN83" s="20">
        <v>9.2537755404204933</v>
      </c>
      <c r="BO83" s="22" t="s">
        <v>263</v>
      </c>
      <c r="BP83" s="22"/>
    </row>
    <row r="84" spans="1:68" x14ac:dyDescent="0.3">
      <c r="A84" s="16" t="s">
        <v>162</v>
      </c>
      <c r="B84" s="16" t="s">
        <v>259</v>
      </c>
      <c r="C84" s="9" t="s">
        <v>127</v>
      </c>
      <c r="D84" s="5" t="s">
        <v>301</v>
      </c>
      <c r="E84" s="5">
        <v>17</v>
      </c>
      <c r="F84" s="5">
        <v>56</v>
      </c>
      <c r="G84" s="14">
        <v>43049</v>
      </c>
      <c r="H84" s="5" t="s">
        <v>342</v>
      </c>
      <c r="I84" s="18">
        <v>3.5333333333333332</v>
      </c>
      <c r="J84" s="6" t="s">
        <v>532</v>
      </c>
      <c r="K84" s="6" t="s">
        <v>533</v>
      </c>
      <c r="L84" s="18">
        <v>2.8666666666666667</v>
      </c>
      <c r="M84" s="18">
        <v>1.3333333333333333</v>
      </c>
      <c r="N84" s="19">
        <f>K84/J84</f>
        <v>0.46017699115044247</v>
      </c>
      <c r="O84" s="14" t="s">
        <v>614</v>
      </c>
      <c r="P84" s="15" t="s">
        <v>601</v>
      </c>
      <c r="Q84" s="18">
        <v>2.7333333333333334</v>
      </c>
      <c r="R84" s="18">
        <v>1.3333333333333333</v>
      </c>
      <c r="S84" s="19">
        <f>P84/O84</f>
        <v>0.48356807511737088</v>
      </c>
      <c r="T84" s="15" t="s">
        <v>207</v>
      </c>
      <c r="U84" s="15" t="s">
        <v>231</v>
      </c>
      <c r="V84" s="18">
        <v>0.13333333333333333</v>
      </c>
      <c r="W84" s="18">
        <v>0</v>
      </c>
      <c r="X84" s="19">
        <f>U84/T84</f>
        <v>7.6923076923076927E-2</v>
      </c>
      <c r="Y84" s="15" t="s">
        <v>641</v>
      </c>
      <c r="Z84" s="15" t="s">
        <v>179</v>
      </c>
      <c r="AA84" s="18">
        <v>1.2666666666666666</v>
      </c>
      <c r="AB84" s="18">
        <v>0.8666666666666667</v>
      </c>
      <c r="AC84" s="19">
        <f>Z84/Y84</f>
        <v>0.55000000000000004</v>
      </c>
      <c r="AD84" s="15" t="s">
        <v>555</v>
      </c>
      <c r="AE84" s="18">
        <v>2.8</v>
      </c>
      <c r="AF84" s="15" t="s">
        <v>627</v>
      </c>
      <c r="AG84" s="18">
        <v>0.93333333333333335</v>
      </c>
      <c r="AH84" s="15" t="s">
        <v>533</v>
      </c>
      <c r="AI84" s="18">
        <v>1.8666666666666667</v>
      </c>
      <c r="AJ84" s="15" t="s">
        <v>175</v>
      </c>
      <c r="AK84" s="18">
        <v>0.8</v>
      </c>
      <c r="AL84" s="15" t="s">
        <v>208</v>
      </c>
      <c r="AM84" s="18">
        <v>0.46666666666666667</v>
      </c>
      <c r="AN84" s="15" t="s">
        <v>177</v>
      </c>
      <c r="AO84" s="18">
        <v>0.66666666666666663</v>
      </c>
      <c r="AP84" s="15" t="s">
        <v>235</v>
      </c>
      <c r="AQ84" s="18">
        <v>0.93333333333333335</v>
      </c>
      <c r="AR84" s="15" t="s">
        <v>390</v>
      </c>
      <c r="AS84" s="18">
        <v>1.5333333333333334</v>
      </c>
      <c r="AT84" s="20">
        <v>0.29457039403709961</v>
      </c>
      <c r="AU84" s="20">
        <v>1.6425858403555739E-2</v>
      </c>
      <c r="AV84" s="20">
        <v>6.0378769207428018E-2</v>
      </c>
      <c r="AW84" s="20">
        <v>0.2341916248296716</v>
      </c>
      <c r="AX84" s="20">
        <v>97.865838373746413</v>
      </c>
      <c r="AY84" s="20">
        <v>111.33396977426386</v>
      </c>
      <c r="AZ84" s="20">
        <v>6.1007120524287828</v>
      </c>
      <c r="BA84" s="20">
        <v>7.5750000000000002</v>
      </c>
      <c r="BB84" s="20">
        <v>16.895910780669144</v>
      </c>
      <c r="BC84" s="21">
        <v>0.48430321592649311</v>
      </c>
      <c r="BD84" s="21">
        <v>0.46238938053097345</v>
      </c>
      <c r="BE84" s="20">
        <v>14.854081315750815</v>
      </c>
      <c r="BF84" s="21">
        <v>5.7522123893805309E-2</v>
      </c>
      <c r="BG84" s="21">
        <v>0.35398230088495575</v>
      </c>
      <c r="BH84" s="20">
        <v>8.7702317790533684</v>
      </c>
      <c r="BI84" s="20">
        <v>12.325731148939868</v>
      </c>
      <c r="BJ84" s="20">
        <v>9.8542075528625634</v>
      </c>
      <c r="BK84" s="20">
        <v>3.4747118195356022</v>
      </c>
      <c r="BL84" s="20">
        <v>1.5710207930535527</v>
      </c>
      <c r="BM84" s="20">
        <v>2.9785600953139233</v>
      </c>
      <c r="BN84" s="20">
        <v>12.407780013413817</v>
      </c>
      <c r="BO84" s="22" t="s">
        <v>263</v>
      </c>
      <c r="BP84" s="22">
        <v>370000</v>
      </c>
    </row>
    <row r="85" spans="1:68" x14ac:dyDescent="0.3">
      <c r="A85" s="16" t="s">
        <v>162</v>
      </c>
      <c r="B85" s="16" t="s">
        <v>259</v>
      </c>
      <c r="C85" s="9" t="s">
        <v>353</v>
      </c>
      <c r="D85" s="5" t="s">
        <v>206</v>
      </c>
      <c r="E85" s="5">
        <v>15</v>
      </c>
      <c r="F85" s="5">
        <v>43</v>
      </c>
      <c r="G85" s="14">
        <v>35847</v>
      </c>
      <c r="H85" s="5" t="s">
        <v>354</v>
      </c>
      <c r="I85" s="18">
        <v>6.125</v>
      </c>
      <c r="J85" s="6" t="s">
        <v>542</v>
      </c>
      <c r="K85" s="6" t="s">
        <v>539</v>
      </c>
      <c r="L85" s="18">
        <v>5.125</v>
      </c>
      <c r="M85" s="18">
        <v>2.75</v>
      </c>
      <c r="N85" s="19">
        <f>K85/J85</f>
        <v>0.43684210526315792</v>
      </c>
      <c r="O85" s="14" t="s">
        <v>550</v>
      </c>
      <c r="P85" s="15" t="s">
        <v>371</v>
      </c>
      <c r="Q85" s="18">
        <v>3.8125</v>
      </c>
      <c r="R85" s="18">
        <v>2.375</v>
      </c>
      <c r="S85" s="19">
        <f>P85/O85</f>
        <v>0.52941176470588236</v>
      </c>
      <c r="T85" s="15" t="s">
        <v>527</v>
      </c>
      <c r="U85" s="15" t="s">
        <v>190</v>
      </c>
      <c r="V85" s="18">
        <v>1.3125</v>
      </c>
      <c r="W85" s="18">
        <v>0.375</v>
      </c>
      <c r="X85" s="19">
        <f>U85/T85</f>
        <v>0.38524590163934425</v>
      </c>
      <c r="Y85" s="15" t="s">
        <v>178</v>
      </c>
      <c r="Z85" s="15" t="s">
        <v>185</v>
      </c>
      <c r="AA85" s="18">
        <v>0.9375</v>
      </c>
      <c r="AB85" s="18">
        <v>0.25</v>
      </c>
      <c r="AC85" s="19">
        <f>Z85/Y85</f>
        <v>0.8571428571428571</v>
      </c>
      <c r="AD85" s="15" t="s">
        <v>548</v>
      </c>
      <c r="AE85" s="18">
        <v>2.375</v>
      </c>
      <c r="AF85" s="15" t="s">
        <v>243</v>
      </c>
      <c r="AG85" s="18">
        <v>0.6875</v>
      </c>
      <c r="AH85" s="15" t="s">
        <v>220</v>
      </c>
      <c r="AI85" s="18">
        <v>1.6875</v>
      </c>
      <c r="AJ85" s="15" t="s">
        <v>180</v>
      </c>
      <c r="AK85" s="18">
        <v>0.5625</v>
      </c>
      <c r="AL85" s="15" t="s">
        <v>203</v>
      </c>
      <c r="AM85" s="18">
        <v>0.4375</v>
      </c>
      <c r="AN85" s="15" t="s">
        <v>226</v>
      </c>
      <c r="AO85" s="18">
        <v>0</v>
      </c>
      <c r="AP85" s="15" t="s">
        <v>208</v>
      </c>
      <c r="AQ85" s="18">
        <v>0.75</v>
      </c>
      <c r="AR85" s="15" t="s">
        <v>535</v>
      </c>
      <c r="AS85" s="18">
        <v>1.4375</v>
      </c>
      <c r="AT85" s="20">
        <v>0.42783116356870743</v>
      </c>
      <c r="AU85" s="20">
        <v>2.8654205295666067E-2</v>
      </c>
      <c r="AV85" s="20">
        <v>0.66133916126908909</v>
      </c>
      <c r="AW85" s="20">
        <v>-0.23350799770038169</v>
      </c>
      <c r="AX85" s="20">
        <v>108.54868236315399</v>
      </c>
      <c r="AY85" s="20">
        <v>117.33790306346418</v>
      </c>
      <c r="AZ85" s="20">
        <v>4.8219387073675621</v>
      </c>
      <c r="BA85" s="20">
        <v>5.1578947368421053</v>
      </c>
      <c r="BB85" s="20">
        <v>13.127197633532399</v>
      </c>
      <c r="BC85" s="21">
        <v>0.57351141924959215</v>
      </c>
      <c r="BD85" s="21">
        <v>0.56052631578947365</v>
      </c>
      <c r="BE85" s="20">
        <v>12.286100632500766</v>
      </c>
      <c r="BF85" s="21">
        <v>0.64210526315789473</v>
      </c>
      <c r="BG85" s="21">
        <v>7.3684210526315783E-2</v>
      </c>
      <c r="BH85" s="20">
        <v>3.3808035719316667</v>
      </c>
      <c r="BI85" s="20">
        <v>5.6797500008452007</v>
      </c>
      <c r="BJ85" s="20">
        <v>4.2323062357820964</v>
      </c>
      <c r="BK85" s="20">
        <v>3.3469172722624227</v>
      </c>
      <c r="BL85" s="20">
        <v>0.84912459451529854</v>
      </c>
      <c r="BM85" s="20">
        <v>0.78430475468417837</v>
      </c>
      <c r="BN85" s="20">
        <v>9.2524056254626199</v>
      </c>
      <c r="BO85" s="22" t="s">
        <v>263</v>
      </c>
      <c r="BP85" s="22">
        <v>430000</v>
      </c>
    </row>
    <row r="86" spans="1:68" x14ac:dyDescent="0.3">
      <c r="A86" s="16" t="s">
        <v>162</v>
      </c>
      <c r="B86" s="16" t="s">
        <v>259</v>
      </c>
      <c r="C86" s="4" t="s">
        <v>121</v>
      </c>
      <c r="D86" s="10" t="s">
        <v>190</v>
      </c>
      <c r="E86" s="11">
        <v>14</v>
      </c>
      <c r="F86" s="11">
        <v>48</v>
      </c>
      <c r="G86" s="14">
        <v>41743</v>
      </c>
      <c r="H86" s="5" t="s">
        <v>373</v>
      </c>
      <c r="I86" s="18">
        <f>H86/$D86</f>
        <v>3.6595744680851063</v>
      </c>
      <c r="J86" s="6" t="s">
        <v>547</v>
      </c>
      <c r="K86" s="6" t="s">
        <v>205</v>
      </c>
      <c r="L86" s="18">
        <f>J86/$D86</f>
        <v>3.1276595744680851</v>
      </c>
      <c r="M86" s="18">
        <f>K86/$D86</f>
        <v>1.1914893617021276</v>
      </c>
      <c r="N86" s="19">
        <f>K86/J86</f>
        <v>0.38095238095238093</v>
      </c>
      <c r="O86" s="14" t="s">
        <v>179</v>
      </c>
      <c r="P86" s="15" t="s">
        <v>191</v>
      </c>
      <c r="Q86" s="18">
        <f>O86/$D86</f>
        <v>0.93617021276595747</v>
      </c>
      <c r="R86" s="18">
        <f>P86/$D86</f>
        <v>0.40425531914893614</v>
      </c>
      <c r="S86" s="19">
        <f>P86/O86</f>
        <v>0.43181818181818182</v>
      </c>
      <c r="T86" s="15" t="s">
        <v>601</v>
      </c>
      <c r="U86" s="15" t="s">
        <v>235</v>
      </c>
      <c r="V86" s="18">
        <f>T86/$D86</f>
        <v>2.1914893617021276</v>
      </c>
      <c r="W86" s="18">
        <f>U86/$D86</f>
        <v>0.78723404255319152</v>
      </c>
      <c r="X86" s="19">
        <f>U86/T86</f>
        <v>0.35922330097087379</v>
      </c>
      <c r="Y86" s="15" t="s">
        <v>213</v>
      </c>
      <c r="Z86" s="15" t="s">
        <v>200</v>
      </c>
      <c r="AA86" s="18">
        <f>Y86/$D86</f>
        <v>0.72340425531914898</v>
      </c>
      <c r="AB86" s="18">
        <f>Z86/$D86</f>
        <v>0.48936170212765956</v>
      </c>
      <c r="AC86" s="19">
        <f>Z86/Y86</f>
        <v>0.67647058823529416</v>
      </c>
      <c r="AD86" s="15" t="s">
        <v>569</v>
      </c>
      <c r="AE86" s="18">
        <f>AD86/$D86</f>
        <v>1.9787234042553192</v>
      </c>
      <c r="AF86" s="15" t="s">
        <v>235</v>
      </c>
      <c r="AG86" s="18">
        <f>AF86/$D86</f>
        <v>0.78723404255319152</v>
      </c>
      <c r="AH86" s="15" t="s">
        <v>205</v>
      </c>
      <c r="AI86" s="18">
        <f>AH86/$D86</f>
        <v>1.1914893617021276</v>
      </c>
      <c r="AJ86" s="15" t="s">
        <v>218</v>
      </c>
      <c r="AK86" s="18">
        <f>AJ86/$D86</f>
        <v>1.0212765957446808</v>
      </c>
      <c r="AL86" s="15" t="s">
        <v>173</v>
      </c>
      <c r="AM86" s="18">
        <f>AL86/$D86</f>
        <v>0.36170212765957449</v>
      </c>
      <c r="AN86" s="15" t="s">
        <v>193</v>
      </c>
      <c r="AO86" s="18">
        <f>AN86/$D86</f>
        <v>6.3829787234042548E-2</v>
      </c>
      <c r="AP86" s="15" t="s">
        <v>243</v>
      </c>
      <c r="AQ86" s="18">
        <f>AP86/$D86</f>
        <v>0.53191489361702127</v>
      </c>
      <c r="AR86" s="15" t="s">
        <v>616</v>
      </c>
      <c r="AS86" s="18">
        <f>AR86/$D86</f>
        <v>1.8723404255319149</v>
      </c>
      <c r="AT86" s="20">
        <v>0.47752725371986771</v>
      </c>
      <c r="AU86" s="20">
        <v>2.7459876579635865E-2</v>
      </c>
      <c r="AV86" s="20">
        <v>0.6561542011737288</v>
      </c>
      <c r="AW86" s="20">
        <v>-0.17862694745386107</v>
      </c>
      <c r="AX86" s="20">
        <v>108.88584872471341</v>
      </c>
      <c r="AY86" s="20">
        <v>116.21497769231196</v>
      </c>
      <c r="AZ86" s="20">
        <v>4.9972912876764344</v>
      </c>
      <c r="BA86" s="20">
        <v>4.3829787234042552</v>
      </c>
      <c r="BB86" s="20">
        <v>11.845888441633122</v>
      </c>
      <c r="BC86" s="21">
        <v>0.53099530748332924</v>
      </c>
      <c r="BD86" s="21">
        <v>0.50680272108843538</v>
      </c>
      <c r="BE86" s="20">
        <v>11.284599828871963</v>
      </c>
      <c r="BF86" s="21">
        <v>0.70068027210884354</v>
      </c>
      <c r="BG86" s="21">
        <v>0.23129251700680273</v>
      </c>
      <c r="BH86" s="20">
        <v>5.3134962805526031</v>
      </c>
      <c r="BI86" s="20">
        <v>8.0420484246201571</v>
      </c>
      <c r="BJ86" s="20">
        <v>6.238554265359924</v>
      </c>
      <c r="BK86" s="20">
        <v>9.0805902383654935</v>
      </c>
      <c r="BL86" s="20">
        <v>1.3770899150151232</v>
      </c>
      <c r="BM86" s="20">
        <v>0.41644109440719607</v>
      </c>
      <c r="BN86" s="20">
        <v>13.371844244758236</v>
      </c>
      <c r="BO86" s="22" t="s">
        <v>263</v>
      </c>
      <c r="BP86" s="22">
        <v>220000</v>
      </c>
    </row>
    <row r="87" spans="1:68" x14ac:dyDescent="0.3">
      <c r="A87" s="16" t="s">
        <v>162</v>
      </c>
      <c r="B87" s="16" t="s">
        <v>259</v>
      </c>
      <c r="C87" s="4" t="s">
        <v>85</v>
      </c>
      <c r="D87" s="5" t="s">
        <v>245</v>
      </c>
      <c r="E87" s="5">
        <v>13</v>
      </c>
      <c r="F87" s="5">
        <v>50</v>
      </c>
      <c r="G87" s="14">
        <v>29062</v>
      </c>
      <c r="H87" s="5" t="s">
        <v>390</v>
      </c>
      <c r="I87" s="18">
        <f>H87/$D87</f>
        <v>3.0857142857142859</v>
      </c>
      <c r="J87" s="6" t="s">
        <v>567</v>
      </c>
      <c r="K87" s="6" t="s">
        <v>213</v>
      </c>
      <c r="L87" s="18">
        <f>J87/$D87</f>
        <v>2.9142857142857141</v>
      </c>
      <c r="M87" s="18">
        <f>K87/$D87</f>
        <v>0.97142857142857142</v>
      </c>
      <c r="N87" s="19">
        <f>K87/J87</f>
        <v>0.33333333333333331</v>
      </c>
      <c r="O87" s="14" t="s">
        <v>177</v>
      </c>
      <c r="P87" s="15" t="s">
        <v>207</v>
      </c>
      <c r="Q87" s="18">
        <f>O87/$D87</f>
        <v>0.74285714285714288</v>
      </c>
      <c r="R87" s="18">
        <f>P87/$D87</f>
        <v>0.37142857142857144</v>
      </c>
      <c r="S87" s="19">
        <f>P87/O87</f>
        <v>0.5</v>
      </c>
      <c r="T87" s="15" t="s">
        <v>613</v>
      </c>
      <c r="U87" s="15" t="s">
        <v>175</v>
      </c>
      <c r="V87" s="18">
        <f>T87/$D87</f>
        <v>2.1714285714285713</v>
      </c>
      <c r="W87" s="18">
        <f>U87/$D87</f>
        <v>0.6</v>
      </c>
      <c r="X87" s="19">
        <f>U87/T87</f>
        <v>0.27631578947368424</v>
      </c>
      <c r="Y87" s="15" t="s">
        <v>202</v>
      </c>
      <c r="Z87" s="15" t="s">
        <v>191</v>
      </c>
      <c r="AA87" s="18">
        <f>Y87/$D87</f>
        <v>0.8571428571428571</v>
      </c>
      <c r="AB87" s="18">
        <f>Z87/$D87</f>
        <v>0.54285714285714282</v>
      </c>
      <c r="AC87" s="19">
        <f>Z87/Y87</f>
        <v>0.6333333333333333</v>
      </c>
      <c r="AD87" s="15" t="s">
        <v>202</v>
      </c>
      <c r="AE87" s="18">
        <f>AD87/$D87</f>
        <v>0.8571428571428571</v>
      </c>
      <c r="AF87" s="15" t="s">
        <v>184</v>
      </c>
      <c r="AG87" s="18">
        <f>AF87/$D87</f>
        <v>0.11428571428571428</v>
      </c>
      <c r="AH87" s="15" t="s">
        <v>177</v>
      </c>
      <c r="AI87" s="18">
        <f>AH87/$D87</f>
        <v>0.74285714285714288</v>
      </c>
      <c r="AJ87" s="15" t="s">
        <v>218</v>
      </c>
      <c r="AK87" s="18">
        <f>AJ87/$D87</f>
        <v>1.3714285714285714</v>
      </c>
      <c r="AL87" s="15" t="s">
        <v>178</v>
      </c>
      <c r="AM87" s="18">
        <f>AL87/$D87</f>
        <v>0.4</v>
      </c>
      <c r="AN87" s="15" t="s">
        <v>231</v>
      </c>
      <c r="AO87" s="18">
        <f>AN87/$D87</f>
        <v>2.8571428571428571E-2</v>
      </c>
      <c r="AP87" s="15" t="s">
        <v>174</v>
      </c>
      <c r="AQ87" s="18">
        <f>AP87/$D87</f>
        <v>0.68571428571428572</v>
      </c>
      <c r="AR87" s="15" t="s">
        <v>412</v>
      </c>
      <c r="AS87" s="18">
        <f>AR87/$D87</f>
        <v>1.9714285714285715</v>
      </c>
      <c r="AT87" s="20">
        <v>-0.28232245271758943</v>
      </c>
      <c r="AU87" s="20">
        <v>-2.3324402289921328E-2</v>
      </c>
      <c r="AV87" s="20">
        <v>-0.12374919518599531</v>
      </c>
      <c r="AW87" s="20">
        <v>-0.15857325753159413</v>
      </c>
      <c r="AX87" s="20">
        <v>94.163569646882337</v>
      </c>
      <c r="AY87" s="20">
        <v>116.80680687639844</v>
      </c>
      <c r="AZ87" s="20">
        <v>1.6090366817790491</v>
      </c>
      <c r="BA87" s="20">
        <v>2.8</v>
      </c>
      <c r="BB87" s="20">
        <v>8.0963855421686741</v>
      </c>
      <c r="BC87" s="21">
        <v>0.46875</v>
      </c>
      <c r="BD87" s="21">
        <v>0.43627450980392157</v>
      </c>
      <c r="BE87" s="20">
        <v>8.9890039684213878</v>
      </c>
      <c r="BF87" s="21">
        <v>0.74509803921568629</v>
      </c>
      <c r="BG87" s="21">
        <v>0.29411764705882354</v>
      </c>
      <c r="BH87" s="20">
        <v>0.61457306377475895</v>
      </c>
      <c r="BI87" s="20">
        <v>3.9947249145359334</v>
      </c>
      <c r="BJ87" s="20">
        <v>2.1530649777068063</v>
      </c>
      <c r="BK87" s="20">
        <v>9.3673768092372747</v>
      </c>
      <c r="BL87" s="20">
        <v>1.6293189140487929</v>
      </c>
      <c r="BM87" s="20">
        <v>0.1485139324632892</v>
      </c>
      <c r="BN87" s="20">
        <v>17.241379310344829</v>
      </c>
      <c r="BO87" s="22" t="s">
        <v>263</v>
      </c>
      <c r="BP87" s="22"/>
    </row>
    <row r="88" spans="1:68" x14ac:dyDescent="0.3">
      <c r="A88" s="16" t="s">
        <v>162</v>
      </c>
      <c r="B88" s="16" t="s">
        <v>259</v>
      </c>
      <c r="C88" s="4" t="s">
        <v>401</v>
      </c>
      <c r="D88" s="5" t="s">
        <v>245</v>
      </c>
      <c r="E88" s="5">
        <v>13</v>
      </c>
      <c r="F88" s="5">
        <v>34</v>
      </c>
      <c r="G88" s="14">
        <v>28507</v>
      </c>
      <c r="H88" s="5" t="s">
        <v>400</v>
      </c>
      <c r="I88" s="18">
        <f>H88/$D88</f>
        <v>2.4</v>
      </c>
      <c r="J88" s="6" t="s">
        <v>530</v>
      </c>
      <c r="K88" s="6" t="s">
        <v>202</v>
      </c>
      <c r="L88" s="18">
        <f>J88/$D88</f>
        <v>2.7428571428571429</v>
      </c>
      <c r="M88" s="18">
        <f>K88/$D88</f>
        <v>0.8571428571428571</v>
      </c>
      <c r="N88" s="19">
        <f>K88/J88</f>
        <v>0.3125</v>
      </c>
      <c r="O88" s="14" t="s">
        <v>170</v>
      </c>
      <c r="P88" s="15" t="s">
        <v>211</v>
      </c>
      <c r="Q88" s="18">
        <f>O88/$D88</f>
        <v>0.8</v>
      </c>
      <c r="R88" s="18">
        <f>P88/$D88</f>
        <v>0.31428571428571428</v>
      </c>
      <c r="S88" s="19">
        <f>P88/O88</f>
        <v>0.39285714285714285</v>
      </c>
      <c r="T88" s="15" t="s">
        <v>550</v>
      </c>
      <c r="U88" s="15" t="s">
        <v>191</v>
      </c>
      <c r="V88" s="18">
        <f>T88/$D88</f>
        <v>1.9428571428571428</v>
      </c>
      <c r="W88" s="18">
        <f>U88/$D88</f>
        <v>0.54285714285714282</v>
      </c>
      <c r="X88" s="19">
        <f>U88/T88</f>
        <v>0.27941176470588236</v>
      </c>
      <c r="Y88" s="15" t="s">
        <v>226</v>
      </c>
      <c r="Z88" s="15" t="s">
        <v>229</v>
      </c>
      <c r="AA88" s="18">
        <f>Y88/$D88</f>
        <v>0.17142857142857143</v>
      </c>
      <c r="AB88" s="18">
        <f>Z88/$D88</f>
        <v>0.14285714285714285</v>
      </c>
      <c r="AC88" s="19">
        <f>Z88/Y88</f>
        <v>0.83333333333333337</v>
      </c>
      <c r="AD88" s="15" t="s">
        <v>218</v>
      </c>
      <c r="AE88" s="18">
        <f>AD88/$D88</f>
        <v>1.3714285714285714</v>
      </c>
      <c r="AF88" s="15" t="s">
        <v>178</v>
      </c>
      <c r="AG88" s="18">
        <f>AF88/$D88</f>
        <v>0.4</v>
      </c>
      <c r="AH88" s="15" t="s">
        <v>213</v>
      </c>
      <c r="AI88" s="18">
        <f>AH88/$D88</f>
        <v>0.97142857142857142</v>
      </c>
      <c r="AJ88" s="15" t="s">
        <v>182</v>
      </c>
      <c r="AK88" s="18">
        <f>AJ88/$D88</f>
        <v>0.77142857142857146</v>
      </c>
      <c r="AL88" s="15" t="s">
        <v>185</v>
      </c>
      <c r="AM88" s="18">
        <f>AL88/$D88</f>
        <v>0.34285714285714286</v>
      </c>
      <c r="AN88" s="15" t="s">
        <v>184</v>
      </c>
      <c r="AO88" s="18">
        <f>AN88/$D88</f>
        <v>0.11428571428571428</v>
      </c>
      <c r="AP88" s="15" t="s">
        <v>180</v>
      </c>
      <c r="AQ88" s="18">
        <f>AP88/$D88</f>
        <v>0.51428571428571423</v>
      </c>
      <c r="AR88" s="15" t="s">
        <v>219</v>
      </c>
      <c r="AS88" s="18">
        <f>AR88/$D88</f>
        <v>1.2285714285714286</v>
      </c>
      <c r="AT88" s="20">
        <v>-0.43402485916946831</v>
      </c>
      <c r="AU88" s="20">
        <v>-3.6562290698726713E-2</v>
      </c>
      <c r="AV88" s="20">
        <v>-0.3043836657659017</v>
      </c>
      <c r="AW88" s="20">
        <v>-0.12964119340356664</v>
      </c>
      <c r="AX88" s="20">
        <v>88.23323702519842</v>
      </c>
      <c r="AY88" s="20">
        <v>116.35078855277305</v>
      </c>
      <c r="AZ88" s="20">
        <v>1.919236074096365</v>
      </c>
      <c r="BA88" s="20">
        <v>2.5714285714285716</v>
      </c>
      <c r="BB88" s="20">
        <v>7.5816075816075825</v>
      </c>
      <c r="BC88" s="21">
        <v>0.42579075425790752</v>
      </c>
      <c r="BD88" s="21">
        <v>0.41145833333333331</v>
      </c>
      <c r="BE88" s="20">
        <v>7.6802177852703117</v>
      </c>
      <c r="BF88" s="21">
        <v>0.70833333333333337</v>
      </c>
      <c r="BG88" s="21">
        <v>6.25E-2</v>
      </c>
      <c r="BH88" s="20">
        <v>2.1932859339873154</v>
      </c>
      <c r="BI88" s="20">
        <v>5.3265515539691952</v>
      </c>
      <c r="BJ88" s="20">
        <v>3.5126170643668782</v>
      </c>
      <c r="BK88" s="20">
        <v>5.3371989589167468</v>
      </c>
      <c r="BL88" s="20">
        <v>1.4240098616993662</v>
      </c>
      <c r="BM88" s="20">
        <v>0.60573250095592157</v>
      </c>
      <c r="BN88" s="20">
        <v>15.432098765432098</v>
      </c>
      <c r="BO88" s="22" t="s">
        <v>263</v>
      </c>
      <c r="BP88" s="22">
        <v>90000</v>
      </c>
    </row>
    <row r="89" spans="1:68" x14ac:dyDescent="0.3">
      <c r="A89" s="16" t="s">
        <v>162</v>
      </c>
      <c r="B89" s="16" t="s">
        <v>259</v>
      </c>
      <c r="C89" s="4" t="s">
        <v>403</v>
      </c>
      <c r="D89" s="5" t="s">
        <v>185</v>
      </c>
      <c r="E89" s="5">
        <v>23</v>
      </c>
      <c r="F89" s="5">
        <v>47</v>
      </c>
      <c r="G89" s="14">
        <v>17123</v>
      </c>
      <c r="H89" s="5" t="s">
        <v>404</v>
      </c>
      <c r="I89" s="18">
        <f>H89/$D89</f>
        <v>6.75</v>
      </c>
      <c r="J89" s="6" t="s">
        <v>546</v>
      </c>
      <c r="K89" s="6" t="s">
        <v>172</v>
      </c>
      <c r="L89" s="18">
        <f>J89/$D89</f>
        <v>7.583333333333333</v>
      </c>
      <c r="M89" s="18">
        <f>K89/$D89</f>
        <v>2.4166666666666665</v>
      </c>
      <c r="N89" s="19">
        <f>K89/J89</f>
        <v>0.31868131868131866</v>
      </c>
      <c r="O89" s="14" t="s">
        <v>224</v>
      </c>
      <c r="P89" s="15" t="s">
        <v>175</v>
      </c>
      <c r="Q89" s="18">
        <f>O89/$D89</f>
        <v>4.583333333333333</v>
      </c>
      <c r="R89" s="18">
        <f>P89/$D89</f>
        <v>1.75</v>
      </c>
      <c r="S89" s="19">
        <f>P89/O89</f>
        <v>0.38181818181818183</v>
      </c>
      <c r="T89" s="15" t="s">
        <v>371</v>
      </c>
      <c r="U89" s="15" t="s">
        <v>189</v>
      </c>
      <c r="V89" s="18">
        <f>T89/$D89</f>
        <v>3</v>
      </c>
      <c r="W89" s="18">
        <f>U89/$D89</f>
        <v>0.66666666666666663</v>
      </c>
      <c r="X89" s="19">
        <f>U89/T89</f>
        <v>0.22222222222222221</v>
      </c>
      <c r="Y89" s="15" t="s">
        <v>173</v>
      </c>
      <c r="Z89" s="15" t="s">
        <v>181</v>
      </c>
      <c r="AA89" s="18">
        <f>Y89/$D89</f>
        <v>1.4166666666666667</v>
      </c>
      <c r="AB89" s="18">
        <f>Z89/$D89</f>
        <v>1.25</v>
      </c>
      <c r="AC89" s="19">
        <f>Z89/Y89</f>
        <v>0.88235294117647056</v>
      </c>
      <c r="AD89" s="15" t="s">
        <v>301</v>
      </c>
      <c r="AE89" s="18">
        <f>AD89/$D89</f>
        <v>3.3333333333333335</v>
      </c>
      <c r="AF89" s="15" t="s">
        <v>229</v>
      </c>
      <c r="AG89" s="18">
        <f>AF89/$D89</f>
        <v>0.41666666666666669</v>
      </c>
      <c r="AH89" s="15" t="s">
        <v>245</v>
      </c>
      <c r="AI89" s="18">
        <f>AH89/$D89</f>
        <v>2.9166666666666665</v>
      </c>
      <c r="AJ89" s="15" t="s">
        <v>171</v>
      </c>
      <c r="AK89" s="18">
        <f>AJ89/$D89</f>
        <v>2.5833333333333335</v>
      </c>
      <c r="AL89" s="15" t="s">
        <v>178</v>
      </c>
      <c r="AM89" s="18">
        <f>AL89/$D89</f>
        <v>1.1666666666666667</v>
      </c>
      <c r="AN89" s="15" t="s">
        <v>192</v>
      </c>
      <c r="AO89" s="18">
        <f>AN89/$D89</f>
        <v>0</v>
      </c>
      <c r="AP89" s="15" t="s">
        <v>200</v>
      </c>
      <c r="AQ89" s="18">
        <f>AP89/$D89</f>
        <v>1.9166666666666667</v>
      </c>
      <c r="AR89" s="15" t="s">
        <v>204</v>
      </c>
      <c r="AS89" s="18">
        <f>AR89/$D89</f>
        <v>1.8333333333333333</v>
      </c>
      <c r="AT89" s="20">
        <v>-0.46651793555660864</v>
      </c>
      <c r="AU89" s="20">
        <v>-6.5384433855165902E-2</v>
      </c>
      <c r="AV89" s="20">
        <v>-0.53727706824903432</v>
      </c>
      <c r="AW89" s="20">
        <v>7.0759132692425689E-2</v>
      </c>
      <c r="AX89" s="20">
        <v>82.009336167825836</v>
      </c>
      <c r="AY89" s="20">
        <v>111.99126620931796</v>
      </c>
      <c r="AZ89" s="20">
        <v>1.0581879285680718</v>
      </c>
      <c r="BA89" s="20">
        <v>6.583333333333333</v>
      </c>
      <c r="BB89" s="20">
        <v>11.072179397337072</v>
      </c>
      <c r="BC89" s="21">
        <v>0.41125101543460602</v>
      </c>
      <c r="BD89" s="21">
        <v>0.36263736263736263</v>
      </c>
      <c r="BE89" s="20">
        <v>4.5627979672086516</v>
      </c>
      <c r="BF89" s="21">
        <v>0.39560439560439559</v>
      </c>
      <c r="BG89" s="21">
        <v>0.18681318681318682</v>
      </c>
      <c r="BH89" s="20">
        <v>0.4468251952812281</v>
      </c>
      <c r="BI89" s="20">
        <v>3.1277763669685967</v>
      </c>
      <c r="BJ89" s="20">
        <v>1.6697443882239189</v>
      </c>
      <c r="BK89" s="20">
        <v>3.4049408254235578</v>
      </c>
      <c r="BL89" s="20">
        <v>2.7640571392850641</v>
      </c>
      <c r="BM89" s="20">
        <v>0</v>
      </c>
      <c r="BN89" s="20">
        <v>18.933157721435627</v>
      </c>
      <c r="BO89" s="22" t="s">
        <v>263</v>
      </c>
      <c r="BP89" s="22"/>
    </row>
    <row r="90" spans="1:68" x14ac:dyDescent="0.3">
      <c r="A90" s="16" t="s">
        <v>162</v>
      </c>
      <c r="B90" s="16" t="s">
        <v>259</v>
      </c>
      <c r="C90" s="4" t="s">
        <v>116</v>
      </c>
      <c r="D90" s="5" t="s">
        <v>182</v>
      </c>
      <c r="E90" s="5">
        <v>10</v>
      </c>
      <c r="F90" s="5">
        <v>53</v>
      </c>
      <c r="G90" s="14">
        <v>17629</v>
      </c>
      <c r="H90" s="5" t="s">
        <v>414</v>
      </c>
      <c r="I90" s="18">
        <f>H90/$D90</f>
        <v>2.2962962962962963</v>
      </c>
      <c r="J90" s="6" t="s">
        <v>409</v>
      </c>
      <c r="K90" s="6" t="s">
        <v>170</v>
      </c>
      <c r="L90" s="18">
        <f>J90/$D90</f>
        <v>2.6296296296296298</v>
      </c>
      <c r="M90" s="18">
        <f>K90/$D90</f>
        <v>1.037037037037037</v>
      </c>
      <c r="N90" s="19">
        <f>K90/J90</f>
        <v>0.39436619718309857</v>
      </c>
      <c r="O90" s="14" t="s">
        <v>232</v>
      </c>
      <c r="P90" s="15" t="s">
        <v>204</v>
      </c>
      <c r="Q90" s="18">
        <f>O90/$D90</f>
        <v>1.8148148148148149</v>
      </c>
      <c r="R90" s="18">
        <f>P90/$D90</f>
        <v>0.81481481481481477</v>
      </c>
      <c r="S90" s="19">
        <f>P90/O90</f>
        <v>0.44897959183673469</v>
      </c>
      <c r="T90" s="15" t="s">
        <v>204</v>
      </c>
      <c r="U90" s="15" t="s">
        <v>226</v>
      </c>
      <c r="V90" s="18">
        <f>T90/$D90</f>
        <v>0.81481481481481477</v>
      </c>
      <c r="W90" s="18">
        <f>U90/$D90</f>
        <v>0.22222222222222221</v>
      </c>
      <c r="X90" s="19">
        <f>U90/T90</f>
        <v>0.27272727272727271</v>
      </c>
      <c r="Y90" s="15" t="s">
        <v>192</v>
      </c>
      <c r="Z90" s="15" t="s">
        <v>192</v>
      </c>
      <c r="AA90" s="18">
        <f>Y90/$D90</f>
        <v>0</v>
      </c>
      <c r="AB90" s="18">
        <f>Z90/$D90</f>
        <v>0</v>
      </c>
      <c r="AC90" s="19" t="e">
        <f>Z90/Y90</f>
        <v>#DIV/0!</v>
      </c>
      <c r="AD90" s="15" t="s">
        <v>174</v>
      </c>
      <c r="AE90" s="18">
        <f>AD90/$D90</f>
        <v>0.88888888888888884</v>
      </c>
      <c r="AF90" s="15" t="s">
        <v>187</v>
      </c>
      <c r="AG90" s="18">
        <f>AF90/$D90</f>
        <v>0.25925925925925924</v>
      </c>
      <c r="AH90" s="15" t="s">
        <v>173</v>
      </c>
      <c r="AI90" s="18">
        <f>AH90/$D90</f>
        <v>0.62962962962962965</v>
      </c>
      <c r="AJ90" s="15" t="s">
        <v>371</v>
      </c>
      <c r="AK90" s="18">
        <f>AJ90/$D90</f>
        <v>1.3333333333333333</v>
      </c>
      <c r="AL90" s="15" t="s">
        <v>184</v>
      </c>
      <c r="AM90" s="18">
        <f>AL90/$D90</f>
        <v>0.14814814814814814</v>
      </c>
      <c r="AN90" s="15" t="s">
        <v>194</v>
      </c>
      <c r="AO90" s="18">
        <f>AN90/$D90</f>
        <v>7.407407407407407E-2</v>
      </c>
      <c r="AP90" s="15" t="s">
        <v>183</v>
      </c>
      <c r="AQ90" s="18">
        <f>AP90/$D90</f>
        <v>0.59259259259259256</v>
      </c>
      <c r="AR90" s="15" t="s">
        <v>202</v>
      </c>
      <c r="AS90" s="18">
        <f>AR90/$D90</f>
        <v>1.1111111111111112</v>
      </c>
      <c r="AT90" s="20">
        <v>-0.28907426718339091</v>
      </c>
      <c r="AU90" s="20">
        <v>-3.9349908753907217E-2</v>
      </c>
      <c r="AV90" s="20">
        <v>-0.13837669778032893</v>
      </c>
      <c r="AW90" s="20">
        <v>-0.150697569403062</v>
      </c>
      <c r="AX90" s="20">
        <v>91.970735683227332</v>
      </c>
      <c r="AY90" s="20">
        <v>118.3576316869771</v>
      </c>
      <c r="AZ90" s="20">
        <v>1.8782410152056435</v>
      </c>
      <c r="BA90" s="20">
        <v>2.5555555555555554</v>
      </c>
      <c r="BB90" s="20">
        <v>9.3925472179683496</v>
      </c>
      <c r="BC90" s="21">
        <v>0.43661971830985913</v>
      </c>
      <c r="BD90" s="21">
        <v>0.43661971830985913</v>
      </c>
      <c r="BE90" s="20">
        <v>7.1409583592934061</v>
      </c>
      <c r="BF90" s="21">
        <v>0.30985915492957744</v>
      </c>
      <c r="BG90" s="21">
        <v>0</v>
      </c>
      <c r="BH90" s="20">
        <v>1.3670250767731047</v>
      </c>
      <c r="BI90" s="20">
        <v>3.3199180435918261</v>
      </c>
      <c r="BJ90" s="20">
        <v>2.1893340661520972</v>
      </c>
      <c r="BK90" s="20">
        <v>8.9576378377257537</v>
      </c>
      <c r="BL90" s="20">
        <v>0.7670209850039692</v>
      </c>
      <c r="BM90" s="20">
        <v>0.37753924638447184</v>
      </c>
      <c r="BN90" s="20">
        <v>18.390804597701148</v>
      </c>
      <c r="BO90" s="22" t="s">
        <v>263</v>
      </c>
      <c r="BP90" s="22">
        <v>700000</v>
      </c>
    </row>
    <row r="91" spans="1:68" x14ac:dyDescent="0.3">
      <c r="A91" s="16" t="s">
        <v>162</v>
      </c>
      <c r="B91" s="16" t="s">
        <v>259</v>
      </c>
      <c r="C91" s="4" t="s">
        <v>129</v>
      </c>
      <c r="D91" s="5" t="s">
        <v>183</v>
      </c>
      <c r="E91" s="7">
        <v>11</v>
      </c>
      <c r="F91" s="7">
        <v>26</v>
      </c>
      <c r="G91" s="14">
        <v>10977</v>
      </c>
      <c r="H91" s="5" t="s">
        <v>213</v>
      </c>
      <c r="I91" s="18">
        <f>H91/$D91</f>
        <v>2.125</v>
      </c>
      <c r="J91" s="6" t="s">
        <v>371</v>
      </c>
      <c r="K91" s="6" t="s">
        <v>207</v>
      </c>
      <c r="L91" s="18">
        <f>J91/$D91</f>
        <v>2.25</v>
      </c>
      <c r="M91" s="18">
        <f>K91/$D91</f>
        <v>0.8125</v>
      </c>
      <c r="N91" s="19">
        <f>K91/J91</f>
        <v>0.3611111111111111</v>
      </c>
      <c r="O91" s="14" t="s">
        <v>207</v>
      </c>
      <c r="P91" s="15" t="s">
        <v>189</v>
      </c>
      <c r="Q91" s="18">
        <f>O91/$D91</f>
        <v>0.8125</v>
      </c>
      <c r="R91" s="18">
        <f>P91/$D91</f>
        <v>0.5</v>
      </c>
      <c r="S91" s="19">
        <f>P91/O91</f>
        <v>0.61538461538461542</v>
      </c>
      <c r="T91" s="15" t="s">
        <v>200</v>
      </c>
      <c r="U91" s="15" t="s">
        <v>229</v>
      </c>
      <c r="V91" s="18">
        <f>T91/$D91</f>
        <v>1.4375</v>
      </c>
      <c r="W91" s="18">
        <f>U91/$D91</f>
        <v>0.3125</v>
      </c>
      <c r="X91" s="19">
        <f>U91/T91</f>
        <v>0.21739130434782608</v>
      </c>
      <c r="Y91" s="15" t="s">
        <v>184</v>
      </c>
      <c r="Z91" s="15" t="s">
        <v>193</v>
      </c>
      <c r="AA91" s="18">
        <f>Y91/$D91</f>
        <v>0.25</v>
      </c>
      <c r="AB91" s="18">
        <f>Z91/$D91</f>
        <v>0.1875</v>
      </c>
      <c r="AC91" s="19">
        <f>Z91/Y91</f>
        <v>0.75</v>
      </c>
      <c r="AD91" s="15" t="s">
        <v>243</v>
      </c>
      <c r="AE91" s="18">
        <f>AD91/$D91</f>
        <v>1.5625</v>
      </c>
      <c r="AF91" s="15" t="s">
        <v>173</v>
      </c>
      <c r="AG91" s="18">
        <f>AF91/$D91</f>
        <v>1.0625</v>
      </c>
      <c r="AH91" s="15" t="s">
        <v>189</v>
      </c>
      <c r="AI91" s="18">
        <f>AH91/$D91</f>
        <v>0.5</v>
      </c>
      <c r="AJ91" s="15" t="s">
        <v>176</v>
      </c>
      <c r="AK91" s="18">
        <f>AJ91/$D91</f>
        <v>0.625</v>
      </c>
      <c r="AL91" s="15" t="s">
        <v>226</v>
      </c>
      <c r="AM91" s="18">
        <f>AL91/$D91</f>
        <v>0.375</v>
      </c>
      <c r="AN91" s="15" t="s">
        <v>194</v>
      </c>
      <c r="AO91" s="18">
        <f>AN91/$D91</f>
        <v>0.125</v>
      </c>
      <c r="AP91" s="15" t="s">
        <v>229</v>
      </c>
      <c r="AQ91" s="18">
        <f>AP91/$D91</f>
        <v>0.3125</v>
      </c>
      <c r="AR91" s="15" t="s">
        <v>174</v>
      </c>
      <c r="AS91" s="18">
        <f>AR91/$D91</f>
        <v>1.5</v>
      </c>
      <c r="AT91" s="20">
        <v>6.6698428024135614E-2</v>
      </c>
      <c r="AU91" s="20">
        <v>1.4584204378455309E-2</v>
      </c>
      <c r="AV91" s="20">
        <v>0.11462616977299273</v>
      </c>
      <c r="AW91" s="20">
        <v>-4.7927741748857104E-2</v>
      </c>
      <c r="AX91" s="20">
        <v>105.63619790298556</v>
      </c>
      <c r="AY91" s="20">
        <v>116.25849453005065</v>
      </c>
      <c r="AZ91" s="20">
        <v>1.501614332335687</v>
      </c>
      <c r="BA91" s="20">
        <v>3</v>
      </c>
      <c r="BB91" s="20">
        <v>10.495626822157433</v>
      </c>
      <c r="BC91" s="21">
        <v>0.45021186440677968</v>
      </c>
      <c r="BD91" s="21">
        <v>0.43055555555555558</v>
      </c>
      <c r="BE91" s="20">
        <v>3.3409041046970795</v>
      </c>
      <c r="BF91" s="21">
        <v>0.63888888888888884</v>
      </c>
      <c r="BG91" s="21">
        <v>0.1111111111111111</v>
      </c>
      <c r="BH91" s="20">
        <v>3.1602135312907613</v>
      </c>
      <c r="BI91" s="20">
        <v>1.4871593088427111</v>
      </c>
      <c r="BJ91" s="20">
        <v>2.170850256920128</v>
      </c>
      <c r="BK91" s="20">
        <v>2.2798951248242578</v>
      </c>
      <c r="BL91" s="20">
        <v>1.8481250437233483</v>
      </c>
      <c r="BM91" s="20">
        <v>0.35937773744760942</v>
      </c>
      <c r="BN91" s="20">
        <v>11.693171188026193</v>
      </c>
      <c r="BO91" s="22" t="s">
        <v>263</v>
      </c>
      <c r="BP91" s="22">
        <v>45000</v>
      </c>
    </row>
    <row r="92" spans="1:68" x14ac:dyDescent="0.3">
      <c r="A92" s="16" t="s">
        <v>162</v>
      </c>
      <c r="B92" s="16" t="s">
        <v>259</v>
      </c>
      <c r="C92" s="4" t="s">
        <v>237</v>
      </c>
      <c r="D92" s="5" t="s">
        <v>187</v>
      </c>
      <c r="E92" s="7">
        <v>7</v>
      </c>
      <c r="F92" s="7">
        <v>28</v>
      </c>
      <c r="G92" s="14">
        <v>3135</v>
      </c>
      <c r="H92" s="5" t="s">
        <v>183</v>
      </c>
      <c r="I92" s="18">
        <f>H92/$D92</f>
        <v>2.2857142857142856</v>
      </c>
      <c r="J92" s="6" t="s">
        <v>185</v>
      </c>
      <c r="K92" s="6" t="s">
        <v>226</v>
      </c>
      <c r="L92" s="18">
        <f>J92/$D92</f>
        <v>1.7142857142857142</v>
      </c>
      <c r="M92" s="18">
        <f>K92/$D92</f>
        <v>0.8571428571428571</v>
      </c>
      <c r="N92" s="19">
        <f>K92/J92</f>
        <v>0.5</v>
      </c>
      <c r="O92" s="14" t="s">
        <v>184</v>
      </c>
      <c r="P92" s="15" t="s">
        <v>193</v>
      </c>
      <c r="Q92" s="18">
        <f>O92/$D92</f>
        <v>0.5714285714285714</v>
      </c>
      <c r="R92" s="18">
        <f>P92/$D92</f>
        <v>0.42857142857142855</v>
      </c>
      <c r="S92" s="19">
        <f>P92/O92</f>
        <v>0.75</v>
      </c>
      <c r="T92" s="15" t="s">
        <v>189</v>
      </c>
      <c r="U92" s="15" t="s">
        <v>193</v>
      </c>
      <c r="V92" s="18">
        <f>T92/$D92</f>
        <v>1.1428571428571428</v>
      </c>
      <c r="W92" s="18">
        <f>U92/$D92</f>
        <v>0.42857142857142855</v>
      </c>
      <c r="X92" s="19">
        <f>U92/T92</f>
        <v>0.375</v>
      </c>
      <c r="Y92" s="15" t="s">
        <v>231</v>
      </c>
      <c r="Z92" s="15" t="s">
        <v>231</v>
      </c>
      <c r="AA92" s="18">
        <f>Y92/$D92</f>
        <v>0.14285714285714285</v>
      </c>
      <c r="AB92" s="18">
        <f>Z92/$D92</f>
        <v>0.14285714285714285</v>
      </c>
      <c r="AC92" s="19">
        <f>Z92/Y92</f>
        <v>1</v>
      </c>
      <c r="AD92" s="15" t="s">
        <v>203</v>
      </c>
      <c r="AE92" s="18">
        <f>AD92/$D92</f>
        <v>1.2857142857142858</v>
      </c>
      <c r="AF92" s="15" t="s">
        <v>193</v>
      </c>
      <c r="AG92" s="18">
        <f>AF92/$D92</f>
        <v>0.42857142857142855</v>
      </c>
      <c r="AH92" s="15" t="s">
        <v>226</v>
      </c>
      <c r="AI92" s="18">
        <f>AH92/$D92</f>
        <v>0.8571428571428571</v>
      </c>
      <c r="AJ92" s="15" t="s">
        <v>194</v>
      </c>
      <c r="AK92" s="18">
        <f>AJ92/$D92</f>
        <v>0.2857142857142857</v>
      </c>
      <c r="AL92" s="15" t="s">
        <v>194</v>
      </c>
      <c r="AM92" s="18">
        <f>AL92/$D92</f>
        <v>0.2857142857142857</v>
      </c>
      <c r="AN92" s="15" t="s">
        <v>231</v>
      </c>
      <c r="AO92" s="18">
        <f>AN92/$D92</f>
        <v>0.14285714285714285</v>
      </c>
      <c r="AP92" s="15" t="s">
        <v>231</v>
      </c>
      <c r="AQ92" s="18">
        <f>AP92/$D92</f>
        <v>0.14285714285714285</v>
      </c>
      <c r="AR92" s="15" t="s">
        <v>226</v>
      </c>
      <c r="AS92" s="18">
        <f>AR92/$D92</f>
        <v>0.8571428571428571</v>
      </c>
      <c r="AT92" s="20">
        <v>0.12610643084110545</v>
      </c>
      <c r="AU92" s="20">
        <v>9.6510023602886824E-2</v>
      </c>
      <c r="AV92" s="20">
        <v>0.11555110660733479</v>
      </c>
      <c r="AW92" s="20">
        <v>1.0555324233770652E-2</v>
      </c>
      <c r="AX92" s="20">
        <v>127.77875634301057</v>
      </c>
      <c r="AY92" s="20">
        <v>112.37602847014593</v>
      </c>
      <c r="AZ92" s="20">
        <v>1.3832999334065021</v>
      </c>
      <c r="BA92" s="20">
        <v>3.2857142857142856</v>
      </c>
      <c r="BB92" s="20">
        <v>17.602040816326532</v>
      </c>
      <c r="BC92" s="21">
        <v>0.64308681672025725</v>
      </c>
      <c r="BD92" s="21">
        <v>0.625</v>
      </c>
      <c r="BE92" s="20">
        <v>1.6079468305581361</v>
      </c>
      <c r="BF92" s="21">
        <v>0.66666666666666663</v>
      </c>
      <c r="BG92" s="21">
        <v>8.3333333333333329E-2</v>
      </c>
      <c r="BH92" s="20">
        <v>0.85395475937452558</v>
      </c>
      <c r="BI92" s="20">
        <v>1.7079095187490512</v>
      </c>
      <c r="BJ92" s="20">
        <v>1.1966812041272206</v>
      </c>
      <c r="BK92" s="20">
        <v>0.69220119981541306</v>
      </c>
      <c r="BL92" s="20">
        <v>2.1561458843439065</v>
      </c>
      <c r="BM92" s="20">
        <v>0.275148580233326</v>
      </c>
      <c r="BN92" s="20">
        <v>7.4404761904761907</v>
      </c>
      <c r="BO92" s="22" t="s">
        <v>263</v>
      </c>
      <c r="BP92" s="22">
        <v>150000</v>
      </c>
    </row>
    <row r="93" spans="1:68" x14ac:dyDescent="0.3">
      <c r="A93" s="16" t="s">
        <v>162</v>
      </c>
      <c r="B93" s="16" t="s">
        <v>259</v>
      </c>
      <c r="C93" s="4" t="s">
        <v>225</v>
      </c>
      <c r="D93" s="5" t="s">
        <v>178</v>
      </c>
      <c r="E93" s="7">
        <v>5</v>
      </c>
      <c r="F93" s="7">
        <v>23</v>
      </c>
      <c r="G93" s="14">
        <v>4519</v>
      </c>
      <c r="H93" s="5" t="s">
        <v>178</v>
      </c>
      <c r="I93" s="18">
        <f>H93/$D93</f>
        <v>1</v>
      </c>
      <c r="J93" s="6" t="s">
        <v>174</v>
      </c>
      <c r="K93" s="6" t="s">
        <v>184</v>
      </c>
      <c r="L93" s="18">
        <f>J93/$D93</f>
        <v>1.7142857142857142</v>
      </c>
      <c r="M93" s="18">
        <f>K93/$D93</f>
        <v>0.2857142857142857</v>
      </c>
      <c r="N93" s="19">
        <f>K93/J93</f>
        <v>0.16666666666666666</v>
      </c>
      <c r="O93" s="14" t="s">
        <v>185</v>
      </c>
      <c r="P93" s="15" t="s">
        <v>193</v>
      </c>
      <c r="Q93" s="18">
        <f>O93/$D93</f>
        <v>0.8571428571428571</v>
      </c>
      <c r="R93" s="18">
        <f>P93/$D93</f>
        <v>0.21428571428571427</v>
      </c>
      <c r="S93" s="19">
        <f>P93/O93</f>
        <v>0.25</v>
      </c>
      <c r="T93" s="15" t="s">
        <v>185</v>
      </c>
      <c r="U93" s="15" t="s">
        <v>231</v>
      </c>
      <c r="V93" s="18">
        <f>T93/$D93</f>
        <v>0.8571428571428571</v>
      </c>
      <c r="W93" s="18">
        <f>U93/$D93</f>
        <v>7.1428571428571425E-2</v>
      </c>
      <c r="X93" s="19">
        <f>U93/T93</f>
        <v>8.3333333333333329E-2</v>
      </c>
      <c r="Y93" s="15" t="s">
        <v>226</v>
      </c>
      <c r="Z93" s="15" t="s">
        <v>229</v>
      </c>
      <c r="AA93" s="18">
        <f>Y93/$D93</f>
        <v>0.42857142857142855</v>
      </c>
      <c r="AB93" s="18">
        <f>Z93/$D93</f>
        <v>0.35714285714285715</v>
      </c>
      <c r="AC93" s="19">
        <f>Z93/Y93</f>
        <v>0.83333333333333337</v>
      </c>
      <c r="AD93" s="15" t="s">
        <v>185</v>
      </c>
      <c r="AE93" s="18">
        <f>AD93/$D93</f>
        <v>0.8571428571428571</v>
      </c>
      <c r="AF93" s="15" t="s">
        <v>226</v>
      </c>
      <c r="AG93" s="18">
        <f>AF93/$D93</f>
        <v>0.42857142857142855</v>
      </c>
      <c r="AH93" s="15" t="s">
        <v>226</v>
      </c>
      <c r="AI93" s="18">
        <f>AH93/$D93</f>
        <v>0.42857142857142855</v>
      </c>
      <c r="AJ93" s="15" t="s">
        <v>189</v>
      </c>
      <c r="AK93" s="18">
        <f>AJ93/$D93</f>
        <v>0.5714285714285714</v>
      </c>
      <c r="AL93" s="15" t="s">
        <v>194</v>
      </c>
      <c r="AM93" s="18">
        <f>AL93/$D93</f>
        <v>0.14285714285714285</v>
      </c>
      <c r="AN93" s="15" t="s">
        <v>193</v>
      </c>
      <c r="AO93" s="18">
        <f>AN93/$D93</f>
        <v>0.21428571428571427</v>
      </c>
      <c r="AP93" s="15" t="s">
        <v>229</v>
      </c>
      <c r="AQ93" s="18">
        <f>AP93/$D93</f>
        <v>0.35714285714285715</v>
      </c>
      <c r="AR93" s="15" t="s">
        <v>191</v>
      </c>
      <c r="AS93" s="18">
        <f>AR93/$D93</f>
        <v>1.3571428571428572</v>
      </c>
      <c r="AT93" s="20">
        <v>-0.24885510650482165</v>
      </c>
      <c r="AU93" s="20">
        <v>-0.13207701362485005</v>
      </c>
      <c r="AV93" s="20">
        <v>-0.25370450330134858</v>
      </c>
      <c r="AW93" s="20">
        <v>4.8493967965269388E-3</v>
      </c>
      <c r="AX93" s="20">
        <v>70.726187115002148</v>
      </c>
      <c r="AY93" s="20">
        <v>113.52757304655918</v>
      </c>
      <c r="AZ93" s="20">
        <v>-0.68804975532823298</v>
      </c>
      <c r="BA93" s="20">
        <v>0.9285714285714286</v>
      </c>
      <c r="BB93" s="20">
        <v>6.8996019460415745</v>
      </c>
      <c r="BC93" s="21">
        <v>0.26276276276276278</v>
      </c>
      <c r="BD93" s="21">
        <v>0.1875</v>
      </c>
      <c r="BE93" s="20">
        <v>5.2503031701609322</v>
      </c>
      <c r="BF93" s="21">
        <v>0.5</v>
      </c>
      <c r="BG93" s="21">
        <v>0.25</v>
      </c>
      <c r="BH93" s="20">
        <v>2.3688652148593654</v>
      </c>
      <c r="BI93" s="20">
        <v>2.3688652148593654</v>
      </c>
      <c r="BJ93" s="20">
        <v>2.2130575003054482</v>
      </c>
      <c r="BK93" s="20">
        <v>3.8343251987059155</v>
      </c>
      <c r="BL93" s="20">
        <v>1.4952838331053715</v>
      </c>
      <c r="BM93" s="20">
        <v>1.1448906867913007</v>
      </c>
      <c r="BN93" s="20">
        <v>15.802781289506953</v>
      </c>
      <c r="BO93" s="22" t="s">
        <v>263</v>
      </c>
      <c r="BP93" s="22"/>
    </row>
    <row r="94" spans="1:68" x14ac:dyDescent="0.3">
      <c r="A94" s="16" t="s">
        <v>162</v>
      </c>
      <c r="B94" s="16" t="s">
        <v>259</v>
      </c>
      <c r="C94" s="4" t="s">
        <v>236</v>
      </c>
      <c r="D94" s="5" t="s">
        <v>193</v>
      </c>
      <c r="E94" s="7">
        <v>7</v>
      </c>
      <c r="F94" s="7">
        <v>9</v>
      </c>
      <c r="G94" s="14">
        <v>1288</v>
      </c>
      <c r="H94" s="5" t="s">
        <v>184</v>
      </c>
      <c r="I94" s="18">
        <f>H94/$D94</f>
        <v>1.3333333333333333</v>
      </c>
      <c r="J94" s="6" t="s">
        <v>226</v>
      </c>
      <c r="K94" s="6" t="s">
        <v>194</v>
      </c>
      <c r="L94" s="18">
        <f>J94/$D94</f>
        <v>2</v>
      </c>
      <c r="M94" s="18">
        <f>K94/$D94</f>
        <v>0.66666666666666663</v>
      </c>
      <c r="N94" s="19">
        <f>K94/J94</f>
        <v>0.33333333333333331</v>
      </c>
      <c r="O94" s="14" t="s">
        <v>184</v>
      </c>
      <c r="P94" s="15" t="s">
        <v>194</v>
      </c>
      <c r="Q94" s="18">
        <f>O94/$D94</f>
        <v>1.3333333333333333</v>
      </c>
      <c r="R94" s="18">
        <f>P94/$D94</f>
        <v>0.66666666666666663</v>
      </c>
      <c r="S94" s="19">
        <f>P94/O94</f>
        <v>0.5</v>
      </c>
      <c r="T94" s="15" t="s">
        <v>194</v>
      </c>
      <c r="U94" s="15" t="s">
        <v>192</v>
      </c>
      <c r="V94" s="18">
        <f>T94/$D94</f>
        <v>0.66666666666666663</v>
      </c>
      <c r="W94" s="18">
        <f>U94/$D94</f>
        <v>0</v>
      </c>
      <c r="X94" s="19">
        <f>U94/T94</f>
        <v>0</v>
      </c>
      <c r="Y94" s="15" t="s">
        <v>194</v>
      </c>
      <c r="Z94" s="15" t="s">
        <v>192</v>
      </c>
      <c r="AA94" s="18">
        <f>Y94/$D94</f>
        <v>0.66666666666666663</v>
      </c>
      <c r="AB94" s="18">
        <f>Z94/$D94</f>
        <v>0</v>
      </c>
      <c r="AC94" s="19">
        <f>Z94/Y94</f>
        <v>0</v>
      </c>
      <c r="AD94" s="15" t="s">
        <v>231</v>
      </c>
      <c r="AE94" s="18">
        <f>AD94/$D94</f>
        <v>0.33333333333333331</v>
      </c>
      <c r="AF94" s="15" t="s">
        <v>231</v>
      </c>
      <c r="AG94" s="18">
        <f>AF94/$D94</f>
        <v>0.33333333333333331</v>
      </c>
      <c r="AH94" s="15" t="s">
        <v>192</v>
      </c>
      <c r="AI94" s="18">
        <f>AH94/$D94</f>
        <v>0</v>
      </c>
      <c r="AJ94" s="15" t="s">
        <v>193</v>
      </c>
      <c r="AK94" s="18">
        <f>AJ94/$D94</f>
        <v>1</v>
      </c>
      <c r="AL94" s="15" t="s">
        <v>193</v>
      </c>
      <c r="AM94" s="18">
        <f>AL94/$D94</f>
        <v>1</v>
      </c>
      <c r="AN94" s="15" t="s">
        <v>192</v>
      </c>
      <c r="AO94" s="18">
        <f>AN94/$D94</f>
        <v>0</v>
      </c>
      <c r="AP94" s="15" t="s">
        <v>194</v>
      </c>
      <c r="AQ94" s="18">
        <f>AP94/$D94</f>
        <v>0.66666666666666663</v>
      </c>
      <c r="AR94" s="15" t="s">
        <v>187</v>
      </c>
      <c r="AS94" s="18">
        <f>AR94/$D94</f>
        <v>2.3333333333333335</v>
      </c>
      <c r="AT94" s="20">
        <v>-5.9998347325317058E-2</v>
      </c>
      <c r="AU94" s="20">
        <v>-0.11188502997728124</v>
      </c>
      <c r="AV94" s="20">
        <v>-8.3222656860086328E-2</v>
      </c>
      <c r="AW94" s="20">
        <v>2.3224309534769266E-2</v>
      </c>
      <c r="AX94" s="20">
        <v>67.131764127434451</v>
      </c>
      <c r="AY94" s="20">
        <v>105.00547125027269</v>
      </c>
      <c r="AZ94" s="20">
        <v>-7.8796848321548332E-2</v>
      </c>
      <c r="BA94" s="20">
        <v>1</v>
      </c>
      <c r="BB94" s="20">
        <v>5.594405594405595</v>
      </c>
      <c r="BC94" s="21">
        <v>0.29069767441860467</v>
      </c>
      <c r="BD94" s="21">
        <v>0.33333333333333331</v>
      </c>
      <c r="BE94" s="20">
        <v>1.1094458318070122</v>
      </c>
      <c r="BF94" s="21">
        <v>0.33333333333333331</v>
      </c>
      <c r="BG94" s="21">
        <v>0.33333333333333331</v>
      </c>
      <c r="BH94" s="20">
        <v>0.29725853317776801</v>
      </c>
      <c r="BI94" s="20">
        <v>0</v>
      </c>
      <c r="BJ94" s="20">
        <v>0.13885345233074198</v>
      </c>
      <c r="BK94" s="20">
        <v>1.0698047606311847</v>
      </c>
      <c r="BL94" s="20">
        <v>7.8807383371823896</v>
      </c>
      <c r="BM94" s="20">
        <v>0</v>
      </c>
      <c r="BN94" s="20">
        <v>22.522522522522525</v>
      </c>
      <c r="BO94" s="22" t="s">
        <v>263</v>
      </c>
      <c r="BP94" s="22"/>
    </row>
    <row r="95" spans="1:68" x14ac:dyDescent="0.3">
      <c r="A95" s="16" t="s">
        <v>162</v>
      </c>
      <c r="B95" s="16" t="s">
        <v>259</v>
      </c>
      <c r="C95" s="4" t="s">
        <v>227</v>
      </c>
      <c r="D95" s="5" t="s">
        <v>226</v>
      </c>
      <c r="E95" s="7">
        <v>3</v>
      </c>
      <c r="F95" s="7">
        <v>28</v>
      </c>
      <c r="G95" s="14">
        <v>1247</v>
      </c>
      <c r="H95" s="5" t="s">
        <v>193</v>
      </c>
      <c r="I95" s="18">
        <f>H95/$D95</f>
        <v>0.5</v>
      </c>
      <c r="J95" s="6" t="s">
        <v>229</v>
      </c>
      <c r="K95" s="6" t="s">
        <v>231</v>
      </c>
      <c r="L95" s="18">
        <f>J95/$D95</f>
        <v>0.83333333333333337</v>
      </c>
      <c r="M95" s="18">
        <f>K95/$D95</f>
        <v>0.16666666666666666</v>
      </c>
      <c r="N95" s="19">
        <f>K95/J95</f>
        <v>0.2</v>
      </c>
      <c r="O95" s="14" t="s">
        <v>229</v>
      </c>
      <c r="P95" s="15" t="s">
        <v>231</v>
      </c>
      <c r="Q95" s="18">
        <f>O95/$D95</f>
        <v>0.83333333333333337</v>
      </c>
      <c r="R95" s="18">
        <f>P95/$D95</f>
        <v>0.16666666666666666</v>
      </c>
      <c r="S95" s="19">
        <f>P95/O95</f>
        <v>0.2</v>
      </c>
      <c r="T95" s="15" t="s">
        <v>192</v>
      </c>
      <c r="U95" s="15" t="s">
        <v>192</v>
      </c>
      <c r="V95" s="18">
        <f>T95/$D95</f>
        <v>0</v>
      </c>
      <c r="W95" s="18">
        <f>U95/$D95</f>
        <v>0</v>
      </c>
      <c r="X95" s="19" t="e">
        <f>U95/T95</f>
        <v>#DIV/0!</v>
      </c>
      <c r="Y95" s="15" t="s">
        <v>194</v>
      </c>
      <c r="Z95" s="15" t="s">
        <v>231</v>
      </c>
      <c r="AA95" s="18">
        <f>Y95/$D95</f>
        <v>0.33333333333333331</v>
      </c>
      <c r="AB95" s="18">
        <f>Z95/$D95</f>
        <v>0.16666666666666666</v>
      </c>
      <c r="AC95" s="19">
        <f>Z95/Y95</f>
        <v>0.5</v>
      </c>
      <c r="AD95" s="15" t="s">
        <v>187</v>
      </c>
      <c r="AE95" s="18">
        <f>AD95/$D95</f>
        <v>1.1666666666666667</v>
      </c>
      <c r="AF95" s="15" t="s">
        <v>184</v>
      </c>
      <c r="AG95" s="18">
        <f>AF95/$D95</f>
        <v>0.66666666666666663</v>
      </c>
      <c r="AH95" s="15" t="s">
        <v>193</v>
      </c>
      <c r="AI95" s="18">
        <f>AH95/$D95</f>
        <v>0.5</v>
      </c>
      <c r="AJ95" s="15" t="s">
        <v>192</v>
      </c>
      <c r="AK95" s="18">
        <f>AJ95/$D95</f>
        <v>0</v>
      </c>
      <c r="AL95" s="15" t="s">
        <v>231</v>
      </c>
      <c r="AM95" s="18">
        <f>AL95/$D95</f>
        <v>0.16666666666666666</v>
      </c>
      <c r="AN95" s="15" t="s">
        <v>192</v>
      </c>
      <c r="AO95" s="18">
        <f>AN95/$D95</f>
        <v>0</v>
      </c>
      <c r="AP95" s="15" t="s">
        <v>231</v>
      </c>
      <c r="AQ95" s="18">
        <f>AP95/$D95</f>
        <v>0.16666666666666666</v>
      </c>
      <c r="AR95" s="15" t="s">
        <v>184</v>
      </c>
      <c r="AS95" s="18">
        <f>AR95/$D95</f>
        <v>0.66666666666666663</v>
      </c>
      <c r="AT95" s="20">
        <v>-3.9082595146505486E-2</v>
      </c>
      <c r="AU95" s="20">
        <v>-7.5158836820202857E-2</v>
      </c>
      <c r="AV95" s="20">
        <v>-4.7035140299744309E-2</v>
      </c>
      <c r="AW95" s="20">
        <v>7.9525451532388245E-3</v>
      </c>
      <c r="AX95" s="20">
        <v>75.915839547475372</v>
      </c>
      <c r="AY95" s="20">
        <v>110.86652616750587</v>
      </c>
      <c r="AZ95" s="20">
        <v>0.13901627768759611</v>
      </c>
      <c r="BA95" s="20">
        <v>0.83333333333333337</v>
      </c>
      <c r="BB95" s="20">
        <v>9.615384615384615</v>
      </c>
      <c r="BC95" s="21">
        <v>0.25510204081632654</v>
      </c>
      <c r="BD95" s="21">
        <v>0.2</v>
      </c>
      <c r="BE95" s="20">
        <v>1.7728644542051242</v>
      </c>
      <c r="BF95" s="21">
        <v>0</v>
      </c>
      <c r="BG95" s="21">
        <v>0.4</v>
      </c>
      <c r="BH95" s="20">
        <v>2.4523828987165865</v>
      </c>
      <c r="BI95" s="20">
        <v>1.8392871740374399</v>
      </c>
      <c r="BJ95" s="20">
        <v>2.0046967180250874</v>
      </c>
      <c r="BK95" s="20">
        <v>0</v>
      </c>
      <c r="BL95" s="20">
        <v>2.7090038034064468</v>
      </c>
      <c r="BM95" s="20">
        <v>0</v>
      </c>
      <c r="BN95" s="20">
        <v>14.534883720930234</v>
      </c>
      <c r="BO95" s="22" t="s">
        <v>263</v>
      </c>
      <c r="BP95" s="22">
        <v>28311</v>
      </c>
    </row>
    <row r="96" spans="1:68" x14ac:dyDescent="0.3">
      <c r="A96" s="16" t="s">
        <v>162</v>
      </c>
      <c r="B96" s="16" t="s">
        <v>259</v>
      </c>
      <c r="C96" s="4" t="s">
        <v>131</v>
      </c>
      <c r="D96" s="5" t="s">
        <v>194</v>
      </c>
      <c r="E96" s="7">
        <v>2</v>
      </c>
      <c r="F96" s="7">
        <v>24</v>
      </c>
      <c r="G96" s="14">
        <v>288</v>
      </c>
      <c r="H96" s="5" t="s">
        <v>192</v>
      </c>
      <c r="I96" s="18">
        <f>H96/$D96</f>
        <v>0</v>
      </c>
      <c r="J96" s="6" t="s">
        <v>194</v>
      </c>
      <c r="K96" s="6" t="s">
        <v>192</v>
      </c>
      <c r="L96" s="18">
        <f>J96/$D96</f>
        <v>1</v>
      </c>
      <c r="M96" s="18">
        <f>K96/$D96</f>
        <v>0</v>
      </c>
      <c r="N96" s="19">
        <f>K96/J96</f>
        <v>0</v>
      </c>
      <c r="O96" s="14" t="s">
        <v>194</v>
      </c>
      <c r="P96" s="15" t="s">
        <v>192</v>
      </c>
      <c r="Q96" s="18">
        <f>O96/$D96</f>
        <v>1</v>
      </c>
      <c r="R96" s="18">
        <f>P96/$D96</f>
        <v>0</v>
      </c>
      <c r="S96" s="19">
        <f>P96/O96</f>
        <v>0</v>
      </c>
      <c r="T96" s="15" t="s">
        <v>192</v>
      </c>
      <c r="U96" s="15" t="s">
        <v>192</v>
      </c>
      <c r="V96" s="18">
        <f>T96/$D96</f>
        <v>0</v>
      </c>
      <c r="W96" s="18">
        <f>U96/$D96</f>
        <v>0</v>
      </c>
      <c r="X96" s="19" t="e">
        <f>U96/T96</f>
        <v>#DIV/0!</v>
      </c>
      <c r="Y96" s="15" t="s">
        <v>192</v>
      </c>
      <c r="Z96" s="15" t="s">
        <v>192</v>
      </c>
      <c r="AA96" s="18">
        <f>Y96/$D96</f>
        <v>0</v>
      </c>
      <c r="AB96" s="18">
        <f>Z96/$D96</f>
        <v>0</v>
      </c>
      <c r="AC96" s="19" t="e">
        <f>Z96/Y96</f>
        <v>#DIV/0!</v>
      </c>
      <c r="AD96" s="15" t="s">
        <v>192</v>
      </c>
      <c r="AE96" s="18">
        <f>AD96/$D96</f>
        <v>0</v>
      </c>
      <c r="AF96" s="15" t="s">
        <v>192</v>
      </c>
      <c r="AG96" s="18">
        <f>AF96/$D96</f>
        <v>0</v>
      </c>
      <c r="AH96" s="15" t="s">
        <v>192</v>
      </c>
      <c r="AI96" s="18">
        <f>AH96/$D96</f>
        <v>0</v>
      </c>
      <c r="AJ96" s="15" t="s">
        <v>192</v>
      </c>
      <c r="AK96" s="18">
        <f>AJ96/$D96</f>
        <v>0</v>
      </c>
      <c r="AL96" s="15" t="s">
        <v>192</v>
      </c>
      <c r="AM96" s="18">
        <f>AL96/$D96</f>
        <v>0</v>
      </c>
      <c r="AN96" s="15" t="s">
        <v>192</v>
      </c>
      <c r="AO96" s="18">
        <f>AN96/$D96</f>
        <v>0</v>
      </c>
      <c r="AP96" s="15" t="s">
        <v>192</v>
      </c>
      <c r="AQ96" s="18">
        <f>AP96/$D96</f>
        <v>0</v>
      </c>
      <c r="AR96" s="15" t="s">
        <v>192</v>
      </c>
      <c r="AS96" s="18">
        <f>AR96/$D96</f>
        <v>0</v>
      </c>
      <c r="AT96" s="20">
        <v>-5.2809258447820168E-2</v>
      </c>
      <c r="AU96" s="20">
        <v>-0.44007715373183476</v>
      </c>
      <c r="AV96" s="20">
        <v>-4.7670413635954978E-2</v>
      </c>
      <c r="AW96" s="20">
        <v>-5.1388448118651932E-3</v>
      </c>
      <c r="AX96" s="20">
        <v>0</v>
      </c>
      <c r="AY96" s="20">
        <v>123.02510837991326</v>
      </c>
      <c r="AZ96" s="20">
        <v>-0.48878978828118097</v>
      </c>
      <c r="BA96" s="20">
        <v>-1</v>
      </c>
      <c r="BB96" s="20">
        <v>-16.666666666666668</v>
      </c>
      <c r="BC96" s="21">
        <v>0</v>
      </c>
      <c r="BD96" s="21">
        <v>0</v>
      </c>
      <c r="BE96" s="20">
        <v>0.74441982896210002</v>
      </c>
      <c r="BF96" s="21">
        <v>0</v>
      </c>
      <c r="BG96" s="21">
        <v>0</v>
      </c>
      <c r="BH96" s="20">
        <v>0</v>
      </c>
      <c r="BI96" s="20">
        <v>0</v>
      </c>
      <c r="BJ96" s="20">
        <v>0</v>
      </c>
      <c r="BK96" s="20">
        <v>0</v>
      </c>
      <c r="BL96" s="20">
        <v>0</v>
      </c>
      <c r="BM96" s="20">
        <v>0</v>
      </c>
      <c r="BN96" s="20">
        <v>0</v>
      </c>
      <c r="BO96" s="22" t="s">
        <v>263</v>
      </c>
      <c r="BP96" s="22">
        <v>60000</v>
      </c>
    </row>
    <row r="97" spans="1:68" x14ac:dyDescent="0.3">
      <c r="A97" s="16" t="s">
        <v>162</v>
      </c>
      <c r="B97" s="16" t="s">
        <v>255</v>
      </c>
      <c r="C97" s="16" t="s">
        <v>277</v>
      </c>
      <c r="D97" s="15" t="s">
        <v>201</v>
      </c>
      <c r="E97" s="15">
        <v>23</v>
      </c>
      <c r="F97" s="15">
        <v>22</v>
      </c>
      <c r="G97" s="14">
        <v>75693</v>
      </c>
      <c r="H97" s="8" t="s">
        <v>278</v>
      </c>
      <c r="I97" s="18">
        <f>H97/$D97</f>
        <v>17.796296296296298</v>
      </c>
      <c r="J97" s="6" t="s">
        <v>453</v>
      </c>
      <c r="K97" s="6" t="s">
        <v>454</v>
      </c>
      <c r="L97" s="18">
        <f>J97/$D97</f>
        <v>14.277777777777779</v>
      </c>
      <c r="M97" s="18">
        <f>K97/$D97</f>
        <v>6.2037037037037033</v>
      </c>
      <c r="N97" s="19">
        <f>K97/J97</f>
        <v>0.43450064850843062</v>
      </c>
      <c r="O97" s="12" t="s">
        <v>582</v>
      </c>
      <c r="P97" s="5" t="s">
        <v>583</v>
      </c>
      <c r="Q97" s="18">
        <f>O97/$D97</f>
        <v>8</v>
      </c>
      <c r="R97" s="18">
        <f>P97/$D97</f>
        <v>4.0740740740740744</v>
      </c>
      <c r="S97" s="19">
        <f>P97/O97</f>
        <v>0.5092592592592593</v>
      </c>
      <c r="T97" s="12" t="s">
        <v>621</v>
      </c>
      <c r="U97" s="6">
        <v>115</v>
      </c>
      <c r="V97" s="18">
        <f>T97/$D97</f>
        <v>6.2777777777777777</v>
      </c>
      <c r="W97" s="18">
        <f>U97/$D97</f>
        <v>2.1296296296296298</v>
      </c>
      <c r="X97" s="19">
        <f>U97/T97</f>
        <v>0.33923303834808261</v>
      </c>
      <c r="Y97" s="5" t="s">
        <v>345</v>
      </c>
      <c r="Z97" s="5" t="s">
        <v>638</v>
      </c>
      <c r="AA97" s="18">
        <f>Y97/$D97</f>
        <v>4.4629629629629628</v>
      </c>
      <c r="AB97" s="18">
        <f>Z97/$D97</f>
        <v>3.2592592592592591</v>
      </c>
      <c r="AC97" s="19">
        <f>Z97/Y97</f>
        <v>0.73029045643153523</v>
      </c>
      <c r="AD97" s="15" t="s">
        <v>646</v>
      </c>
      <c r="AE97" s="18">
        <f>AD97/$D97</f>
        <v>5.2037037037037033</v>
      </c>
      <c r="AF97" s="15" t="s">
        <v>186</v>
      </c>
      <c r="AG97" s="18">
        <f>AF97/$D97</f>
        <v>0.72222222222222221</v>
      </c>
      <c r="AH97" s="8" t="s">
        <v>665</v>
      </c>
      <c r="AI97" s="18">
        <f>AH97/$D97</f>
        <v>4.4814814814814818</v>
      </c>
      <c r="AJ97" s="8" t="s">
        <v>608</v>
      </c>
      <c r="AK97" s="18">
        <f>AJ97/$D97</f>
        <v>1.7037037037037037</v>
      </c>
      <c r="AL97" s="8" t="s">
        <v>610</v>
      </c>
      <c r="AM97" s="18">
        <f>AL97/$D97</f>
        <v>1.2037037037037037</v>
      </c>
      <c r="AN97" s="8" t="s">
        <v>182</v>
      </c>
      <c r="AO97" s="18">
        <f>AN97/$D97</f>
        <v>0.5</v>
      </c>
      <c r="AP97" s="12" t="s">
        <v>392</v>
      </c>
      <c r="AQ97" s="18">
        <f>AP97/$D97</f>
        <v>1.8333333333333333</v>
      </c>
      <c r="AR97" s="12" t="s">
        <v>613</v>
      </c>
      <c r="AS97" s="18">
        <f>AR97/$D97</f>
        <v>1.4074074074074074</v>
      </c>
      <c r="AT97" s="20">
        <v>3.107157024214517</v>
      </c>
      <c r="AU97" s="20">
        <v>9.8499192398621566E-2</v>
      </c>
      <c r="AV97" s="20">
        <v>1.7945981403208724</v>
      </c>
      <c r="AW97" s="20">
        <v>1.3125588838936446</v>
      </c>
      <c r="AX97" s="20">
        <v>104.49889398531207</v>
      </c>
      <c r="AY97" s="20">
        <v>104.60723986500064</v>
      </c>
      <c r="AZ97" s="20">
        <v>17.958294934495044</v>
      </c>
      <c r="BA97" s="20">
        <v>15.296296296296296</v>
      </c>
      <c r="BB97" s="20">
        <v>26.184815343160565</v>
      </c>
      <c r="BC97" s="21">
        <v>0.54786554775152785</v>
      </c>
      <c r="BD97" s="21">
        <v>0.50907911802853434</v>
      </c>
      <c r="BE97" s="20">
        <v>37.313847467854565</v>
      </c>
      <c r="BF97" s="21">
        <v>0.43968871595330739</v>
      </c>
      <c r="BG97" s="21">
        <v>0.3125810635538262</v>
      </c>
      <c r="BH97" s="20">
        <v>3.5473841074160037</v>
      </c>
      <c r="BI97" s="20">
        <v>22.011973179350587</v>
      </c>
      <c r="BJ97" s="20">
        <v>11.939118990740809</v>
      </c>
      <c r="BK97" s="20">
        <v>15.646702004025061</v>
      </c>
      <c r="BL97" s="20">
        <v>2.9026574276474215</v>
      </c>
      <c r="BM97" s="20">
        <v>2.373892458275543</v>
      </c>
      <c r="BN97" s="20">
        <v>10.143026925126019</v>
      </c>
      <c r="BO97" s="22" t="s">
        <v>265</v>
      </c>
      <c r="BP97" s="22">
        <v>45000</v>
      </c>
    </row>
    <row r="98" spans="1:68" x14ac:dyDescent="0.3">
      <c r="A98" s="16" t="s">
        <v>162</v>
      </c>
      <c r="B98" s="16" t="s">
        <v>255</v>
      </c>
      <c r="C98" s="4" t="s">
        <v>163</v>
      </c>
      <c r="D98" s="5" t="s">
        <v>247</v>
      </c>
      <c r="E98" s="7">
        <v>17</v>
      </c>
      <c r="F98" s="7">
        <v>14</v>
      </c>
      <c r="G98" s="14">
        <v>46522</v>
      </c>
      <c r="H98" s="5" t="s">
        <v>304</v>
      </c>
      <c r="I98" s="18">
        <f>H98/$D98</f>
        <v>10.555555555555555</v>
      </c>
      <c r="J98" s="6" t="s">
        <v>488</v>
      </c>
      <c r="K98" s="6" t="s">
        <v>489</v>
      </c>
      <c r="L98" s="18">
        <f>J98/$D98</f>
        <v>7.9333333333333336</v>
      </c>
      <c r="M98" s="18">
        <f>K98/$D98</f>
        <v>3.9333333333333331</v>
      </c>
      <c r="N98" s="19">
        <f>K98/J98</f>
        <v>0.49579831932773111</v>
      </c>
      <c r="O98" s="14" t="s">
        <v>521</v>
      </c>
      <c r="P98" s="15" t="s">
        <v>551</v>
      </c>
      <c r="Q98" s="18">
        <f>O98/$D98</f>
        <v>6</v>
      </c>
      <c r="R98" s="18">
        <f>P98/$D98</f>
        <v>3.3777777777777778</v>
      </c>
      <c r="S98" s="19">
        <f>P98/O98</f>
        <v>0.562962962962963</v>
      </c>
      <c r="T98" s="15" t="s">
        <v>397</v>
      </c>
      <c r="U98" s="15" t="s">
        <v>243</v>
      </c>
      <c r="V98" s="18">
        <f>T98/$D98</f>
        <v>1.9333333333333333</v>
      </c>
      <c r="W98" s="18">
        <f>U98/$D98</f>
        <v>0.55555555555555558</v>
      </c>
      <c r="X98" s="19">
        <f>U98/T98</f>
        <v>0.28735632183908044</v>
      </c>
      <c r="Y98" s="15" t="s">
        <v>510</v>
      </c>
      <c r="Z98" s="15" t="s">
        <v>530</v>
      </c>
      <c r="AA98" s="18">
        <f>Y98/$D98</f>
        <v>2.7555555555555555</v>
      </c>
      <c r="AB98" s="18">
        <f>Z98/$D98</f>
        <v>2.1333333333333333</v>
      </c>
      <c r="AC98" s="19">
        <f>Z98/Y98</f>
        <v>0.77419354838709675</v>
      </c>
      <c r="AD98" s="15" t="s">
        <v>653</v>
      </c>
      <c r="AE98" s="18">
        <f>AD98/$D98</f>
        <v>4.3111111111111109</v>
      </c>
      <c r="AF98" s="15" t="s">
        <v>247</v>
      </c>
      <c r="AG98" s="18">
        <f>AF98/$D98</f>
        <v>1</v>
      </c>
      <c r="AH98" s="15" t="s">
        <v>383</v>
      </c>
      <c r="AI98" s="18">
        <f>AH98/$D98</f>
        <v>3.3111111111111109</v>
      </c>
      <c r="AJ98" s="15" t="s">
        <v>205</v>
      </c>
      <c r="AK98" s="18">
        <f>AJ98/$D98</f>
        <v>1.2444444444444445</v>
      </c>
      <c r="AL98" s="15" t="s">
        <v>174</v>
      </c>
      <c r="AM98" s="18">
        <f>AL98/$D98</f>
        <v>0.53333333333333333</v>
      </c>
      <c r="AN98" s="15" t="s">
        <v>180</v>
      </c>
      <c r="AO98" s="18">
        <f>AN98/$D98</f>
        <v>0.4</v>
      </c>
      <c r="AP98" s="15" t="s">
        <v>404</v>
      </c>
      <c r="AQ98" s="18">
        <f>AP98/$D98</f>
        <v>1.8</v>
      </c>
      <c r="AR98" s="15" t="s">
        <v>616</v>
      </c>
      <c r="AS98" s="18">
        <f>AR98/$D98</f>
        <v>1.9555555555555555</v>
      </c>
      <c r="AT98" s="20">
        <v>1.3470284526208958</v>
      </c>
      <c r="AU98" s="20">
        <v>6.9479223861812794E-2</v>
      </c>
      <c r="AV98" s="20">
        <v>0.7396452275269032</v>
      </c>
      <c r="AW98" s="20">
        <v>0.60738322509399245</v>
      </c>
      <c r="AX98" s="20">
        <v>102.92358020967329</v>
      </c>
      <c r="AY98" s="20">
        <v>106.94425301370156</v>
      </c>
      <c r="AZ98" s="20">
        <v>11.55669671063761</v>
      </c>
      <c r="BA98" s="20">
        <v>10.622222222222222</v>
      </c>
      <c r="BB98" s="20">
        <v>24.655061250805929</v>
      </c>
      <c r="BC98" s="21">
        <v>0.57707260180775588</v>
      </c>
      <c r="BD98" s="21">
        <v>0.53081232492997199</v>
      </c>
      <c r="BE98" s="20">
        <v>25.532246642801919</v>
      </c>
      <c r="BF98" s="21">
        <v>0.24369747899159663</v>
      </c>
      <c r="BG98" s="21">
        <v>0.34733893557422968</v>
      </c>
      <c r="BH98" s="20">
        <v>5.54988006092535</v>
      </c>
      <c r="BI98" s="20">
        <v>18.376269535063937</v>
      </c>
      <c r="BJ98" s="20">
        <v>11.176225748238233</v>
      </c>
      <c r="BK98" s="20">
        <v>11.117360950269662</v>
      </c>
      <c r="BL98" s="20">
        <v>1.7438229512063161</v>
      </c>
      <c r="BM98" s="20">
        <v>2.1458396044502326</v>
      </c>
      <c r="BN98" s="20">
        <v>16.444697092739972</v>
      </c>
      <c r="BO98" s="22" t="s">
        <v>265</v>
      </c>
      <c r="BP98" s="22">
        <v>50000</v>
      </c>
    </row>
    <row r="99" spans="1:68" x14ac:dyDescent="0.3">
      <c r="A99" s="16" t="s">
        <v>162</v>
      </c>
      <c r="B99" s="16" t="s">
        <v>255</v>
      </c>
      <c r="C99" s="4" t="s">
        <v>308</v>
      </c>
      <c r="D99" s="5" t="s">
        <v>206</v>
      </c>
      <c r="E99" s="7">
        <v>27</v>
      </c>
      <c r="F99" s="7">
        <v>19</v>
      </c>
      <c r="G99" s="14">
        <v>62278</v>
      </c>
      <c r="H99" s="5" t="s">
        <v>309</v>
      </c>
      <c r="I99" s="18">
        <f>H99/$D99</f>
        <v>11.263157894736842</v>
      </c>
      <c r="J99" s="6" t="s">
        <v>495</v>
      </c>
      <c r="K99" s="6" t="s">
        <v>377</v>
      </c>
      <c r="L99" s="18">
        <f>J99/$D99</f>
        <v>10.131578947368421</v>
      </c>
      <c r="M99" s="18">
        <f>K99/$D99</f>
        <v>4.4473684210526319</v>
      </c>
      <c r="N99" s="19">
        <f>K99/J99</f>
        <v>0.43896103896103894</v>
      </c>
      <c r="O99" s="14" t="s">
        <v>340</v>
      </c>
      <c r="P99" s="15" t="s">
        <v>502</v>
      </c>
      <c r="Q99" s="18">
        <f>O99/$D99</f>
        <v>7.0526315789473681</v>
      </c>
      <c r="R99" s="18">
        <f>P99/$D99</f>
        <v>3.5263157894736841</v>
      </c>
      <c r="S99" s="19">
        <f>P99/O99</f>
        <v>0.5</v>
      </c>
      <c r="T99" s="15" t="s">
        <v>630</v>
      </c>
      <c r="U99" s="15" t="s">
        <v>245</v>
      </c>
      <c r="V99" s="18">
        <f>T99/$D99</f>
        <v>3.0789473684210527</v>
      </c>
      <c r="W99" s="18">
        <f>U99/$D99</f>
        <v>0.92105263157894735</v>
      </c>
      <c r="X99" s="19">
        <f>U99/T99</f>
        <v>0.29914529914529914</v>
      </c>
      <c r="Y99" s="15" t="s">
        <v>407</v>
      </c>
      <c r="Z99" s="15" t="s">
        <v>224</v>
      </c>
      <c r="AA99" s="18">
        <f>Y99/$D99</f>
        <v>1.9210526315789473</v>
      </c>
      <c r="AB99" s="18">
        <f>Z99/$D99</f>
        <v>1.4473684210526316</v>
      </c>
      <c r="AC99" s="19">
        <f>Z99/Y99</f>
        <v>0.75342465753424659</v>
      </c>
      <c r="AD99" s="15" t="s">
        <v>603</v>
      </c>
      <c r="AE99" s="18">
        <f>AD99/$D99</f>
        <v>3.0263157894736841</v>
      </c>
      <c r="AF99" s="15" t="s">
        <v>243</v>
      </c>
      <c r="AG99" s="18">
        <f>AF99/$D99</f>
        <v>0.65789473684210531</v>
      </c>
      <c r="AH99" s="15" t="s">
        <v>535</v>
      </c>
      <c r="AI99" s="18">
        <f>AH99/$D99</f>
        <v>2.3684210526315788</v>
      </c>
      <c r="AJ99" s="15" t="s">
        <v>506</v>
      </c>
      <c r="AK99" s="18">
        <f>AJ99/$D99</f>
        <v>4.0263157894736841</v>
      </c>
      <c r="AL99" s="15" t="s">
        <v>212</v>
      </c>
      <c r="AM99" s="18">
        <f>AL99/$D99</f>
        <v>1.5526315789473684</v>
      </c>
      <c r="AN99" s="15" t="s">
        <v>229</v>
      </c>
      <c r="AO99" s="18">
        <f>AN99/$D99</f>
        <v>0.13157894736842105</v>
      </c>
      <c r="AP99" s="15" t="s">
        <v>217</v>
      </c>
      <c r="AQ99" s="18">
        <f>AP99/$D99</f>
        <v>1.5263157894736843</v>
      </c>
      <c r="AR99" s="15" t="s">
        <v>537</v>
      </c>
      <c r="AS99" s="18">
        <f>AR99/$D99</f>
        <v>2.0789473684210527</v>
      </c>
      <c r="AT99" s="20">
        <v>1.5950270722700659</v>
      </c>
      <c r="AU99" s="20">
        <v>6.146342399807582E-2</v>
      </c>
      <c r="AV99" s="20">
        <v>1.0771835170639263</v>
      </c>
      <c r="AW99" s="20">
        <v>0.51784355520613967</v>
      </c>
      <c r="AX99" s="20">
        <v>105.4848188453623</v>
      </c>
      <c r="AY99" s="20">
        <v>109.52980281308056</v>
      </c>
      <c r="AZ99" s="20">
        <v>8.198645873594641</v>
      </c>
      <c r="BA99" s="20">
        <v>12.315789473684211</v>
      </c>
      <c r="BB99" s="20">
        <v>18.034102951093413</v>
      </c>
      <c r="BC99" s="21">
        <v>0.51304181051016495</v>
      </c>
      <c r="BD99" s="21">
        <v>0.48441558441558441</v>
      </c>
      <c r="BE99" s="20">
        <v>15.537272689338655</v>
      </c>
      <c r="BF99" s="21">
        <v>0.30389610389610389</v>
      </c>
      <c r="BG99" s="21">
        <v>0.18961038961038962</v>
      </c>
      <c r="BH99" s="20">
        <v>1.9451481197874081</v>
      </c>
      <c r="BI99" s="20">
        <v>7.0025332312346702</v>
      </c>
      <c r="BJ99" s="20">
        <v>4.1795821053917974</v>
      </c>
      <c r="BK99" s="20">
        <v>16.813032847684546</v>
      </c>
      <c r="BL99" s="20">
        <v>3.2026808396073263</v>
      </c>
      <c r="BM99" s="20">
        <v>0.37604198884847478</v>
      </c>
      <c r="BN99" s="20">
        <v>12.207442330358646</v>
      </c>
      <c r="BO99" s="22" t="s">
        <v>263</v>
      </c>
      <c r="BP99" s="22">
        <v>110000</v>
      </c>
    </row>
    <row r="100" spans="1:68" x14ac:dyDescent="0.3">
      <c r="A100" s="16" t="s">
        <v>162</v>
      </c>
      <c r="B100" s="16" t="s">
        <v>255</v>
      </c>
      <c r="C100" s="4" t="s">
        <v>88</v>
      </c>
      <c r="D100" s="5" t="s">
        <v>233</v>
      </c>
      <c r="E100" s="7">
        <v>22</v>
      </c>
      <c r="F100" s="7">
        <v>24</v>
      </c>
      <c r="G100" s="14">
        <v>68565</v>
      </c>
      <c r="H100" s="5" t="s">
        <v>315</v>
      </c>
      <c r="I100" s="18">
        <f>H100/$D100</f>
        <v>7.2941176470588234</v>
      </c>
      <c r="J100" s="6" t="s">
        <v>504</v>
      </c>
      <c r="K100" s="6" t="s">
        <v>498</v>
      </c>
      <c r="L100" s="18">
        <f>J100/$D100</f>
        <v>6.1372549019607847</v>
      </c>
      <c r="M100" s="18">
        <f>K100/$D100</f>
        <v>2.7450980392156863</v>
      </c>
      <c r="N100" s="19">
        <f>K100/J100</f>
        <v>0.4472843450479233</v>
      </c>
      <c r="O100" s="14" t="s">
        <v>382</v>
      </c>
      <c r="P100" s="15" t="s">
        <v>566</v>
      </c>
      <c r="Q100" s="18">
        <f>O100/$D100</f>
        <v>2.9411764705882355</v>
      </c>
      <c r="R100" s="18">
        <f>P100/$D100</f>
        <v>1.6666666666666667</v>
      </c>
      <c r="S100" s="19">
        <f>P100/O100</f>
        <v>0.56666666666666665</v>
      </c>
      <c r="T100" s="15" t="s">
        <v>379</v>
      </c>
      <c r="U100" s="15" t="s">
        <v>224</v>
      </c>
      <c r="V100" s="18">
        <f>T100/$D100</f>
        <v>3.1960784313725492</v>
      </c>
      <c r="W100" s="18">
        <f>U100/$D100</f>
        <v>1.0784313725490196</v>
      </c>
      <c r="X100" s="19">
        <f>U100/T100</f>
        <v>0.33742331288343558</v>
      </c>
      <c r="Y100" s="15" t="s">
        <v>215</v>
      </c>
      <c r="Z100" s="15" t="s">
        <v>235</v>
      </c>
      <c r="AA100" s="18">
        <f>Y100/$D100</f>
        <v>1.1176470588235294</v>
      </c>
      <c r="AB100" s="18">
        <f>Z100/$D100</f>
        <v>0.72549019607843135</v>
      </c>
      <c r="AC100" s="19">
        <f>Z100/Y100</f>
        <v>0.64912280701754388</v>
      </c>
      <c r="AD100" s="15" t="s">
        <v>486</v>
      </c>
      <c r="AE100" s="18">
        <f>AD100/$D100</f>
        <v>3.6274509803921569</v>
      </c>
      <c r="AF100" s="15" t="s">
        <v>556</v>
      </c>
      <c r="AG100" s="18">
        <f>AF100/$D100</f>
        <v>1.2352941176470589</v>
      </c>
      <c r="AH100" s="15" t="s">
        <v>527</v>
      </c>
      <c r="AI100" s="18">
        <f>AH100/$D100</f>
        <v>2.392156862745098</v>
      </c>
      <c r="AJ100" s="15" t="s">
        <v>523</v>
      </c>
      <c r="AK100" s="18">
        <f>AJ100/$D100</f>
        <v>1.8431372549019607</v>
      </c>
      <c r="AL100" s="15" t="s">
        <v>182</v>
      </c>
      <c r="AM100" s="18">
        <f>AL100/$D100</f>
        <v>0.52941176470588236</v>
      </c>
      <c r="AN100" s="15" t="s">
        <v>229</v>
      </c>
      <c r="AO100" s="18">
        <f>AN100/$D100</f>
        <v>9.8039215686274508E-2</v>
      </c>
      <c r="AP100" s="15" t="s">
        <v>223</v>
      </c>
      <c r="AQ100" s="18">
        <f>AP100/$D100</f>
        <v>0.98039215686274506</v>
      </c>
      <c r="AR100" s="15" t="s">
        <v>396</v>
      </c>
      <c r="AS100" s="18">
        <f>AR100/$D100</f>
        <v>1.9019607843137254</v>
      </c>
      <c r="AT100" s="20">
        <v>1.4826679160623577</v>
      </c>
      <c r="AU100" s="20">
        <v>5.1914142719270223E-2</v>
      </c>
      <c r="AV100" s="20">
        <v>1.3249736976932831</v>
      </c>
      <c r="AW100" s="20">
        <v>0.15769421836907466</v>
      </c>
      <c r="AX100" s="20">
        <v>109.61696902573006</v>
      </c>
      <c r="AY100" s="20">
        <v>112.81084967329265</v>
      </c>
      <c r="AZ100" s="20">
        <v>8.4240072103872716</v>
      </c>
      <c r="BA100" s="20">
        <v>8.6274509803921564</v>
      </c>
      <c r="BB100" s="20">
        <v>15.406162464985993</v>
      </c>
      <c r="BC100" s="21">
        <v>0.55016564126833889</v>
      </c>
      <c r="BD100" s="21">
        <v>0.53514376996805113</v>
      </c>
      <c r="BE100" s="20">
        <v>15.476488244122061</v>
      </c>
      <c r="BF100" s="21">
        <v>0.52076677316293929</v>
      </c>
      <c r="BG100" s="21">
        <v>0.18210862619808307</v>
      </c>
      <c r="BH100" s="20">
        <v>5.9776833156216789</v>
      </c>
      <c r="BI100" s="20">
        <v>11.575831182632458</v>
      </c>
      <c r="BJ100" s="20">
        <v>8.1994823245753992</v>
      </c>
      <c r="BK100" s="20">
        <v>12.620837808807732</v>
      </c>
      <c r="BL100" s="20">
        <v>1.3317371638594717</v>
      </c>
      <c r="BM100" s="20">
        <v>0.45858096705554341</v>
      </c>
      <c r="BN100" s="20">
        <v>12.883941455370028</v>
      </c>
      <c r="BO100" s="22" t="s">
        <v>263</v>
      </c>
      <c r="BP100" s="22">
        <v>700000</v>
      </c>
    </row>
    <row r="101" spans="1:68" x14ac:dyDescent="0.3">
      <c r="A101" s="16" t="s">
        <v>162</v>
      </c>
      <c r="B101" s="16" t="s">
        <v>255</v>
      </c>
      <c r="C101" s="9" t="s">
        <v>77</v>
      </c>
      <c r="D101" s="5" t="s">
        <v>240</v>
      </c>
      <c r="E101" s="7">
        <v>27</v>
      </c>
      <c r="F101" s="7">
        <v>54</v>
      </c>
      <c r="G101" s="14">
        <v>77020</v>
      </c>
      <c r="H101" s="5" t="s">
        <v>320</v>
      </c>
      <c r="I101" s="18">
        <v>5</v>
      </c>
      <c r="J101" s="6" t="s">
        <v>509</v>
      </c>
      <c r="K101" s="6" t="s">
        <v>510</v>
      </c>
      <c r="L101" s="18">
        <v>3.8</v>
      </c>
      <c r="M101" s="18">
        <v>2</v>
      </c>
      <c r="N101" s="19">
        <f>K101/J101</f>
        <v>0.3712574850299401</v>
      </c>
      <c r="O101" s="14" t="s">
        <v>526</v>
      </c>
      <c r="P101" s="15" t="s">
        <v>546</v>
      </c>
      <c r="Q101" s="18">
        <v>3.8</v>
      </c>
      <c r="R101" s="18">
        <v>2</v>
      </c>
      <c r="S101" s="19">
        <f>P101/O101</f>
        <v>0.45500000000000002</v>
      </c>
      <c r="T101" s="15" t="s">
        <v>502</v>
      </c>
      <c r="U101" s="15" t="s">
        <v>199</v>
      </c>
      <c r="V101" s="18">
        <v>0</v>
      </c>
      <c r="W101" s="18">
        <v>0</v>
      </c>
      <c r="X101" s="19">
        <f>U101/T101</f>
        <v>0.2462686567164179</v>
      </c>
      <c r="Y101" s="15" t="s">
        <v>394</v>
      </c>
      <c r="Z101" s="15" t="s">
        <v>402</v>
      </c>
      <c r="AA101" s="18">
        <v>1.2</v>
      </c>
      <c r="AB101" s="18">
        <v>1</v>
      </c>
      <c r="AC101" s="19">
        <f>Z101/Y101</f>
        <v>0.83673469387755106</v>
      </c>
      <c r="AD101" s="15" t="s">
        <v>619</v>
      </c>
      <c r="AE101" s="18">
        <v>4.4000000000000004</v>
      </c>
      <c r="AF101" s="15" t="s">
        <v>399</v>
      </c>
      <c r="AG101" s="18">
        <v>1.4</v>
      </c>
      <c r="AH101" s="15" t="s">
        <v>660</v>
      </c>
      <c r="AI101" s="18">
        <v>3</v>
      </c>
      <c r="AJ101" s="15" t="s">
        <v>627</v>
      </c>
      <c r="AK101" s="18">
        <v>0.8</v>
      </c>
      <c r="AL101" s="15" t="s">
        <v>213</v>
      </c>
      <c r="AM101" s="18">
        <v>0</v>
      </c>
      <c r="AN101" s="15" t="s">
        <v>229</v>
      </c>
      <c r="AO101" s="18">
        <v>0.8</v>
      </c>
      <c r="AP101" s="15" t="s">
        <v>186</v>
      </c>
      <c r="AQ101" s="18">
        <v>0.8</v>
      </c>
      <c r="AR101" s="15" t="s">
        <v>570</v>
      </c>
      <c r="AS101" s="18">
        <v>1.8</v>
      </c>
      <c r="AT101" s="20">
        <v>1.3063707689546817</v>
      </c>
      <c r="AU101" s="20">
        <v>4.0715934827947067E-2</v>
      </c>
      <c r="AV101" s="20">
        <v>0.93499491615793817</v>
      </c>
      <c r="AW101" s="20">
        <v>0.37137585279674362</v>
      </c>
      <c r="AX101" s="20">
        <v>105.37264934016861</v>
      </c>
      <c r="AY101" s="20">
        <v>111.43479624087627</v>
      </c>
      <c r="AZ101" s="20">
        <v>6.2565375325376431</v>
      </c>
      <c r="BA101" s="20">
        <v>10.065217391304348</v>
      </c>
      <c r="BB101" s="20">
        <v>14.43041919900265</v>
      </c>
      <c r="BC101" s="21">
        <v>0.48127916843445057</v>
      </c>
      <c r="BD101" s="21">
        <v>0.42065868263473055</v>
      </c>
      <c r="BE101" s="20">
        <v>13.323353945277811</v>
      </c>
      <c r="BF101" s="21">
        <v>0.40119760479041916</v>
      </c>
      <c r="BG101" s="21">
        <v>0.29341317365269459</v>
      </c>
      <c r="BH101" s="20">
        <v>6.551407600394608</v>
      </c>
      <c r="BI101" s="20">
        <v>12.645740251924476</v>
      </c>
      <c r="BJ101" s="20">
        <v>8.9672455343917878</v>
      </c>
      <c r="BK101" s="20">
        <v>7.5660753540207564</v>
      </c>
      <c r="BL101" s="20">
        <v>1.4927594590689099</v>
      </c>
      <c r="BM101" s="20">
        <v>0.3681797011485366</v>
      </c>
      <c r="BN101" s="20">
        <v>9.3722964529462658</v>
      </c>
      <c r="BO101" s="22" t="s">
        <v>263</v>
      </c>
      <c r="BP101" s="22">
        <v>600000</v>
      </c>
    </row>
    <row r="102" spans="1:68" x14ac:dyDescent="0.3">
      <c r="A102" s="16" t="s">
        <v>162</v>
      </c>
      <c r="B102" s="16" t="s">
        <v>255</v>
      </c>
      <c r="C102" s="4" t="s">
        <v>73</v>
      </c>
      <c r="D102" s="5" t="s">
        <v>202</v>
      </c>
      <c r="E102" s="7">
        <v>25</v>
      </c>
      <c r="F102" s="7">
        <v>35</v>
      </c>
      <c r="G102" s="14">
        <v>46037</v>
      </c>
      <c r="H102" s="5" t="s">
        <v>330</v>
      </c>
      <c r="I102" s="18">
        <f>H102/$D102</f>
        <v>9.7666666666666675</v>
      </c>
      <c r="J102" s="6" t="s">
        <v>519</v>
      </c>
      <c r="K102" s="6" t="s">
        <v>520</v>
      </c>
      <c r="L102" s="18">
        <f>J102/$D102</f>
        <v>9.0333333333333332</v>
      </c>
      <c r="M102" s="18">
        <f>K102/$D102</f>
        <v>3.7333333333333334</v>
      </c>
      <c r="N102" s="19">
        <f>K102/J102</f>
        <v>0.41328413284132842</v>
      </c>
      <c r="O102" s="14" t="s">
        <v>379</v>
      </c>
      <c r="P102" s="15" t="s">
        <v>400</v>
      </c>
      <c r="Q102" s="18">
        <f>O102/$D102</f>
        <v>5.4333333333333336</v>
      </c>
      <c r="R102" s="18">
        <f>P102/$D102</f>
        <v>2.8</v>
      </c>
      <c r="S102" s="19">
        <f>P102/O102</f>
        <v>0.51533742331288346</v>
      </c>
      <c r="T102" s="15" t="s">
        <v>390</v>
      </c>
      <c r="U102" s="15" t="s">
        <v>170</v>
      </c>
      <c r="V102" s="18">
        <f>T102/$D102</f>
        <v>3.6</v>
      </c>
      <c r="W102" s="18">
        <f>U102/$D102</f>
        <v>0.93333333333333335</v>
      </c>
      <c r="X102" s="19">
        <f>U102/T102</f>
        <v>0.25925925925925924</v>
      </c>
      <c r="Y102" s="15" t="s">
        <v>190</v>
      </c>
      <c r="Z102" s="15" t="s">
        <v>188</v>
      </c>
      <c r="AA102" s="18">
        <f>Y102/$D102</f>
        <v>1.5666666666666667</v>
      </c>
      <c r="AB102" s="18">
        <f>Z102/$D102</f>
        <v>1.3666666666666667</v>
      </c>
      <c r="AC102" s="19">
        <f>Z102/Y102</f>
        <v>0.87234042553191493</v>
      </c>
      <c r="AD102" s="15" t="s">
        <v>409</v>
      </c>
      <c r="AE102" s="18">
        <f>AD102/$D102</f>
        <v>2.3666666666666667</v>
      </c>
      <c r="AF102" s="15" t="s">
        <v>175</v>
      </c>
      <c r="AG102" s="18">
        <f>AF102/$D102</f>
        <v>0.7</v>
      </c>
      <c r="AH102" s="15" t="s">
        <v>223</v>
      </c>
      <c r="AI102" s="18">
        <f>AH102/$D102</f>
        <v>1.6666666666666667</v>
      </c>
      <c r="AJ102" s="15" t="s">
        <v>567</v>
      </c>
      <c r="AK102" s="18">
        <f>AJ102/$D102</f>
        <v>3.4</v>
      </c>
      <c r="AL102" s="15" t="s">
        <v>170</v>
      </c>
      <c r="AM102" s="18">
        <f>AL102/$D102</f>
        <v>0.93333333333333335</v>
      </c>
      <c r="AN102" s="15" t="s">
        <v>187</v>
      </c>
      <c r="AO102" s="18">
        <f>AN102/$D102</f>
        <v>0.23333333333333334</v>
      </c>
      <c r="AP102" s="15" t="s">
        <v>232</v>
      </c>
      <c r="AQ102" s="18">
        <f>AP102/$D102</f>
        <v>1.6333333333333333</v>
      </c>
      <c r="AR102" s="15" t="s">
        <v>301</v>
      </c>
      <c r="AS102" s="18">
        <f>AR102/$D102</f>
        <v>1.3333333333333333</v>
      </c>
      <c r="AT102" s="20">
        <v>0.46816303622207056</v>
      </c>
      <c r="AU102" s="20">
        <v>2.4399376480629086E-2</v>
      </c>
      <c r="AV102" s="20">
        <v>0.37050731113809199</v>
      </c>
      <c r="AW102" s="20">
        <v>9.7655725083978601E-2</v>
      </c>
      <c r="AX102" s="20">
        <v>101.15244382877199</v>
      </c>
      <c r="AY102" s="20">
        <v>112.90904429682278</v>
      </c>
      <c r="AZ102" s="20">
        <v>5.3905790495014285</v>
      </c>
      <c r="BA102" s="20">
        <v>9.5666666666666664</v>
      </c>
      <c r="BB102" s="20">
        <v>14.957654723127035</v>
      </c>
      <c r="BC102" s="21">
        <v>0.50226275370268791</v>
      </c>
      <c r="BD102" s="21">
        <v>0.46494464944649444</v>
      </c>
      <c r="BE102" s="20">
        <v>11.895663979034655</v>
      </c>
      <c r="BF102" s="21">
        <v>0.39852398523985239</v>
      </c>
      <c r="BG102" s="21">
        <v>0.17343173431734318</v>
      </c>
      <c r="BH102" s="20">
        <v>1.7446267917905618</v>
      </c>
      <c r="BI102" s="20">
        <v>4.1538733137870514</v>
      </c>
      <c r="BJ102" s="20">
        <v>2.7552686023075377</v>
      </c>
      <c r="BK102" s="20">
        <v>11.351727335961048</v>
      </c>
      <c r="BL102" s="20">
        <v>2.0556662086044488</v>
      </c>
      <c r="BM102" s="20">
        <v>0.56212765316723801</v>
      </c>
      <c r="BN102" s="20">
        <v>14.382998708465422</v>
      </c>
      <c r="BO102" s="22" t="s">
        <v>263</v>
      </c>
      <c r="BP102" s="22"/>
    </row>
    <row r="103" spans="1:68" x14ac:dyDescent="0.3">
      <c r="A103" s="16" t="s">
        <v>162</v>
      </c>
      <c r="B103" s="16" t="s">
        <v>255</v>
      </c>
      <c r="C103" s="4" t="s">
        <v>79</v>
      </c>
      <c r="D103" s="5" t="s">
        <v>179</v>
      </c>
      <c r="E103" s="5">
        <v>15</v>
      </c>
      <c r="F103" s="5">
        <v>56</v>
      </c>
      <c r="G103" s="14">
        <v>42042</v>
      </c>
      <c r="H103" s="5" t="s">
        <v>342</v>
      </c>
      <c r="I103" s="18">
        <f>H103/$D103</f>
        <v>5.75</v>
      </c>
      <c r="J103" s="6" t="s">
        <v>531</v>
      </c>
      <c r="K103" s="6" t="s">
        <v>523</v>
      </c>
      <c r="L103" s="18">
        <f>J103/$D103</f>
        <v>4.1363636363636367</v>
      </c>
      <c r="M103" s="18">
        <f>K103/$D103</f>
        <v>2.1363636363636362</v>
      </c>
      <c r="N103" s="19">
        <f>K103/J103</f>
        <v>0.51648351648351654</v>
      </c>
      <c r="O103" s="14" t="s">
        <v>382</v>
      </c>
      <c r="P103" s="15" t="s">
        <v>399</v>
      </c>
      <c r="Q103" s="18">
        <f>O103/$D103</f>
        <v>3.4090909090909092</v>
      </c>
      <c r="R103" s="18">
        <f>P103/$D103</f>
        <v>1.9545454545454546</v>
      </c>
      <c r="S103" s="19">
        <f>P103/O103</f>
        <v>0.57333333333333336</v>
      </c>
      <c r="T103" s="15" t="s">
        <v>234</v>
      </c>
      <c r="U103" s="15" t="s">
        <v>189</v>
      </c>
      <c r="V103" s="18">
        <f>T103/$D103</f>
        <v>0.72727272727272729</v>
      </c>
      <c r="W103" s="18">
        <f>U103/$D103</f>
        <v>0.18181818181818182</v>
      </c>
      <c r="X103" s="19">
        <f>U103/T103</f>
        <v>0.25</v>
      </c>
      <c r="Y103" s="15" t="s">
        <v>571</v>
      </c>
      <c r="Z103" s="15" t="s">
        <v>215</v>
      </c>
      <c r="AA103" s="18">
        <f>Y103/$D103</f>
        <v>1.75</v>
      </c>
      <c r="AB103" s="18">
        <f>Z103/$D103</f>
        <v>1.2954545454545454</v>
      </c>
      <c r="AC103" s="19">
        <f>Z103/Y103</f>
        <v>0.74025974025974028</v>
      </c>
      <c r="AD103" s="15" t="s">
        <v>549</v>
      </c>
      <c r="AE103" s="18">
        <f>AD103/$D103</f>
        <v>3.6363636363636362</v>
      </c>
      <c r="AF103" s="15" t="s">
        <v>407</v>
      </c>
      <c r="AG103" s="18">
        <f>AF103/$D103</f>
        <v>1.6590909090909092</v>
      </c>
      <c r="AH103" s="15" t="s">
        <v>397</v>
      </c>
      <c r="AI103" s="18">
        <f>AH103/$D103</f>
        <v>1.9772727272727273</v>
      </c>
      <c r="AJ103" s="15" t="s">
        <v>188</v>
      </c>
      <c r="AK103" s="18">
        <f>AJ103/$D103</f>
        <v>0.93181818181818177</v>
      </c>
      <c r="AL103" s="15" t="s">
        <v>207</v>
      </c>
      <c r="AM103" s="18">
        <f>AL103/$D103</f>
        <v>0.29545454545454547</v>
      </c>
      <c r="AN103" s="15" t="s">
        <v>178</v>
      </c>
      <c r="AO103" s="18">
        <f>AN103/$D103</f>
        <v>0.31818181818181818</v>
      </c>
      <c r="AP103" s="15" t="s">
        <v>245</v>
      </c>
      <c r="AQ103" s="18">
        <f>AP103/$D103</f>
        <v>0.79545454545454541</v>
      </c>
      <c r="AR103" s="15" t="s">
        <v>572</v>
      </c>
      <c r="AS103" s="18">
        <f>AR103/$D103</f>
        <v>1.4545454545454546</v>
      </c>
      <c r="AT103" s="20">
        <v>1.4988985072297367</v>
      </c>
      <c r="AU103" s="20">
        <v>8.5521025517101751E-2</v>
      </c>
      <c r="AV103" s="20">
        <v>1.3257422324102377</v>
      </c>
      <c r="AW103" s="20">
        <v>0.17315627481949894</v>
      </c>
      <c r="AX103" s="20">
        <v>115.89362335044765</v>
      </c>
      <c r="AY103" s="20">
        <v>111.8201485025626</v>
      </c>
      <c r="AZ103" s="20">
        <v>9.1093623397328347</v>
      </c>
      <c r="BA103" s="20">
        <v>7.6818181818181817</v>
      </c>
      <c r="BB103" s="20">
        <v>19.284899201217193</v>
      </c>
      <c r="BC103" s="21">
        <v>0.58597368908652958</v>
      </c>
      <c r="BD103" s="21">
        <v>0.53846153846153844</v>
      </c>
      <c r="BE103" s="20">
        <v>14.06561021096322</v>
      </c>
      <c r="BF103" s="21">
        <v>0.17582417582417584</v>
      </c>
      <c r="BG103" s="21">
        <v>0.42307692307692307</v>
      </c>
      <c r="BH103" s="20">
        <v>9.7377044806779924</v>
      </c>
      <c r="BI103" s="20">
        <v>11.605209449575142</v>
      </c>
      <c r="BJ103" s="20">
        <v>9.969561681989676</v>
      </c>
      <c r="BK103" s="20">
        <v>7.6583027208766579</v>
      </c>
      <c r="BL103" s="20">
        <v>1.0448573056881465</v>
      </c>
      <c r="BM103" s="20">
        <v>1.8051588862169672</v>
      </c>
      <c r="BN103" s="20">
        <v>13.950892857142858</v>
      </c>
      <c r="BO103" s="22" t="s">
        <v>263</v>
      </c>
      <c r="BP103" s="22">
        <v>15629</v>
      </c>
    </row>
    <row r="104" spans="1:68" x14ac:dyDescent="0.3">
      <c r="A104" s="16" t="s">
        <v>162</v>
      </c>
      <c r="B104" s="16" t="s">
        <v>255</v>
      </c>
      <c r="C104" s="4" t="s">
        <v>76</v>
      </c>
      <c r="D104" s="5" t="s">
        <v>182</v>
      </c>
      <c r="E104" s="5">
        <v>29</v>
      </c>
      <c r="F104" s="5">
        <v>41</v>
      </c>
      <c r="G104" s="14">
        <v>48083</v>
      </c>
      <c r="H104" s="5" t="s">
        <v>348</v>
      </c>
      <c r="I104" s="18">
        <f>H104/$D104</f>
        <v>8.8518518518518512</v>
      </c>
      <c r="J104" s="6" t="s">
        <v>538</v>
      </c>
      <c r="K104" s="6" t="s">
        <v>396</v>
      </c>
      <c r="L104" s="18">
        <f>J104/$D104</f>
        <v>6.7777777777777777</v>
      </c>
      <c r="M104" s="18">
        <f>K104/$D104</f>
        <v>3.5925925925925926</v>
      </c>
      <c r="N104" s="19">
        <f>K104/J104</f>
        <v>0.5300546448087432</v>
      </c>
      <c r="O104" s="14" t="s">
        <v>531</v>
      </c>
      <c r="P104" s="15" t="s">
        <v>396</v>
      </c>
      <c r="Q104" s="18">
        <f>O104/$D104</f>
        <v>6.7407407407407405</v>
      </c>
      <c r="R104" s="18">
        <f>P104/$D104</f>
        <v>3.5925925925925926</v>
      </c>
      <c r="S104" s="19">
        <f>P104/O104</f>
        <v>0.53296703296703296</v>
      </c>
      <c r="T104" s="15" t="s">
        <v>231</v>
      </c>
      <c r="U104" s="15" t="s">
        <v>192</v>
      </c>
      <c r="V104" s="18">
        <f>T104/$D104</f>
        <v>3.7037037037037035E-2</v>
      </c>
      <c r="W104" s="18">
        <f>U104/$D104</f>
        <v>0</v>
      </c>
      <c r="X104" s="19">
        <f>U104/T104</f>
        <v>0</v>
      </c>
      <c r="Y104" s="15" t="s">
        <v>205</v>
      </c>
      <c r="Z104" s="15" t="s">
        <v>247</v>
      </c>
      <c r="AA104" s="18">
        <f>Y104/$D104</f>
        <v>2.074074074074074</v>
      </c>
      <c r="AB104" s="18">
        <f>Z104/$D104</f>
        <v>1.6666666666666667</v>
      </c>
      <c r="AC104" s="19">
        <f>Z104/Y104</f>
        <v>0.8035714285714286</v>
      </c>
      <c r="AD104" s="15" t="s">
        <v>388</v>
      </c>
      <c r="AE104" s="18">
        <f>AD104/$D104</f>
        <v>4.7037037037037033</v>
      </c>
      <c r="AF104" s="15" t="s">
        <v>209</v>
      </c>
      <c r="AG104" s="18">
        <f>AF104/$D104</f>
        <v>1.9259259259259258</v>
      </c>
      <c r="AH104" s="15" t="s">
        <v>620</v>
      </c>
      <c r="AI104" s="18">
        <f>AH104/$D104</f>
        <v>2.7777777777777777</v>
      </c>
      <c r="AJ104" s="15" t="s">
        <v>220</v>
      </c>
      <c r="AK104" s="18">
        <f>AJ104/$D104</f>
        <v>1.5555555555555556</v>
      </c>
      <c r="AL104" s="15" t="s">
        <v>176</v>
      </c>
      <c r="AM104" s="18">
        <f>AL104/$D104</f>
        <v>0.37037037037037035</v>
      </c>
      <c r="AN104" s="15" t="s">
        <v>191</v>
      </c>
      <c r="AO104" s="18">
        <f>AN104/$D104</f>
        <v>0.70370370370370372</v>
      </c>
      <c r="AP104" s="15" t="s">
        <v>182</v>
      </c>
      <c r="AQ104" s="18">
        <f>AP104/$D104</f>
        <v>1</v>
      </c>
      <c r="AR104" s="15" t="s">
        <v>556</v>
      </c>
      <c r="AS104" s="18">
        <f>AR104/$D104</f>
        <v>2.3333333333333335</v>
      </c>
      <c r="AT104" s="20">
        <v>1.2272611266608415</v>
      </c>
      <c r="AU104" s="20">
        <v>6.125203701595066E-2</v>
      </c>
      <c r="AV104" s="20">
        <v>1.2038591139328501</v>
      </c>
      <c r="AW104" s="20">
        <v>2.34020127279914E-2</v>
      </c>
      <c r="AX104" s="20">
        <v>115.83155976590982</v>
      </c>
      <c r="AY104" s="20">
        <v>113.8005140517289</v>
      </c>
      <c r="AZ104" s="20">
        <v>4.4837366359618898</v>
      </c>
      <c r="BA104" s="20">
        <v>11.592592592592593</v>
      </c>
      <c r="BB104" s="20">
        <v>15.621685694678396</v>
      </c>
      <c r="BC104" s="21">
        <v>0.57551531496821429</v>
      </c>
      <c r="BD104" s="21">
        <v>0.5300546448087432</v>
      </c>
      <c r="BE104" s="20">
        <v>7.0613633599506089</v>
      </c>
      <c r="BF104" s="21">
        <v>5.4644808743169399E-3</v>
      </c>
      <c r="BG104" s="21">
        <v>0.30601092896174864</v>
      </c>
      <c r="BH104" s="20">
        <v>3.7233258608251822</v>
      </c>
      <c r="BI104" s="20">
        <v>5.3701815300363203</v>
      </c>
      <c r="BJ104" s="20">
        <v>4.2476994067017495</v>
      </c>
      <c r="BK104" s="20">
        <v>3.9051906492379458</v>
      </c>
      <c r="BL104" s="20">
        <v>0.70306668052722054</v>
      </c>
      <c r="BM104" s="20">
        <v>1.315027914062926</v>
      </c>
      <c r="BN104" s="20">
        <v>11.506989430617116</v>
      </c>
      <c r="BO104" s="22" t="s">
        <v>263</v>
      </c>
      <c r="BP104" s="22">
        <v>310000</v>
      </c>
    </row>
    <row r="105" spans="1:68" x14ac:dyDescent="0.3">
      <c r="A105" s="16" t="s">
        <v>162</v>
      </c>
      <c r="B105" s="16" t="s">
        <v>255</v>
      </c>
      <c r="C105" s="4" t="s">
        <v>166</v>
      </c>
      <c r="D105" s="5" t="s">
        <v>202</v>
      </c>
      <c r="E105" s="5">
        <v>22</v>
      </c>
      <c r="F105" s="5">
        <v>9</v>
      </c>
      <c r="G105" s="14">
        <v>39884</v>
      </c>
      <c r="H105" s="5" t="s">
        <v>352</v>
      </c>
      <c r="I105" s="18">
        <f>H105/$D105</f>
        <v>7.7333333333333334</v>
      </c>
      <c r="J105" s="6" t="s">
        <v>540</v>
      </c>
      <c r="K105" s="6" t="s">
        <v>541</v>
      </c>
      <c r="L105" s="18">
        <f>J105/$D105</f>
        <v>7.8666666666666663</v>
      </c>
      <c r="M105" s="18">
        <f>K105/$D105</f>
        <v>2.9666666666666668</v>
      </c>
      <c r="N105" s="19">
        <f>K105/J105</f>
        <v>0.3771186440677966</v>
      </c>
      <c r="O105" s="14" t="s">
        <v>563</v>
      </c>
      <c r="P105" s="15" t="s">
        <v>413</v>
      </c>
      <c r="Q105" s="18">
        <f>O105/$D105</f>
        <v>4.8666666666666663</v>
      </c>
      <c r="R105" s="18">
        <f>P105/$D105</f>
        <v>2.2000000000000002</v>
      </c>
      <c r="S105" s="19">
        <f>P105/O105</f>
        <v>0.45205479452054792</v>
      </c>
      <c r="T105" s="15" t="s">
        <v>535</v>
      </c>
      <c r="U105" s="15" t="s">
        <v>200</v>
      </c>
      <c r="V105" s="18">
        <f>T105/$D105</f>
        <v>3</v>
      </c>
      <c r="W105" s="18">
        <f>U105/$D105</f>
        <v>0.76666666666666672</v>
      </c>
      <c r="X105" s="19">
        <f>U105/T105</f>
        <v>0.25555555555555554</v>
      </c>
      <c r="Y105" s="15" t="s">
        <v>186</v>
      </c>
      <c r="Z105" s="15" t="s">
        <v>171</v>
      </c>
      <c r="AA105" s="18">
        <f>Y105/$D105</f>
        <v>1.3</v>
      </c>
      <c r="AB105" s="18">
        <f>Z105/$D105</f>
        <v>1.0333333333333334</v>
      </c>
      <c r="AC105" s="19">
        <f>Z105/Y105</f>
        <v>0.79487179487179482</v>
      </c>
      <c r="AD105" s="15" t="s">
        <v>556</v>
      </c>
      <c r="AE105" s="18">
        <f>AD105/$D105</f>
        <v>2.1</v>
      </c>
      <c r="AF105" s="15" t="s">
        <v>211</v>
      </c>
      <c r="AG105" s="18">
        <f>AF105/$D105</f>
        <v>0.36666666666666664</v>
      </c>
      <c r="AH105" s="15" t="s">
        <v>209</v>
      </c>
      <c r="AI105" s="18">
        <f>AH105/$D105</f>
        <v>1.7333333333333334</v>
      </c>
      <c r="AJ105" s="15" t="s">
        <v>608</v>
      </c>
      <c r="AK105" s="18">
        <f>AJ105/$D105</f>
        <v>3.0666666666666669</v>
      </c>
      <c r="AL105" s="15" t="s">
        <v>371</v>
      </c>
      <c r="AM105" s="18">
        <f>AL105/$D105</f>
        <v>1.2</v>
      </c>
      <c r="AN105" s="15" t="s">
        <v>231</v>
      </c>
      <c r="AO105" s="18">
        <f>AN105/$D105</f>
        <v>3.3333333333333333E-2</v>
      </c>
      <c r="AP105" s="15" t="s">
        <v>219</v>
      </c>
      <c r="AQ105" s="18">
        <f>AP105/$D105</f>
        <v>1.4333333333333333</v>
      </c>
      <c r="AR105" s="15" t="s">
        <v>224</v>
      </c>
      <c r="AS105" s="18">
        <f>AR105/$D105</f>
        <v>1.8333333333333333</v>
      </c>
      <c r="AT105" s="20">
        <v>3.3558052361285479E-2</v>
      </c>
      <c r="AU105" s="20">
        <v>2.0200482986477337E-3</v>
      </c>
      <c r="AV105" s="20">
        <v>-0.23387375370756461</v>
      </c>
      <c r="AW105" s="20">
        <v>0.26743180606885009</v>
      </c>
      <c r="AX105" s="20">
        <v>94.265893254515504</v>
      </c>
      <c r="AY105" s="20">
        <v>110.40649683529762</v>
      </c>
      <c r="AZ105" s="20">
        <v>4.3697635380228332</v>
      </c>
      <c r="BA105" s="20">
        <v>7.5333333333333332</v>
      </c>
      <c r="BB105" s="20">
        <v>13.604213694507148</v>
      </c>
      <c r="BC105" s="21">
        <v>0.45820824774845947</v>
      </c>
      <c r="BD105" s="21">
        <v>0.42584745762711862</v>
      </c>
      <c r="BE105" s="20">
        <v>11.944056517133122</v>
      </c>
      <c r="BF105" s="21">
        <v>0.38135593220338981</v>
      </c>
      <c r="BG105" s="21">
        <v>0.1652542372881356</v>
      </c>
      <c r="BH105" s="20">
        <v>1.0555026471526616</v>
      </c>
      <c r="BI105" s="20">
        <v>4.9896488774489463</v>
      </c>
      <c r="BJ105" s="20">
        <v>2.8237714493175043</v>
      </c>
      <c r="BK105" s="20">
        <v>11.705951585711105</v>
      </c>
      <c r="BL105" s="20">
        <v>3.0526742633419821</v>
      </c>
      <c r="BM105" s="20">
        <v>9.2751364894304023E-2</v>
      </c>
      <c r="BN105" s="20">
        <v>14.51917882225824</v>
      </c>
      <c r="BO105" s="22" t="s">
        <v>264</v>
      </c>
      <c r="BP105" s="22"/>
    </row>
    <row r="106" spans="1:68" x14ac:dyDescent="0.3">
      <c r="A106" s="16" t="s">
        <v>162</v>
      </c>
      <c r="B106" s="16" t="s">
        <v>255</v>
      </c>
      <c r="C106" s="9" t="s">
        <v>80</v>
      </c>
      <c r="D106" s="10" t="s">
        <v>247</v>
      </c>
      <c r="E106" s="11">
        <v>14</v>
      </c>
      <c r="F106" s="11">
        <v>20</v>
      </c>
      <c r="G106" s="14">
        <v>38694</v>
      </c>
      <c r="H106" s="5" t="s">
        <v>370</v>
      </c>
      <c r="I106" s="18">
        <v>14.333333333333334</v>
      </c>
      <c r="J106" s="6" t="s">
        <v>508</v>
      </c>
      <c r="K106" s="6" t="s">
        <v>411</v>
      </c>
      <c r="L106" s="18">
        <v>13.888888888888889</v>
      </c>
      <c r="M106" s="18">
        <v>5.4444444444444446</v>
      </c>
      <c r="N106" s="19">
        <f>K106/J106</f>
        <v>0.4861111111111111</v>
      </c>
      <c r="O106" s="14" t="s">
        <v>556</v>
      </c>
      <c r="P106" s="15" t="s">
        <v>213</v>
      </c>
      <c r="Q106" s="18">
        <v>9.7407407407407405</v>
      </c>
      <c r="R106" s="18">
        <v>4.4074074074074074</v>
      </c>
      <c r="S106" s="19">
        <f>P106/O106</f>
        <v>0.53968253968253965</v>
      </c>
      <c r="T106" s="15" t="s">
        <v>404</v>
      </c>
      <c r="U106" s="15" t="s">
        <v>371</v>
      </c>
      <c r="V106" s="18">
        <v>4.1481481481481479</v>
      </c>
      <c r="W106" s="18">
        <v>1.037037037037037</v>
      </c>
      <c r="X106" s="19">
        <f>U106/T106</f>
        <v>0.44444444444444442</v>
      </c>
      <c r="Y106" s="15" t="s">
        <v>185</v>
      </c>
      <c r="Z106" s="15" t="s">
        <v>189</v>
      </c>
      <c r="AA106" s="18">
        <v>3.2962962962962963</v>
      </c>
      <c r="AB106" s="18">
        <v>2.4074074074074074</v>
      </c>
      <c r="AC106" s="19">
        <f>Z106/Y106</f>
        <v>0.66666666666666663</v>
      </c>
      <c r="AD106" s="15" t="s">
        <v>556</v>
      </c>
      <c r="AE106" s="18">
        <v>6.7037037037037033</v>
      </c>
      <c r="AF106" s="15" t="s">
        <v>176</v>
      </c>
      <c r="AG106" s="18">
        <v>1.5555555555555556</v>
      </c>
      <c r="AH106" s="15" t="s">
        <v>230</v>
      </c>
      <c r="AI106" s="18">
        <v>5.1481481481481479</v>
      </c>
      <c r="AJ106" s="15" t="s">
        <v>243</v>
      </c>
      <c r="AK106" s="18">
        <v>3.4444444444444446</v>
      </c>
      <c r="AL106" s="15" t="s">
        <v>204</v>
      </c>
      <c r="AM106" s="18">
        <v>1.2962962962962963</v>
      </c>
      <c r="AN106" s="15" t="s">
        <v>211</v>
      </c>
      <c r="AO106" s="18">
        <v>0.44444444444444442</v>
      </c>
      <c r="AP106" s="15" t="s">
        <v>180</v>
      </c>
      <c r="AQ106" s="18">
        <v>2.074074074074074</v>
      </c>
      <c r="AR106" s="15" t="s">
        <v>400</v>
      </c>
      <c r="AS106" s="18">
        <v>1.7407407407407407</v>
      </c>
      <c r="AT106" s="20">
        <v>0.88571429316571726</v>
      </c>
      <c r="AU106" s="20">
        <v>5.4928018180819681E-2</v>
      </c>
      <c r="AV106" s="20">
        <v>0.72503932898756029</v>
      </c>
      <c r="AW106" s="20">
        <v>0.16067496417815699</v>
      </c>
      <c r="AX106" s="20">
        <v>114.33481779633432</v>
      </c>
      <c r="AY106" s="20">
        <v>111.80088289316706</v>
      </c>
      <c r="AZ106" s="20">
        <v>5.6160887184410502</v>
      </c>
      <c r="BA106" s="20">
        <v>4.6444444444444448</v>
      </c>
      <c r="BB106" s="20">
        <v>12.961240310077519</v>
      </c>
      <c r="BC106" s="21">
        <v>0.6162915326902465</v>
      </c>
      <c r="BD106" s="21">
        <v>0.61111111111111116</v>
      </c>
      <c r="BE106" s="20">
        <v>10.425478519990893</v>
      </c>
      <c r="BF106" s="21">
        <v>0.5625</v>
      </c>
      <c r="BG106" s="21">
        <v>8.3333333333333329E-2</v>
      </c>
      <c r="BH106" s="20">
        <v>1.4828361713170055</v>
      </c>
      <c r="BI106" s="20">
        <v>7.8590317079801295</v>
      </c>
      <c r="BJ106" s="20">
        <v>4.3637119257476318</v>
      </c>
      <c r="BK106" s="20">
        <v>5.0386294927779645</v>
      </c>
      <c r="BL106" s="20">
        <v>1.9219226983547131</v>
      </c>
      <c r="BM106" s="20">
        <v>1.5766653527788728</v>
      </c>
      <c r="BN106" s="20">
        <v>10.760401721664275</v>
      </c>
      <c r="BO106" s="22" t="s">
        <v>263</v>
      </c>
      <c r="BP106" s="22"/>
    </row>
    <row r="107" spans="1:68" x14ac:dyDescent="0.3">
      <c r="A107" s="16" t="s">
        <v>162</v>
      </c>
      <c r="B107" s="16" t="s">
        <v>255</v>
      </c>
      <c r="C107" s="9" t="s">
        <v>92</v>
      </c>
      <c r="D107" s="10" t="s">
        <v>247</v>
      </c>
      <c r="E107" s="11">
        <v>16</v>
      </c>
      <c r="F107" s="11">
        <v>3</v>
      </c>
      <c r="G107" s="14">
        <v>43352</v>
      </c>
      <c r="H107" s="5" t="s">
        <v>382</v>
      </c>
      <c r="I107" s="18">
        <v>8.3793103448275854</v>
      </c>
      <c r="J107" s="6" t="s">
        <v>561</v>
      </c>
      <c r="K107" s="6" t="s">
        <v>230</v>
      </c>
      <c r="L107" s="18">
        <v>7.4827586206896548</v>
      </c>
      <c r="M107" s="18">
        <v>3.103448275862069</v>
      </c>
      <c r="N107" s="19">
        <f>K107/J107</f>
        <v>0.43801652892561982</v>
      </c>
      <c r="O107" s="14" t="s">
        <v>548</v>
      </c>
      <c r="P107" s="15" t="s">
        <v>213</v>
      </c>
      <c r="Q107" s="18">
        <v>4.6551724137931032</v>
      </c>
      <c r="R107" s="18">
        <v>2.3448275862068964</v>
      </c>
      <c r="S107" s="19">
        <f>P107/O107</f>
        <v>0.5074626865671642</v>
      </c>
      <c r="T107" s="15" t="s">
        <v>201</v>
      </c>
      <c r="U107" s="15" t="s">
        <v>191</v>
      </c>
      <c r="V107" s="18">
        <v>2.8275862068965516</v>
      </c>
      <c r="W107" s="18">
        <v>0.75862068965517238</v>
      </c>
      <c r="X107" s="19">
        <f>U107/T107</f>
        <v>0.35185185185185186</v>
      </c>
      <c r="Y107" s="15" t="s">
        <v>213</v>
      </c>
      <c r="Z107" s="15" t="s">
        <v>243</v>
      </c>
      <c r="AA107" s="18">
        <v>2.1724137931034484</v>
      </c>
      <c r="AB107" s="18">
        <v>1.4137931034482758</v>
      </c>
      <c r="AC107" s="19">
        <f>Z107/Y107</f>
        <v>0.73529411764705888</v>
      </c>
      <c r="AD107" s="15" t="s">
        <v>205</v>
      </c>
      <c r="AE107" s="18">
        <v>4.9655172413793105</v>
      </c>
      <c r="AF107" s="15" t="s">
        <v>185</v>
      </c>
      <c r="AG107" s="18">
        <v>1.1379310344827587</v>
      </c>
      <c r="AH107" s="15" t="s">
        <v>179</v>
      </c>
      <c r="AI107" s="18">
        <v>3.8275862068965516</v>
      </c>
      <c r="AJ107" s="15" t="s">
        <v>188</v>
      </c>
      <c r="AK107" s="18">
        <v>1.896551724137931</v>
      </c>
      <c r="AL107" s="15" t="s">
        <v>202</v>
      </c>
      <c r="AM107" s="18">
        <v>0.72413793103448276</v>
      </c>
      <c r="AN107" s="15" t="s">
        <v>193</v>
      </c>
      <c r="AO107" s="18">
        <v>0.55172413793103448</v>
      </c>
      <c r="AP107" s="15" t="s">
        <v>202</v>
      </c>
      <c r="AQ107" s="18">
        <v>1.3793103448275863</v>
      </c>
      <c r="AR107" s="15" t="s">
        <v>552</v>
      </c>
      <c r="AS107" s="18">
        <v>2.5517241379310347</v>
      </c>
      <c r="AT107" s="20">
        <v>0.31207155633761158</v>
      </c>
      <c r="AU107" s="20">
        <v>1.728329837799164E-2</v>
      </c>
      <c r="AV107" s="20">
        <v>0.19541937569813747</v>
      </c>
      <c r="AW107" s="20">
        <v>0.11665218063947412</v>
      </c>
      <c r="AX107" s="20">
        <v>101.5070242009769</v>
      </c>
      <c r="AY107" s="20">
        <v>112.59739574969683</v>
      </c>
      <c r="AZ107" s="20">
        <v>3.8577656085721288</v>
      </c>
      <c r="BA107" s="20">
        <v>3.8444444444444446</v>
      </c>
      <c r="BB107" s="20">
        <v>9.5811699550017302</v>
      </c>
      <c r="BC107" s="21">
        <v>0.55163283318623124</v>
      </c>
      <c r="BD107" s="21">
        <v>0.51652892561983466</v>
      </c>
      <c r="BE107" s="20">
        <v>9.2369282104336552</v>
      </c>
      <c r="BF107" s="21">
        <v>0.4462809917355372</v>
      </c>
      <c r="BG107" s="21">
        <v>0.28099173553719009</v>
      </c>
      <c r="BH107" s="20">
        <v>1.5890829997914331</v>
      </c>
      <c r="BI107" s="20">
        <v>5.8266376659019201</v>
      </c>
      <c r="BJ107" s="20">
        <v>3.4639826986435569</v>
      </c>
      <c r="BK107" s="20">
        <v>7.0571022849520197</v>
      </c>
      <c r="BL107" s="20">
        <v>2.340489267325196</v>
      </c>
      <c r="BM107" s="20">
        <v>0.38400798736613717</v>
      </c>
      <c r="BN107" s="20">
        <v>18.076644974692694</v>
      </c>
      <c r="BO107" s="22" t="s">
        <v>263</v>
      </c>
      <c r="BP107" s="22">
        <v>420000</v>
      </c>
    </row>
    <row r="108" spans="1:68" x14ac:dyDescent="0.3">
      <c r="A108" s="16" t="s">
        <v>162</v>
      </c>
      <c r="B108" s="16" t="s">
        <v>255</v>
      </c>
      <c r="C108" s="4" t="s">
        <v>78</v>
      </c>
      <c r="D108" s="5" t="s">
        <v>179</v>
      </c>
      <c r="E108" s="5">
        <v>10</v>
      </c>
      <c r="F108" s="5">
        <v>28</v>
      </c>
      <c r="G108" s="14">
        <v>27645</v>
      </c>
      <c r="H108" s="5" t="s">
        <v>413</v>
      </c>
      <c r="I108" s="18">
        <f>H108/$D108</f>
        <v>1.5</v>
      </c>
      <c r="J108" s="6" t="s">
        <v>404</v>
      </c>
      <c r="K108" s="6" t="s">
        <v>191</v>
      </c>
      <c r="L108" s="18">
        <f>J108/$D108</f>
        <v>1.8409090909090908</v>
      </c>
      <c r="M108" s="18">
        <f>K108/$D108</f>
        <v>0.43181818181818182</v>
      </c>
      <c r="N108" s="19">
        <f>K108/J108</f>
        <v>0.23456790123456789</v>
      </c>
      <c r="O108" s="14" t="s">
        <v>173</v>
      </c>
      <c r="P108" s="15" t="s">
        <v>229</v>
      </c>
      <c r="Q108" s="18">
        <f>O108/$D108</f>
        <v>0.38636363636363635</v>
      </c>
      <c r="R108" s="18">
        <f>P108/$D108</f>
        <v>0.11363636363636363</v>
      </c>
      <c r="S108" s="19">
        <f>P108/O108</f>
        <v>0.29411764705882354</v>
      </c>
      <c r="T108" s="15" t="s">
        <v>572</v>
      </c>
      <c r="U108" s="15" t="s">
        <v>178</v>
      </c>
      <c r="V108" s="18">
        <f>T108/$D108</f>
        <v>1.4545454545454546</v>
      </c>
      <c r="W108" s="18">
        <f>U108/$D108</f>
        <v>0.31818181818181818</v>
      </c>
      <c r="X108" s="19">
        <f>U108/T108</f>
        <v>0.21875</v>
      </c>
      <c r="Y108" s="15" t="s">
        <v>177</v>
      </c>
      <c r="Z108" s="15" t="s">
        <v>178</v>
      </c>
      <c r="AA108" s="18">
        <f>Y108/$D108</f>
        <v>0.59090909090909094</v>
      </c>
      <c r="AB108" s="18">
        <f>Z108/$D108</f>
        <v>0.31818181818181818</v>
      </c>
      <c r="AC108" s="19">
        <f>Z108/Y108</f>
        <v>0.53846153846153844</v>
      </c>
      <c r="AD108" s="15" t="s">
        <v>404</v>
      </c>
      <c r="AE108" s="18">
        <f>AD108/$D108</f>
        <v>1.8409090909090908</v>
      </c>
      <c r="AF108" s="15" t="s">
        <v>172</v>
      </c>
      <c r="AG108" s="18">
        <f>AF108/$D108</f>
        <v>0.65909090909090906</v>
      </c>
      <c r="AH108" s="15" t="s">
        <v>209</v>
      </c>
      <c r="AI108" s="18">
        <f>AH108/$D108</f>
        <v>1.1818181818181819</v>
      </c>
      <c r="AJ108" s="15" t="s">
        <v>191</v>
      </c>
      <c r="AK108" s="18">
        <f>AJ108/$D108</f>
        <v>0.43181818181818182</v>
      </c>
      <c r="AL108" s="15" t="s">
        <v>180</v>
      </c>
      <c r="AM108" s="18">
        <f>AL108/$D108</f>
        <v>0.40909090909090912</v>
      </c>
      <c r="AN108" s="15" t="s">
        <v>193</v>
      </c>
      <c r="AO108" s="18">
        <f>AN108/$D108</f>
        <v>6.8181818181818177E-2</v>
      </c>
      <c r="AP108" s="15" t="s">
        <v>178</v>
      </c>
      <c r="AQ108" s="18">
        <f>AP108/$D108</f>
        <v>0.31818181818181818</v>
      </c>
      <c r="AR108" s="15" t="s">
        <v>556</v>
      </c>
      <c r="AS108" s="18">
        <f>AR108/$D108</f>
        <v>1.4318181818181819</v>
      </c>
      <c r="AT108" s="20">
        <v>-0.17431500077213927</v>
      </c>
      <c r="AU108" s="20">
        <v>-1.514027221529872E-2</v>
      </c>
      <c r="AV108" s="20">
        <v>-0.36363345191116997</v>
      </c>
      <c r="AW108" s="20">
        <v>0.1893184511390307</v>
      </c>
      <c r="AX108" s="20">
        <v>85.061933331622967</v>
      </c>
      <c r="AY108" s="20">
        <v>110.32802844251404</v>
      </c>
      <c r="AZ108" s="20">
        <v>1.835632195275694</v>
      </c>
      <c r="BA108" s="20">
        <v>2.25</v>
      </c>
      <c r="BB108" s="20">
        <v>8.598726114649681</v>
      </c>
      <c r="BC108" s="21">
        <v>0.3569883167459974</v>
      </c>
      <c r="BD108" s="21">
        <v>0.32098765432098764</v>
      </c>
      <c r="BE108" s="20">
        <v>9.0843875076755847</v>
      </c>
      <c r="BF108" s="21">
        <v>0.79012345679012341</v>
      </c>
      <c r="BG108" s="21">
        <v>0.32098765432098764</v>
      </c>
      <c r="BH108" s="20">
        <v>5.8888430115678538</v>
      </c>
      <c r="BI108" s="20">
        <v>10.55930471039753</v>
      </c>
      <c r="BJ108" s="20">
        <v>7.6831506608932374</v>
      </c>
      <c r="BK108" s="20">
        <v>4.8170370996366092</v>
      </c>
      <c r="BL108" s="20">
        <v>2.2023400926361618</v>
      </c>
      <c r="BM108" s="20">
        <v>0.58885301247386967</v>
      </c>
      <c r="BN108" s="20">
        <v>13.152950018789928</v>
      </c>
      <c r="BO108" s="22" t="s">
        <v>263</v>
      </c>
      <c r="BP108" s="22">
        <v>340000</v>
      </c>
    </row>
    <row r="109" spans="1:68" x14ac:dyDescent="0.3">
      <c r="A109" s="16" t="s">
        <v>162</v>
      </c>
      <c r="B109" s="16" t="s">
        <v>255</v>
      </c>
      <c r="C109" s="4" t="s">
        <v>415</v>
      </c>
      <c r="D109" s="7" t="s">
        <v>187</v>
      </c>
      <c r="E109" s="7">
        <v>18</v>
      </c>
      <c r="F109" s="7">
        <v>7</v>
      </c>
      <c r="G109" s="14">
        <v>7608</v>
      </c>
      <c r="H109" s="5" t="s">
        <v>230</v>
      </c>
      <c r="I109" s="18">
        <f>H109/$D109</f>
        <v>7.5714285714285712</v>
      </c>
      <c r="J109" s="6" t="s">
        <v>233</v>
      </c>
      <c r="K109" s="6" t="s">
        <v>204</v>
      </c>
      <c r="L109" s="18">
        <f>J109/$D109</f>
        <v>7.2857142857142856</v>
      </c>
      <c r="M109" s="18">
        <f>K109/$D109</f>
        <v>3.1428571428571428</v>
      </c>
      <c r="N109" s="19">
        <f>K109/J109</f>
        <v>0.43137254901960786</v>
      </c>
      <c r="O109" s="14" t="s">
        <v>220</v>
      </c>
      <c r="P109" s="15" t="s">
        <v>208</v>
      </c>
      <c r="Q109" s="18">
        <f>O109/$D109</f>
        <v>6</v>
      </c>
      <c r="R109" s="18">
        <f>P109/$D109</f>
        <v>2.8571428571428572</v>
      </c>
      <c r="S109" s="19">
        <f>P109/O109</f>
        <v>0.47619047619047616</v>
      </c>
      <c r="T109" s="15" t="s">
        <v>203</v>
      </c>
      <c r="U109" s="15" t="s">
        <v>194</v>
      </c>
      <c r="V109" s="18">
        <f>T109/$D109</f>
        <v>1.2857142857142858</v>
      </c>
      <c r="W109" s="18">
        <f>U109/$D109</f>
        <v>0.2857142857142857</v>
      </c>
      <c r="X109" s="19">
        <f>U109/T109</f>
        <v>0.22222222222222221</v>
      </c>
      <c r="Y109" s="15" t="s">
        <v>178</v>
      </c>
      <c r="Z109" s="15" t="s">
        <v>187</v>
      </c>
      <c r="AA109" s="18">
        <f>Y109/$D109</f>
        <v>2</v>
      </c>
      <c r="AB109" s="18">
        <f>Z109/$D109</f>
        <v>1</v>
      </c>
      <c r="AC109" s="19">
        <f>Z109/Y109</f>
        <v>0.5</v>
      </c>
      <c r="AD109" s="15" t="s">
        <v>247</v>
      </c>
      <c r="AE109" s="18">
        <f>AD109/$D109</f>
        <v>6.4285714285714288</v>
      </c>
      <c r="AF109" s="15" t="s">
        <v>176</v>
      </c>
      <c r="AG109" s="18">
        <f>AF109/$D109</f>
        <v>1.4285714285714286</v>
      </c>
      <c r="AH109" s="15" t="s">
        <v>245</v>
      </c>
      <c r="AI109" s="18">
        <f>AH109/$D109</f>
        <v>5</v>
      </c>
      <c r="AJ109" s="15" t="s">
        <v>187</v>
      </c>
      <c r="AK109" s="18">
        <f>AJ109/$D109</f>
        <v>1</v>
      </c>
      <c r="AL109" s="15" t="s">
        <v>184</v>
      </c>
      <c r="AM109" s="18">
        <f>AL109/$D109</f>
        <v>0.5714285714285714</v>
      </c>
      <c r="AN109" s="15" t="s">
        <v>231</v>
      </c>
      <c r="AO109" s="18">
        <f>AN109/$D109</f>
        <v>0.14285714285714285</v>
      </c>
      <c r="AP109" s="15" t="s">
        <v>207</v>
      </c>
      <c r="AQ109" s="18">
        <f>AP109/$D109</f>
        <v>1.8571428571428572</v>
      </c>
      <c r="AR109" s="15" t="s">
        <v>189</v>
      </c>
      <c r="AS109" s="18">
        <f>AR109/$D109</f>
        <v>1.1428571428571428</v>
      </c>
      <c r="AT109" s="20">
        <v>-9.0378608256800691E-2</v>
      </c>
      <c r="AU109" s="20">
        <v>-2.8506855015944493E-2</v>
      </c>
      <c r="AV109" s="20">
        <v>-0.23028464427700612</v>
      </c>
      <c r="AW109" s="20">
        <v>0.13990603602020543</v>
      </c>
      <c r="AX109" s="20">
        <v>84.920759196210298</v>
      </c>
      <c r="AY109" s="20">
        <v>104.03449426885489</v>
      </c>
      <c r="AZ109" s="20">
        <v>1.2043689003698732</v>
      </c>
      <c r="BA109" s="20">
        <v>8.7142857142857135</v>
      </c>
      <c r="BB109" s="20">
        <v>19.24037324221317</v>
      </c>
      <c r="BC109" s="21">
        <v>0.46361091672498256</v>
      </c>
      <c r="BD109" s="21">
        <v>0.45098039215686275</v>
      </c>
      <c r="BE109" s="20">
        <v>3.4594771429610192</v>
      </c>
      <c r="BF109" s="21">
        <v>0.17647058823529413</v>
      </c>
      <c r="BG109" s="21">
        <v>0.27450980392156865</v>
      </c>
      <c r="BH109" s="20">
        <v>1.1731730518239418</v>
      </c>
      <c r="BI109" s="20">
        <v>4.1061056813837968</v>
      </c>
      <c r="BJ109" s="20">
        <v>2.4660219845859928</v>
      </c>
      <c r="BK109" s="20">
        <v>1.009215094974349</v>
      </c>
      <c r="BL109" s="20">
        <v>1.7772830840590066</v>
      </c>
      <c r="BM109" s="20">
        <v>0.1134007028008556</v>
      </c>
      <c r="BN109" s="20">
        <v>18.529076396807298</v>
      </c>
      <c r="BO109" s="22" t="s">
        <v>267</v>
      </c>
      <c r="BP109" s="22">
        <v>70000</v>
      </c>
    </row>
    <row r="110" spans="1:68" x14ac:dyDescent="0.3">
      <c r="A110" s="16" t="s">
        <v>162</v>
      </c>
      <c r="B110" s="16" t="s">
        <v>255</v>
      </c>
      <c r="C110" s="4" t="s">
        <v>168</v>
      </c>
      <c r="D110" s="7" t="s">
        <v>243</v>
      </c>
      <c r="E110" s="7">
        <v>7</v>
      </c>
      <c r="F110" s="7">
        <v>14</v>
      </c>
      <c r="G110" s="14">
        <v>10843</v>
      </c>
      <c r="H110" s="5" t="s">
        <v>188</v>
      </c>
      <c r="I110" s="18">
        <f>H110/$D110</f>
        <v>1.64</v>
      </c>
      <c r="J110" s="6" t="s">
        <v>188</v>
      </c>
      <c r="K110" s="6" t="s">
        <v>181</v>
      </c>
      <c r="L110" s="18">
        <f>J110/$D110</f>
        <v>1.64</v>
      </c>
      <c r="M110" s="18">
        <f>K110/$D110</f>
        <v>0.6</v>
      </c>
      <c r="N110" s="19">
        <f>K110/J110</f>
        <v>0.36585365853658536</v>
      </c>
      <c r="O110" s="14" t="s">
        <v>204</v>
      </c>
      <c r="P110" s="15" t="s">
        <v>207</v>
      </c>
      <c r="Q110" s="18">
        <f>O110/$D110</f>
        <v>0.88</v>
      </c>
      <c r="R110" s="18">
        <f>P110/$D110</f>
        <v>0.52</v>
      </c>
      <c r="S110" s="19">
        <f>P110/O110</f>
        <v>0.59090909090909094</v>
      </c>
      <c r="T110" s="15" t="s">
        <v>191</v>
      </c>
      <c r="U110" s="15" t="s">
        <v>194</v>
      </c>
      <c r="V110" s="18">
        <f>T110/$D110</f>
        <v>0.76</v>
      </c>
      <c r="W110" s="18">
        <f>U110/$D110</f>
        <v>0.08</v>
      </c>
      <c r="X110" s="19">
        <f>U110/T110</f>
        <v>0.10526315789473684</v>
      </c>
      <c r="Y110" s="15" t="s">
        <v>191</v>
      </c>
      <c r="Z110" s="15" t="s">
        <v>203</v>
      </c>
      <c r="AA110" s="18">
        <f>Y110/$D110</f>
        <v>0.76</v>
      </c>
      <c r="AB110" s="18">
        <f>Z110/$D110</f>
        <v>0.36</v>
      </c>
      <c r="AC110" s="19">
        <f>Z110/Y110</f>
        <v>0.47368421052631576</v>
      </c>
      <c r="AD110" s="15" t="s">
        <v>188</v>
      </c>
      <c r="AE110" s="18">
        <f>AD110/$D110</f>
        <v>1.64</v>
      </c>
      <c r="AF110" s="15" t="s">
        <v>191</v>
      </c>
      <c r="AG110" s="18">
        <f>AF110/$D110</f>
        <v>0.76</v>
      </c>
      <c r="AH110" s="15" t="s">
        <v>204</v>
      </c>
      <c r="AI110" s="18">
        <f>AH110/$D110</f>
        <v>0.88</v>
      </c>
      <c r="AJ110" s="15" t="s">
        <v>243</v>
      </c>
      <c r="AK110" s="18">
        <f>AJ110/$D110</f>
        <v>1</v>
      </c>
      <c r="AL110" s="15" t="s">
        <v>176</v>
      </c>
      <c r="AM110" s="18">
        <f>AL110/$D110</f>
        <v>0.4</v>
      </c>
      <c r="AN110" s="15" t="s">
        <v>193</v>
      </c>
      <c r="AO110" s="18">
        <f>AN110/$D110</f>
        <v>0.12</v>
      </c>
      <c r="AP110" s="15" t="s">
        <v>187</v>
      </c>
      <c r="AQ110" s="18">
        <f>AP110/$D110</f>
        <v>0.28000000000000003</v>
      </c>
      <c r="AR110" s="15" t="s">
        <v>182</v>
      </c>
      <c r="AS110" s="18">
        <f>AR110/$D110</f>
        <v>1.08</v>
      </c>
      <c r="AT110" s="20">
        <v>0.25179286687617131</v>
      </c>
      <c r="AU110" s="20">
        <v>5.5696118018692266E-2</v>
      </c>
      <c r="AV110" s="20">
        <v>0.11750848635307923</v>
      </c>
      <c r="AW110" s="20">
        <v>0.13428438052309205</v>
      </c>
      <c r="AX110" s="20">
        <v>103.88637183283747</v>
      </c>
      <c r="AY110" s="20">
        <v>107.31368840567636</v>
      </c>
      <c r="AZ110" s="20">
        <v>3.9614914733485889</v>
      </c>
      <c r="BA110" s="20">
        <v>3.08</v>
      </c>
      <c r="BB110" s="20">
        <v>17.032258064516128</v>
      </c>
      <c r="BC110" s="21">
        <v>0.41531604538087519</v>
      </c>
      <c r="BD110" s="21">
        <v>0.3902439024390244</v>
      </c>
      <c r="BE110" s="20">
        <v>6.9603597058568774</v>
      </c>
      <c r="BF110" s="21">
        <v>0.46341463414634149</v>
      </c>
      <c r="BG110" s="21">
        <v>0.46341463414634149</v>
      </c>
      <c r="BH110" s="20">
        <v>5.5828440182764689</v>
      </c>
      <c r="BI110" s="20">
        <v>6.464345705372752</v>
      </c>
      <c r="BJ110" s="20">
        <v>5.627404085358112</v>
      </c>
      <c r="BK110" s="20">
        <v>9.2347472757495535</v>
      </c>
      <c r="BL110" s="20">
        <v>3.1159785683421615</v>
      </c>
      <c r="BM110" s="20">
        <v>0.85207302265804186</v>
      </c>
      <c r="BN110" s="20">
        <v>12.42015613910575</v>
      </c>
      <c r="BO110" s="22" t="s">
        <v>263</v>
      </c>
      <c r="BP110" s="22">
        <v>85000</v>
      </c>
    </row>
    <row r="111" spans="1:68" x14ac:dyDescent="0.3">
      <c r="A111" s="16" t="s">
        <v>162</v>
      </c>
      <c r="B111" s="16" t="s">
        <v>255</v>
      </c>
      <c r="C111" s="4" t="s">
        <v>86</v>
      </c>
      <c r="D111" s="10" t="s">
        <v>208</v>
      </c>
      <c r="E111" s="11">
        <v>9</v>
      </c>
      <c r="F111" s="11">
        <v>53</v>
      </c>
      <c r="G111" s="14">
        <v>11866</v>
      </c>
      <c r="H111" s="5" t="s">
        <v>235</v>
      </c>
      <c r="I111" s="18">
        <f>H111/$D111</f>
        <v>1.85</v>
      </c>
      <c r="J111" s="6" t="s">
        <v>179</v>
      </c>
      <c r="K111" s="6" t="s">
        <v>185</v>
      </c>
      <c r="L111" s="18">
        <f>J111/$D111</f>
        <v>2.2000000000000002</v>
      </c>
      <c r="M111" s="18">
        <f>K111/$D111</f>
        <v>0.6</v>
      </c>
      <c r="N111" s="19">
        <f>K111/J111</f>
        <v>0.27272727272727271</v>
      </c>
      <c r="O111" s="14" t="s">
        <v>211</v>
      </c>
      <c r="P111" s="15" t="s">
        <v>194</v>
      </c>
      <c r="Q111" s="18">
        <f>O111/$D111</f>
        <v>0.55000000000000004</v>
      </c>
      <c r="R111" s="18">
        <f>P111/$D111</f>
        <v>0.1</v>
      </c>
      <c r="S111" s="19">
        <f>P111/O111</f>
        <v>0.18181818181818182</v>
      </c>
      <c r="T111" s="15" t="s">
        <v>199</v>
      </c>
      <c r="U111" s="15" t="s">
        <v>176</v>
      </c>
      <c r="V111" s="18">
        <f>T111/$D111</f>
        <v>1.65</v>
      </c>
      <c r="W111" s="18">
        <f>U111/$D111</f>
        <v>0.5</v>
      </c>
      <c r="X111" s="19">
        <f>U111/T111</f>
        <v>0.30303030303030304</v>
      </c>
      <c r="Y111" s="15" t="s">
        <v>229</v>
      </c>
      <c r="Z111" s="15" t="s">
        <v>193</v>
      </c>
      <c r="AA111" s="18">
        <f>Y111/$D111</f>
        <v>0.25</v>
      </c>
      <c r="AB111" s="18">
        <f>Z111/$D111</f>
        <v>0.15</v>
      </c>
      <c r="AC111" s="19">
        <f>Z111/Y111</f>
        <v>0.6</v>
      </c>
      <c r="AD111" s="15" t="s">
        <v>207</v>
      </c>
      <c r="AE111" s="18">
        <f>AD111/$D111</f>
        <v>0.65</v>
      </c>
      <c r="AF111" s="15" t="s">
        <v>184</v>
      </c>
      <c r="AG111" s="18">
        <f>AF111/$D111</f>
        <v>0.2</v>
      </c>
      <c r="AH111" s="15" t="s">
        <v>203</v>
      </c>
      <c r="AI111" s="18">
        <f>AH111/$D111</f>
        <v>0.45</v>
      </c>
      <c r="AJ111" s="15" t="s">
        <v>184</v>
      </c>
      <c r="AK111" s="18">
        <f>AJ111/$D111</f>
        <v>0.2</v>
      </c>
      <c r="AL111" s="15" t="s">
        <v>184</v>
      </c>
      <c r="AM111" s="18">
        <f>AL111/$D111</f>
        <v>0.2</v>
      </c>
      <c r="AN111" s="15" t="s">
        <v>184</v>
      </c>
      <c r="AO111" s="18">
        <f>AN111/$D111</f>
        <v>0.2</v>
      </c>
      <c r="AP111" s="15" t="s">
        <v>226</v>
      </c>
      <c r="AQ111" s="18">
        <f>AP111/$D111</f>
        <v>0.3</v>
      </c>
      <c r="AR111" s="15" t="s">
        <v>204</v>
      </c>
      <c r="AS111" s="18">
        <f>AR111/$D111</f>
        <v>1.1000000000000001</v>
      </c>
      <c r="AT111" s="20">
        <v>-0.2423167673134298</v>
      </c>
      <c r="AU111" s="20">
        <v>-4.9035433520424249E-2</v>
      </c>
      <c r="AV111" s="20">
        <v>-0.2200553779772105</v>
      </c>
      <c r="AW111" s="20">
        <v>-2.2261389336219291E-2</v>
      </c>
      <c r="AX111" s="20">
        <v>80.573377267786256</v>
      </c>
      <c r="AY111" s="20">
        <v>115.09008720341673</v>
      </c>
      <c r="AZ111" s="20">
        <v>0.30911368414179174</v>
      </c>
      <c r="BA111" s="20">
        <v>1.1000000000000001</v>
      </c>
      <c r="BB111" s="20">
        <v>4.4519392917369309</v>
      </c>
      <c r="BC111" s="21">
        <v>0.40043290043290042</v>
      </c>
      <c r="BD111" s="21">
        <v>0.38636363636363635</v>
      </c>
      <c r="BE111" s="20">
        <v>4.7180901942178028</v>
      </c>
      <c r="BF111" s="21">
        <v>0.75</v>
      </c>
      <c r="BG111" s="21">
        <v>0.11363636363636363</v>
      </c>
      <c r="BH111" s="20">
        <v>0.86019501337782456</v>
      </c>
      <c r="BI111" s="20">
        <v>1.9354387801001052</v>
      </c>
      <c r="BJ111" s="20">
        <v>1.3058780837243642</v>
      </c>
      <c r="BK111" s="20">
        <v>1.0571057325962958</v>
      </c>
      <c r="BL111" s="20">
        <v>1.140248481163995</v>
      </c>
      <c r="BM111" s="20">
        <v>0.83147766573038828</v>
      </c>
      <c r="BN111" s="20">
        <v>11.494252873563218</v>
      </c>
      <c r="BO111" s="22" t="s">
        <v>263</v>
      </c>
      <c r="BP111" s="22"/>
    </row>
    <row r="112" spans="1:68" x14ac:dyDescent="0.3">
      <c r="A112" s="16" t="s">
        <v>162</v>
      </c>
      <c r="B112" s="16" t="s">
        <v>255</v>
      </c>
      <c r="C112" s="4" t="s">
        <v>421</v>
      </c>
      <c r="D112" s="5" t="s">
        <v>173</v>
      </c>
      <c r="E112" s="7">
        <v>7</v>
      </c>
      <c r="F112" s="7">
        <v>4</v>
      </c>
      <c r="G112" s="14">
        <v>7214</v>
      </c>
      <c r="H112" s="5" t="s">
        <v>180</v>
      </c>
      <c r="I112" s="18">
        <f>H112/$D112</f>
        <v>1.0588235294117647</v>
      </c>
      <c r="J112" s="6" t="s">
        <v>182</v>
      </c>
      <c r="K112" s="6" t="s">
        <v>189</v>
      </c>
      <c r="L112" s="18">
        <f>J112/$D112</f>
        <v>1.588235294117647</v>
      </c>
      <c r="M112" s="18">
        <f>K112/$D112</f>
        <v>0.47058823529411764</v>
      </c>
      <c r="N112" s="19">
        <f>K112/J112</f>
        <v>0.29629629629629628</v>
      </c>
      <c r="O112" s="14" t="s">
        <v>187</v>
      </c>
      <c r="P112" s="15" t="s">
        <v>226</v>
      </c>
      <c r="Q112" s="18">
        <f>O112/$D112</f>
        <v>0.41176470588235292</v>
      </c>
      <c r="R112" s="18">
        <f>P112/$D112</f>
        <v>0.35294117647058826</v>
      </c>
      <c r="S112" s="19">
        <f>P112/O112</f>
        <v>0.8571428571428571</v>
      </c>
      <c r="T112" s="15" t="s">
        <v>208</v>
      </c>
      <c r="U112" s="15" t="s">
        <v>194</v>
      </c>
      <c r="V112" s="18">
        <f>T112/$D112</f>
        <v>1.1764705882352942</v>
      </c>
      <c r="W112" s="18">
        <f>U112/$D112</f>
        <v>0.11764705882352941</v>
      </c>
      <c r="X112" s="19">
        <f>U112/T112</f>
        <v>0.1</v>
      </c>
      <c r="Y112" s="15" t="s">
        <v>192</v>
      </c>
      <c r="Z112" s="15" t="s">
        <v>192</v>
      </c>
      <c r="AA112" s="18">
        <f>Y112/$D112</f>
        <v>0</v>
      </c>
      <c r="AB112" s="18">
        <f>Z112/$D112</f>
        <v>0</v>
      </c>
      <c r="AC112" s="19" t="e">
        <f>Z112/Y112</f>
        <v>#DIV/0!</v>
      </c>
      <c r="AD112" s="15" t="s">
        <v>211</v>
      </c>
      <c r="AE112" s="18">
        <f>AD112/$D112</f>
        <v>0.6470588235294118</v>
      </c>
      <c r="AF112" s="15" t="s">
        <v>193</v>
      </c>
      <c r="AG112" s="18">
        <f>AF112/$D112</f>
        <v>0.17647058823529413</v>
      </c>
      <c r="AH112" s="15" t="s">
        <v>189</v>
      </c>
      <c r="AI112" s="18">
        <f>AH112/$D112</f>
        <v>0.47058823529411764</v>
      </c>
      <c r="AJ112" s="15" t="s">
        <v>194</v>
      </c>
      <c r="AK112" s="18">
        <f>AJ112/$D112</f>
        <v>0.11764705882352941</v>
      </c>
      <c r="AL112" s="15" t="s">
        <v>193</v>
      </c>
      <c r="AM112" s="18">
        <f>AL112/$D112</f>
        <v>0.17647058823529413</v>
      </c>
      <c r="AN112" s="15" t="s">
        <v>194</v>
      </c>
      <c r="AO112" s="18">
        <f>AN112/$D112</f>
        <v>0.11764705882352941</v>
      </c>
      <c r="AP112" s="15" t="s">
        <v>193</v>
      </c>
      <c r="AQ112" s="18">
        <f>AP112/$D112</f>
        <v>0.17647058823529413</v>
      </c>
      <c r="AR112" s="15" t="s">
        <v>187</v>
      </c>
      <c r="AS112" s="18">
        <f>AR112/$D112</f>
        <v>0.41176470588235292</v>
      </c>
      <c r="AT112" s="20">
        <v>-0.19771935511430846</v>
      </c>
      <c r="AU112" s="20">
        <v>-6.583330358966985E-2</v>
      </c>
      <c r="AV112" s="20">
        <v>-0.20021663195863143</v>
      </c>
      <c r="AW112" s="20">
        <v>2.4972768443229641E-3</v>
      </c>
      <c r="AX112" s="20">
        <v>70.970810971244234</v>
      </c>
      <c r="AY112" s="20">
        <v>113.87700479823243</v>
      </c>
      <c r="AZ112" s="20">
        <v>0.4918299916085182</v>
      </c>
      <c r="BA112" s="20">
        <v>0.82352941176470584</v>
      </c>
      <c r="BB112" s="20">
        <v>4.6614872364039952</v>
      </c>
      <c r="BC112" s="21">
        <v>0.33333333333333331</v>
      </c>
      <c r="BD112" s="21">
        <v>0.33333333333333331</v>
      </c>
      <c r="BE112" s="20">
        <v>3.7923274305616421</v>
      </c>
      <c r="BF112" s="21">
        <v>0.7407407407407407</v>
      </c>
      <c r="BG112" s="21">
        <v>0</v>
      </c>
      <c r="BH112" s="20">
        <v>0.90229182122591389</v>
      </c>
      <c r="BI112" s="20">
        <v>2.4061115232691033</v>
      </c>
      <c r="BJ112" s="20">
        <v>1.5453996262942722</v>
      </c>
      <c r="BK112" s="20">
        <v>0.73764445537251044</v>
      </c>
      <c r="BL112" s="20">
        <v>1.4071185127571777</v>
      </c>
      <c r="BM112" s="20">
        <v>0.58144605634212287</v>
      </c>
      <c r="BN112" s="20">
        <v>10</v>
      </c>
      <c r="BO112" s="22" t="s">
        <v>263</v>
      </c>
      <c r="BP112" s="22">
        <v>80000</v>
      </c>
    </row>
    <row r="113" spans="1:68" x14ac:dyDescent="0.3">
      <c r="A113" s="16" t="s">
        <v>162</v>
      </c>
      <c r="B113" s="16" t="s">
        <v>255</v>
      </c>
      <c r="C113" s="4" t="s">
        <v>167</v>
      </c>
      <c r="D113" s="5" t="s">
        <v>226</v>
      </c>
      <c r="E113" s="7">
        <v>2</v>
      </c>
      <c r="F113" s="7">
        <v>17</v>
      </c>
      <c r="G113" s="14">
        <v>821</v>
      </c>
      <c r="H113" s="5" t="s">
        <v>229</v>
      </c>
      <c r="I113" s="18">
        <f>H113/$D113</f>
        <v>0.83333333333333337</v>
      </c>
      <c r="J113" s="6" t="s">
        <v>193</v>
      </c>
      <c r="K113" s="6" t="s">
        <v>194</v>
      </c>
      <c r="L113" s="18">
        <f>J113/$D113</f>
        <v>0.5</v>
      </c>
      <c r="M113" s="18">
        <f>K113/$D113</f>
        <v>0.33333333333333331</v>
      </c>
      <c r="N113" s="19">
        <f>K113/J113</f>
        <v>0.66666666666666663</v>
      </c>
      <c r="O113" s="14" t="s">
        <v>194</v>
      </c>
      <c r="P113" s="15" t="s">
        <v>231</v>
      </c>
      <c r="Q113" s="18">
        <f>O113/$D113</f>
        <v>0.33333333333333331</v>
      </c>
      <c r="R113" s="18">
        <f>P113/$D113</f>
        <v>0.16666666666666666</v>
      </c>
      <c r="S113" s="19">
        <f>P113/O113</f>
        <v>0.5</v>
      </c>
      <c r="T113" s="15" t="s">
        <v>231</v>
      </c>
      <c r="U113" s="15" t="s">
        <v>231</v>
      </c>
      <c r="V113" s="18">
        <f>T113/$D113</f>
        <v>0.16666666666666666</v>
      </c>
      <c r="W113" s="18">
        <f>U113/$D113</f>
        <v>0.16666666666666666</v>
      </c>
      <c r="X113" s="19">
        <f>U113/T113</f>
        <v>1</v>
      </c>
      <c r="Y113" s="15" t="s">
        <v>192</v>
      </c>
      <c r="Z113" s="15" t="s">
        <v>192</v>
      </c>
      <c r="AA113" s="18">
        <f>Y113/$D113</f>
        <v>0</v>
      </c>
      <c r="AB113" s="18">
        <f>Z113/$D113</f>
        <v>0</v>
      </c>
      <c r="AC113" s="19" t="e">
        <f>Z113/Y113</f>
        <v>#DIV/0!</v>
      </c>
      <c r="AD113" s="15" t="s">
        <v>192</v>
      </c>
      <c r="AE113" s="18">
        <f>AD113/$D113</f>
        <v>0</v>
      </c>
      <c r="AF113" s="15" t="s">
        <v>192</v>
      </c>
      <c r="AG113" s="18">
        <f>AF113/$D113</f>
        <v>0</v>
      </c>
      <c r="AH113" s="15" t="s">
        <v>192</v>
      </c>
      <c r="AI113" s="18">
        <f>AH113/$D113</f>
        <v>0</v>
      </c>
      <c r="AJ113" s="15" t="s">
        <v>192</v>
      </c>
      <c r="AK113" s="18">
        <f>AJ113/$D113</f>
        <v>0</v>
      </c>
      <c r="AL113" s="15" t="s">
        <v>192</v>
      </c>
      <c r="AM113" s="18">
        <f>AL113/$D113</f>
        <v>0</v>
      </c>
      <c r="AN113" s="15" t="s">
        <v>192</v>
      </c>
      <c r="AO113" s="18">
        <f>AN113/$D113</f>
        <v>0</v>
      </c>
      <c r="AP113" s="15" t="s">
        <v>194</v>
      </c>
      <c r="AQ113" s="18">
        <f>AP113/$D113</f>
        <v>0.33333333333333331</v>
      </c>
      <c r="AR113" s="15" t="s">
        <v>193</v>
      </c>
      <c r="AS113" s="18">
        <f>AR113/$D113</f>
        <v>0.5</v>
      </c>
      <c r="AT113" s="20">
        <v>-3.0349233959607064E-2</v>
      </c>
      <c r="AU113" s="20">
        <v>-8.8610902071845438E-2</v>
      </c>
      <c r="AV113" s="20">
        <v>-2.067189170201721E-2</v>
      </c>
      <c r="AW113" s="20">
        <v>-9.6773422575898559E-3</v>
      </c>
      <c r="AX113" s="20">
        <v>80.408596548459244</v>
      </c>
      <c r="AY113" s="20">
        <v>120.48909601211034</v>
      </c>
      <c r="AZ113" s="20">
        <v>-8.6788515383652717E-2</v>
      </c>
      <c r="BA113" s="20">
        <v>0.33333333333333331</v>
      </c>
      <c r="BB113" s="20">
        <v>5.8394160583941614</v>
      </c>
      <c r="BC113" s="21">
        <v>0.83333333333333337</v>
      </c>
      <c r="BD113" s="21">
        <v>0.83333333333333337</v>
      </c>
      <c r="BE113" s="20">
        <v>1.9561396965427449</v>
      </c>
      <c r="BF113" s="21">
        <v>0.33333333333333331</v>
      </c>
      <c r="BG113" s="21">
        <v>0</v>
      </c>
      <c r="BH113" s="20">
        <v>0</v>
      </c>
      <c r="BI113" s="20">
        <v>0</v>
      </c>
      <c r="BJ113" s="20">
        <v>0</v>
      </c>
      <c r="BK113" s="20">
        <v>0</v>
      </c>
      <c r="BL113" s="20">
        <v>0</v>
      </c>
      <c r="BM113" s="20">
        <v>0</v>
      </c>
      <c r="BN113" s="20">
        <v>40</v>
      </c>
      <c r="BO113" s="22" t="s">
        <v>263</v>
      </c>
      <c r="BP113" s="22">
        <v>75000</v>
      </c>
    </row>
    <row r="114" spans="1:68" x14ac:dyDescent="0.3">
      <c r="A114" s="16" t="s">
        <v>162</v>
      </c>
      <c r="B114" s="16" t="s">
        <v>255</v>
      </c>
      <c r="C114" s="4" t="s">
        <v>160</v>
      </c>
      <c r="D114" s="5" t="s">
        <v>193</v>
      </c>
      <c r="E114" s="7">
        <v>0</v>
      </c>
      <c r="F114" s="7">
        <v>43</v>
      </c>
      <c r="G114" s="14">
        <v>130</v>
      </c>
      <c r="H114" s="5" t="s">
        <v>192</v>
      </c>
      <c r="I114" s="18">
        <f>H114/$D114</f>
        <v>0</v>
      </c>
      <c r="J114" s="6" t="s">
        <v>192</v>
      </c>
      <c r="K114" s="6" t="s">
        <v>192</v>
      </c>
      <c r="L114" s="18">
        <f>J114/$D114</f>
        <v>0</v>
      </c>
      <c r="M114" s="18">
        <f>K114/$D114</f>
        <v>0</v>
      </c>
      <c r="N114" s="19" t="e">
        <f>K114/J114</f>
        <v>#DIV/0!</v>
      </c>
      <c r="O114" s="14" t="s">
        <v>192</v>
      </c>
      <c r="P114" s="15" t="s">
        <v>192</v>
      </c>
      <c r="Q114" s="18">
        <f>O114/$D114</f>
        <v>0</v>
      </c>
      <c r="R114" s="18">
        <f>P114/$D114</f>
        <v>0</v>
      </c>
      <c r="S114" s="19" t="e">
        <f>P114/O114</f>
        <v>#DIV/0!</v>
      </c>
      <c r="T114" s="15" t="s">
        <v>192</v>
      </c>
      <c r="U114" s="15" t="s">
        <v>192</v>
      </c>
      <c r="V114" s="18">
        <f>T114/$D114</f>
        <v>0</v>
      </c>
      <c r="W114" s="18">
        <f>U114/$D114</f>
        <v>0</v>
      </c>
      <c r="X114" s="19" t="e">
        <f>U114/T114</f>
        <v>#DIV/0!</v>
      </c>
      <c r="Y114" s="15" t="s">
        <v>192</v>
      </c>
      <c r="Z114" s="15" t="s">
        <v>192</v>
      </c>
      <c r="AA114" s="18">
        <f>Y114/$D114</f>
        <v>0</v>
      </c>
      <c r="AB114" s="18">
        <f>Z114/$D114</f>
        <v>0</v>
      </c>
      <c r="AC114" s="19" t="e">
        <f>Z114/Y114</f>
        <v>#DIV/0!</v>
      </c>
      <c r="AD114" s="15" t="s">
        <v>192</v>
      </c>
      <c r="AE114" s="18">
        <f>AD114/$D114</f>
        <v>0</v>
      </c>
      <c r="AF114" s="15" t="s">
        <v>192</v>
      </c>
      <c r="AG114" s="18">
        <f>AF114/$D114</f>
        <v>0</v>
      </c>
      <c r="AH114" s="15" t="s">
        <v>192</v>
      </c>
      <c r="AI114" s="18">
        <f>AH114/$D114</f>
        <v>0</v>
      </c>
      <c r="AJ114" s="15" t="s">
        <v>192</v>
      </c>
      <c r="AK114" s="18">
        <f>AJ114/$D114</f>
        <v>0</v>
      </c>
      <c r="AL114" s="15" t="s">
        <v>192</v>
      </c>
      <c r="AM114" s="18">
        <f>AL114/$D114</f>
        <v>0</v>
      </c>
      <c r="AN114" s="15" t="s">
        <v>192</v>
      </c>
      <c r="AO114" s="18">
        <f>AN114/$D114</f>
        <v>0</v>
      </c>
      <c r="AP114" s="15" t="s">
        <v>192</v>
      </c>
      <c r="AQ114" s="18">
        <f>AP114/$D114</f>
        <v>0</v>
      </c>
      <c r="AR114" s="15" t="s">
        <v>231</v>
      </c>
      <c r="AS114" s="18">
        <f>AR114/$D114</f>
        <v>0.33333333333333331</v>
      </c>
      <c r="AT114" s="20">
        <v>-1.3593278372554614E-3</v>
      </c>
      <c r="AU114" s="20">
        <v>-2.5289820228008582E-2</v>
      </c>
      <c r="AV114" s="20">
        <v>0</v>
      </c>
      <c r="AW114" s="20">
        <v>-1.3593278372554614E-3</v>
      </c>
      <c r="AX114" s="20">
        <v>0</v>
      </c>
      <c r="AY114" s="20">
        <v>119.81503345939002</v>
      </c>
      <c r="AZ114" s="20">
        <v>-0.60168519253195374</v>
      </c>
      <c r="BA114" s="20">
        <v>0</v>
      </c>
      <c r="BB114" s="20">
        <v>0</v>
      </c>
      <c r="BC114" s="21"/>
      <c r="BD114" s="21"/>
      <c r="BE114" s="20">
        <v>0</v>
      </c>
      <c r="BF114" s="21"/>
      <c r="BG114" s="21"/>
      <c r="BH114" s="20">
        <v>0</v>
      </c>
      <c r="BI114" s="20">
        <v>0</v>
      </c>
      <c r="BJ114" s="20">
        <v>0</v>
      </c>
      <c r="BK114" s="20">
        <v>0</v>
      </c>
      <c r="BL114" s="20">
        <v>0</v>
      </c>
      <c r="BM114" s="20">
        <v>0</v>
      </c>
      <c r="BN114" s="20"/>
      <c r="BO114" s="22" t="s">
        <v>263</v>
      </c>
      <c r="BP114" s="22">
        <v>60000</v>
      </c>
    </row>
    <row r="115" spans="1:68" x14ac:dyDescent="0.3">
      <c r="A115" s="16" t="s">
        <v>162</v>
      </c>
      <c r="B115" s="16" t="s">
        <v>255</v>
      </c>
      <c r="C115" s="4" t="s">
        <v>438</v>
      </c>
      <c r="D115" s="5" t="s">
        <v>194</v>
      </c>
      <c r="E115" s="7">
        <v>2</v>
      </c>
      <c r="F115" s="7">
        <v>49</v>
      </c>
      <c r="G115" s="14">
        <v>338</v>
      </c>
      <c r="H115" s="5" t="s">
        <v>192</v>
      </c>
      <c r="I115" s="18">
        <f>H115/$D115</f>
        <v>0</v>
      </c>
      <c r="J115" s="6" t="s">
        <v>192</v>
      </c>
      <c r="K115" s="6" t="s">
        <v>192</v>
      </c>
      <c r="L115" s="18">
        <f>J115/$D115</f>
        <v>0</v>
      </c>
      <c r="M115" s="18">
        <f>K115/$D115</f>
        <v>0</v>
      </c>
      <c r="N115" s="19" t="e">
        <f>K115/J115</f>
        <v>#DIV/0!</v>
      </c>
      <c r="O115" s="14" t="s">
        <v>192</v>
      </c>
      <c r="P115" s="15" t="s">
        <v>192</v>
      </c>
      <c r="Q115" s="18">
        <f>O115/$D115</f>
        <v>0</v>
      </c>
      <c r="R115" s="18">
        <f>P115/$D115</f>
        <v>0</v>
      </c>
      <c r="S115" s="19" t="e">
        <f>P115/O115</f>
        <v>#DIV/0!</v>
      </c>
      <c r="T115" s="15" t="s">
        <v>192</v>
      </c>
      <c r="U115" s="15" t="s">
        <v>192</v>
      </c>
      <c r="V115" s="18">
        <f>T115/$D115</f>
        <v>0</v>
      </c>
      <c r="W115" s="18">
        <f>U115/$D115</f>
        <v>0</v>
      </c>
      <c r="X115" s="19" t="e">
        <f>U115/T115</f>
        <v>#DIV/0!</v>
      </c>
      <c r="Y115" s="15" t="s">
        <v>192</v>
      </c>
      <c r="Z115" s="15" t="s">
        <v>192</v>
      </c>
      <c r="AA115" s="18">
        <f>Y115/$D115</f>
        <v>0</v>
      </c>
      <c r="AB115" s="18">
        <f>Z115/$D115</f>
        <v>0</v>
      </c>
      <c r="AC115" s="19" t="e">
        <f>Z115/Y115</f>
        <v>#DIV/0!</v>
      </c>
      <c r="AD115" s="15" t="s">
        <v>231</v>
      </c>
      <c r="AE115" s="18">
        <f>AD115/$D115</f>
        <v>0.5</v>
      </c>
      <c r="AF115" s="15" t="s">
        <v>192</v>
      </c>
      <c r="AG115" s="18">
        <f>AF115/$D115</f>
        <v>0</v>
      </c>
      <c r="AH115" s="15" t="s">
        <v>231</v>
      </c>
      <c r="AI115" s="18">
        <f>AH115/$D115</f>
        <v>0.5</v>
      </c>
      <c r="AJ115" s="15" t="s">
        <v>192</v>
      </c>
      <c r="AK115" s="18">
        <f>AJ115/$D115</f>
        <v>0</v>
      </c>
      <c r="AL115" s="15" t="s">
        <v>192</v>
      </c>
      <c r="AM115" s="18">
        <f>AL115/$D115</f>
        <v>0</v>
      </c>
      <c r="AN115" s="15" t="s">
        <v>192</v>
      </c>
      <c r="AO115" s="18">
        <f>AN115/$D115</f>
        <v>0</v>
      </c>
      <c r="AP115" s="15" t="s">
        <v>192</v>
      </c>
      <c r="AQ115" s="18">
        <f>AP115/$D115</f>
        <v>0</v>
      </c>
      <c r="AR115" s="15" t="s">
        <v>192</v>
      </c>
      <c r="AS115" s="18">
        <f>AR115/$D115</f>
        <v>0</v>
      </c>
      <c r="AT115" s="20">
        <v>6.221270175339117E-4</v>
      </c>
      <c r="AU115" s="20">
        <v>4.417469946986355E-3</v>
      </c>
      <c r="AV115" s="20">
        <v>0</v>
      </c>
      <c r="AW115" s="20">
        <v>6.221270175339117E-4</v>
      </c>
      <c r="AX115" s="20">
        <v>0</v>
      </c>
      <c r="AY115" s="20">
        <v>113.06182468884066</v>
      </c>
      <c r="AZ115" s="20">
        <v>8.5290110231624083E-2</v>
      </c>
      <c r="BA115" s="20">
        <v>0.5</v>
      </c>
      <c r="BB115" s="20">
        <v>7.1005917159763312</v>
      </c>
      <c r="BC115" s="21"/>
      <c r="BD115" s="21"/>
      <c r="BE115" s="20">
        <v>0</v>
      </c>
      <c r="BF115" s="21"/>
      <c r="BG115" s="21"/>
      <c r="BH115" s="20">
        <v>0</v>
      </c>
      <c r="BI115" s="20">
        <v>0.75457935345125737</v>
      </c>
      <c r="BJ115" s="20">
        <v>0.35247414822419121</v>
      </c>
      <c r="BK115" s="20">
        <v>0</v>
      </c>
      <c r="BL115" s="20">
        <v>0</v>
      </c>
      <c r="BM115" s="20">
        <v>0</v>
      </c>
      <c r="BN115" s="20"/>
      <c r="BO115" s="22" t="s">
        <v>263</v>
      </c>
      <c r="BP115" s="22"/>
    </row>
    <row r="116" spans="1:68" x14ac:dyDescent="0.3">
      <c r="A116" s="16" t="s">
        <v>162</v>
      </c>
      <c r="B116" s="16" t="s">
        <v>255</v>
      </c>
      <c r="C116" s="4" t="s">
        <v>84</v>
      </c>
      <c r="D116" s="5" t="s">
        <v>189</v>
      </c>
      <c r="E116" s="7">
        <v>1</v>
      </c>
      <c r="F116" s="7">
        <v>48</v>
      </c>
      <c r="G116" s="14">
        <v>865</v>
      </c>
      <c r="H116" s="5" t="s">
        <v>192</v>
      </c>
      <c r="I116" s="18">
        <f>H116/$D116</f>
        <v>0</v>
      </c>
      <c r="J116" s="6" t="s">
        <v>194</v>
      </c>
      <c r="K116" s="6" t="s">
        <v>192</v>
      </c>
      <c r="L116" s="18">
        <f>J116/$D116</f>
        <v>0.25</v>
      </c>
      <c r="M116" s="18">
        <f>K116/$D116</f>
        <v>0</v>
      </c>
      <c r="N116" s="19">
        <f>K116/J116</f>
        <v>0</v>
      </c>
      <c r="O116" s="14" t="s">
        <v>231</v>
      </c>
      <c r="P116" s="15" t="s">
        <v>192</v>
      </c>
      <c r="Q116" s="18">
        <f>O116/$D116</f>
        <v>0.125</v>
      </c>
      <c r="R116" s="18">
        <f>P116/$D116</f>
        <v>0</v>
      </c>
      <c r="S116" s="19">
        <f>P116/O116</f>
        <v>0</v>
      </c>
      <c r="T116" s="15" t="s">
        <v>231</v>
      </c>
      <c r="U116" s="15" t="s">
        <v>192</v>
      </c>
      <c r="V116" s="18">
        <f>T116/$D116</f>
        <v>0.125</v>
      </c>
      <c r="W116" s="18">
        <f>U116/$D116</f>
        <v>0</v>
      </c>
      <c r="X116" s="19">
        <f>U116/T116</f>
        <v>0</v>
      </c>
      <c r="Y116" s="15" t="s">
        <v>192</v>
      </c>
      <c r="Z116" s="15" t="s">
        <v>192</v>
      </c>
      <c r="AA116" s="18">
        <f>Y116/$D116</f>
        <v>0</v>
      </c>
      <c r="AB116" s="18">
        <f>Z116/$D116</f>
        <v>0</v>
      </c>
      <c r="AC116" s="19" t="e">
        <f>Z116/Y116</f>
        <v>#DIV/0!</v>
      </c>
      <c r="AD116" s="15" t="s">
        <v>193</v>
      </c>
      <c r="AE116" s="18">
        <f>AD116/$D116</f>
        <v>0.375</v>
      </c>
      <c r="AF116" s="15" t="s">
        <v>192</v>
      </c>
      <c r="AG116" s="18">
        <f>AF116/$D116</f>
        <v>0</v>
      </c>
      <c r="AH116" s="15" t="s">
        <v>193</v>
      </c>
      <c r="AI116" s="18">
        <f>AH116/$D116</f>
        <v>0.375</v>
      </c>
      <c r="AJ116" s="15" t="s">
        <v>192</v>
      </c>
      <c r="AK116" s="18">
        <f>AJ116/$D116</f>
        <v>0</v>
      </c>
      <c r="AL116" s="15" t="s">
        <v>192</v>
      </c>
      <c r="AM116" s="18">
        <f>AL116/$D116</f>
        <v>0</v>
      </c>
      <c r="AN116" s="15" t="s">
        <v>192</v>
      </c>
      <c r="AO116" s="18">
        <f>AN116/$D116</f>
        <v>0</v>
      </c>
      <c r="AP116" s="15" t="s">
        <v>192</v>
      </c>
      <c r="AQ116" s="18">
        <f>AP116/$D116</f>
        <v>0</v>
      </c>
      <c r="AR116" s="15" t="s">
        <v>192</v>
      </c>
      <c r="AS116" s="18">
        <f>AR116/$D116</f>
        <v>0</v>
      </c>
      <c r="AT116" s="20">
        <v>-4.0114878349807342E-2</v>
      </c>
      <c r="AU116" s="20">
        <v>-0.11143021763835373</v>
      </c>
      <c r="AV116" s="20">
        <v>-4.3912072763037831E-2</v>
      </c>
      <c r="AW116" s="20">
        <v>3.7971944132304892E-3</v>
      </c>
      <c r="AX116" s="20">
        <v>0</v>
      </c>
      <c r="AY116" s="20">
        <v>111.66825618887057</v>
      </c>
      <c r="AZ116" s="20">
        <v>-0.24081878729094824</v>
      </c>
      <c r="BA116" s="20">
        <v>0.125</v>
      </c>
      <c r="BB116" s="20">
        <v>2.7777777777777777</v>
      </c>
      <c r="BC116" s="21">
        <v>0</v>
      </c>
      <c r="BD116" s="21">
        <v>0</v>
      </c>
      <c r="BE116" s="20">
        <v>0.99255977194946687</v>
      </c>
      <c r="BF116" s="21">
        <v>0.5</v>
      </c>
      <c r="BG116" s="21">
        <v>0</v>
      </c>
      <c r="BH116" s="20">
        <v>0</v>
      </c>
      <c r="BI116" s="20">
        <v>3.5423308537017353</v>
      </c>
      <c r="BJ116" s="20">
        <v>1.654670306941342</v>
      </c>
      <c r="BK116" s="20">
        <v>0</v>
      </c>
      <c r="BL116" s="20">
        <v>0</v>
      </c>
      <c r="BM116" s="20">
        <v>0</v>
      </c>
      <c r="BN116" s="20">
        <v>0</v>
      </c>
      <c r="BO116" s="22" t="s">
        <v>263</v>
      </c>
      <c r="BP116" s="22"/>
    </row>
    <row r="117" spans="1:68" x14ac:dyDescent="0.3">
      <c r="A117" s="16" t="s">
        <v>162</v>
      </c>
      <c r="B117" s="16" t="s">
        <v>283</v>
      </c>
      <c r="C117" s="16" t="s">
        <v>252</v>
      </c>
      <c r="D117" s="15" t="s">
        <v>230</v>
      </c>
      <c r="E117" s="15">
        <v>25</v>
      </c>
      <c r="F117" s="15">
        <v>13</v>
      </c>
      <c r="G117" s="14">
        <v>80171</v>
      </c>
      <c r="H117" s="8" t="s">
        <v>284</v>
      </c>
      <c r="I117" s="18">
        <f>H117/$D117</f>
        <v>16.169811320754718</v>
      </c>
      <c r="J117" s="6" t="s">
        <v>461</v>
      </c>
      <c r="K117" s="6" t="s">
        <v>462</v>
      </c>
      <c r="L117" s="18">
        <f>J117/$D117</f>
        <v>15.415094339622641</v>
      </c>
      <c r="M117" s="18">
        <f>K117/$D117</f>
        <v>6.2264150943396226</v>
      </c>
      <c r="N117" s="19">
        <f>K117/J117</f>
        <v>0.40391676866585069</v>
      </c>
      <c r="O117" s="12" t="s">
        <v>586</v>
      </c>
      <c r="P117" s="5" t="s">
        <v>540</v>
      </c>
      <c r="Q117" s="18">
        <f>O117/$D117</f>
        <v>9.584905660377359</v>
      </c>
      <c r="R117" s="18">
        <f>P117/$D117</f>
        <v>4.4528301886792452</v>
      </c>
      <c r="S117" s="19">
        <f>P117/O117</f>
        <v>0.46456692913385828</v>
      </c>
      <c r="T117" s="12" t="s">
        <v>507</v>
      </c>
      <c r="U117" s="6" t="s">
        <v>523</v>
      </c>
      <c r="V117" s="18">
        <f>T117/$D117</f>
        <v>5.8301886792452828</v>
      </c>
      <c r="W117" s="18">
        <f>U117/$D117</f>
        <v>1.7735849056603774</v>
      </c>
      <c r="X117" s="19">
        <f>U117/T117</f>
        <v>0.30420711974110032</v>
      </c>
      <c r="Y117" s="5" t="s">
        <v>560</v>
      </c>
      <c r="Z117" s="5" t="s">
        <v>601</v>
      </c>
      <c r="AA117" s="18">
        <f>Y117/$D117</f>
        <v>2.9056603773584904</v>
      </c>
      <c r="AB117" s="18">
        <f>Z117/$D117</f>
        <v>1.9433962264150944</v>
      </c>
      <c r="AC117" s="19">
        <f>Z117/Y117</f>
        <v>0.66883116883116878</v>
      </c>
      <c r="AD117" s="15" t="s">
        <v>590</v>
      </c>
      <c r="AE117" s="18">
        <f>AD117/$D117</f>
        <v>6.716981132075472</v>
      </c>
      <c r="AF117" s="15" t="s">
        <v>537</v>
      </c>
      <c r="AG117" s="18">
        <f>AF117/$D117</f>
        <v>1.4905660377358489</v>
      </c>
      <c r="AH117" s="8" t="s">
        <v>666</v>
      </c>
      <c r="AI117" s="18">
        <f>AH117/$D117</f>
        <v>5.2264150943396226</v>
      </c>
      <c r="AJ117" s="8" t="s">
        <v>522</v>
      </c>
      <c r="AK117" s="18">
        <f>AJ117/$D117</f>
        <v>2.2641509433962264</v>
      </c>
      <c r="AL117" s="8" t="s">
        <v>217</v>
      </c>
      <c r="AM117" s="18">
        <f>AL117/$D117</f>
        <v>1.0943396226415094</v>
      </c>
      <c r="AN117" s="8" t="s">
        <v>202</v>
      </c>
      <c r="AO117" s="18">
        <f>AN117/$D117</f>
        <v>0.56603773584905659</v>
      </c>
      <c r="AP117" s="12" t="s">
        <v>624</v>
      </c>
      <c r="AQ117" s="18">
        <f>AP117/$D117</f>
        <v>2.1886792452830188</v>
      </c>
      <c r="AR117" s="12" t="s">
        <v>502</v>
      </c>
      <c r="AS117" s="18">
        <f>AR117/$D117</f>
        <v>2.5283018867924527</v>
      </c>
      <c r="AT117" s="20">
        <v>1.7508034046518777</v>
      </c>
      <c r="AU117" s="20">
        <v>5.2400306415649356E-2</v>
      </c>
      <c r="AV117" s="20">
        <v>-0.79126479016356921</v>
      </c>
      <c r="AW117" s="20">
        <v>2.5420681948154469</v>
      </c>
      <c r="AX117" s="20">
        <v>94.193541993182961</v>
      </c>
      <c r="AY117" s="20">
        <v>97.063580741306737</v>
      </c>
      <c r="AZ117" s="20">
        <v>13.275982581309535</v>
      </c>
      <c r="BA117" s="20">
        <v>14.471698113207546</v>
      </c>
      <c r="BB117" s="20">
        <v>22.95576700046141</v>
      </c>
      <c r="BC117" s="21">
        <v>0.48431212984312133</v>
      </c>
      <c r="BD117" s="21">
        <v>0.46144430844553241</v>
      </c>
      <c r="BE117" s="20">
        <v>35.452057064317259</v>
      </c>
      <c r="BF117" s="21">
        <v>0.37821297429620565</v>
      </c>
      <c r="BG117" s="21">
        <v>0.18849449204406366</v>
      </c>
      <c r="BH117" s="20">
        <v>6.6585518492582523</v>
      </c>
      <c r="BI117" s="20">
        <v>23.347074205627038</v>
      </c>
      <c r="BJ117" s="20">
        <v>14.016030835267838</v>
      </c>
      <c r="BK117" s="20">
        <v>18.016440001501373</v>
      </c>
      <c r="BL117" s="20">
        <v>2.4453295502596641</v>
      </c>
      <c r="BM117" s="20">
        <v>2.444148657194912</v>
      </c>
      <c r="BN117" s="20">
        <v>11.591190695071745</v>
      </c>
      <c r="BO117" s="22" t="s">
        <v>265</v>
      </c>
      <c r="BP117" s="22">
        <v>500000</v>
      </c>
    </row>
    <row r="118" spans="1:68" x14ac:dyDescent="0.3">
      <c r="A118" s="16" t="s">
        <v>162</v>
      </c>
      <c r="B118" s="16" t="s">
        <v>283</v>
      </c>
      <c r="C118" s="4" t="s">
        <v>149</v>
      </c>
      <c r="D118" s="5" t="s">
        <v>190</v>
      </c>
      <c r="E118" s="7">
        <v>27</v>
      </c>
      <c r="F118" s="7">
        <v>9</v>
      </c>
      <c r="G118" s="14">
        <v>76555</v>
      </c>
      <c r="H118" s="5" t="s">
        <v>300</v>
      </c>
      <c r="I118" s="18">
        <f>H118/$D118</f>
        <v>11.404255319148936</v>
      </c>
      <c r="J118" s="6" t="s">
        <v>484</v>
      </c>
      <c r="K118" s="6" t="s">
        <v>479</v>
      </c>
      <c r="L118" s="18">
        <f>J118/$D118</f>
        <v>9.3191489361702136</v>
      </c>
      <c r="M118" s="18">
        <f>K118/$D118</f>
        <v>4.2978723404255321</v>
      </c>
      <c r="N118" s="19">
        <f>K118/J118</f>
        <v>0.46118721461187212</v>
      </c>
      <c r="O118" s="14" t="s">
        <v>335</v>
      </c>
      <c r="P118" s="15" t="s">
        <v>506</v>
      </c>
      <c r="Q118" s="18">
        <f>O118/$D118</f>
        <v>6.0212765957446805</v>
      </c>
      <c r="R118" s="18">
        <f>P118/$D118</f>
        <v>3.2553191489361701</v>
      </c>
      <c r="S118" s="19">
        <f>P118/O118</f>
        <v>0.54063604240282681</v>
      </c>
      <c r="T118" s="15" t="s">
        <v>629</v>
      </c>
      <c r="U118" s="15" t="s">
        <v>232</v>
      </c>
      <c r="V118" s="18">
        <f>T118/$D118</f>
        <v>3.2978723404255321</v>
      </c>
      <c r="W118" s="18">
        <f>U118/$D118</f>
        <v>1.0425531914893618</v>
      </c>
      <c r="X118" s="19">
        <f>U118/T118</f>
        <v>0.31612903225806449</v>
      </c>
      <c r="Y118" s="15" t="s">
        <v>565</v>
      </c>
      <c r="Z118" s="15" t="s">
        <v>539</v>
      </c>
      <c r="AA118" s="18">
        <f>Y118/$D118</f>
        <v>2.3191489361702127</v>
      </c>
      <c r="AB118" s="18">
        <f>Z118/$D118</f>
        <v>1.7659574468085106</v>
      </c>
      <c r="AC118" s="19">
        <f>Z118/Y118</f>
        <v>0.76146788990825687</v>
      </c>
      <c r="AD118" s="15" t="s">
        <v>489</v>
      </c>
      <c r="AE118" s="18">
        <f>AD118/$D118</f>
        <v>3.7659574468085109</v>
      </c>
      <c r="AF118" s="15" t="s">
        <v>232</v>
      </c>
      <c r="AG118" s="18">
        <f>AF118/$D118</f>
        <v>1.0425531914893618</v>
      </c>
      <c r="AH118" s="15" t="s">
        <v>564</v>
      </c>
      <c r="AI118" s="18">
        <f>AH118/$D118</f>
        <v>2.7234042553191489</v>
      </c>
      <c r="AJ118" s="15" t="s">
        <v>674</v>
      </c>
      <c r="AK118" s="18">
        <f>AJ118/$D118</f>
        <v>4.5531914893617023</v>
      </c>
      <c r="AL118" s="15" t="s">
        <v>233</v>
      </c>
      <c r="AM118" s="18">
        <f>AL118/$D118</f>
        <v>1.0851063829787233</v>
      </c>
      <c r="AN118" s="15" t="s">
        <v>189</v>
      </c>
      <c r="AO118" s="18">
        <f>AN118/$D118</f>
        <v>0.1702127659574468</v>
      </c>
      <c r="AP118" s="15" t="s">
        <v>556</v>
      </c>
      <c r="AQ118" s="18">
        <f>AP118/$D118</f>
        <v>1.3404255319148937</v>
      </c>
      <c r="AR118" s="15" t="s">
        <v>516</v>
      </c>
      <c r="AS118" s="18">
        <f>AR118/$D118</f>
        <v>2.4255319148936172</v>
      </c>
      <c r="AT118" s="20">
        <v>4.4675251021671976</v>
      </c>
      <c r="AU118" s="20">
        <v>0.14004232129359187</v>
      </c>
      <c r="AV118" s="20">
        <v>2.8554325217145955</v>
      </c>
      <c r="AW118" s="20">
        <v>1.6120925804526016</v>
      </c>
      <c r="AX118" s="20">
        <v>115.18073789262087</v>
      </c>
      <c r="AY118" s="20">
        <v>102.77300790243946</v>
      </c>
      <c r="AZ118" s="20">
        <v>11.428914471147936</v>
      </c>
      <c r="BA118" s="20">
        <v>14.063829787234043</v>
      </c>
      <c r="BB118" s="20">
        <v>20.720191215077783</v>
      </c>
      <c r="BC118" s="21">
        <v>0.55148571898921728</v>
      </c>
      <c r="BD118" s="21">
        <v>0.51712328767123283</v>
      </c>
      <c r="BE118" s="20">
        <v>18.062174996995999</v>
      </c>
      <c r="BF118" s="21">
        <v>0.35388127853881279</v>
      </c>
      <c r="BG118" s="21">
        <v>0.24885844748858446</v>
      </c>
      <c r="BH118" s="20">
        <v>3.8358941841190068</v>
      </c>
      <c r="BI118" s="20">
        <v>10.020295011576181</v>
      </c>
      <c r="BJ118" s="20">
        <v>6.4724120293617133</v>
      </c>
      <c r="BK118" s="20">
        <v>24.585690898124479</v>
      </c>
      <c r="BL118" s="20">
        <v>2.2520365461020795</v>
      </c>
      <c r="BM118" s="20">
        <v>0.60536065780002479</v>
      </c>
      <c r="BN118" s="20">
        <v>11.476245992422033</v>
      </c>
      <c r="BO118" s="22" t="s">
        <v>263</v>
      </c>
      <c r="BP118" s="22">
        <v>130000</v>
      </c>
    </row>
    <row r="119" spans="1:68" x14ac:dyDescent="0.3">
      <c r="A119" s="16" t="s">
        <v>162</v>
      </c>
      <c r="B119" s="16" t="s">
        <v>283</v>
      </c>
      <c r="C119" s="4" t="s">
        <v>250</v>
      </c>
      <c r="D119" s="5" t="s">
        <v>206</v>
      </c>
      <c r="E119" s="7">
        <v>27</v>
      </c>
      <c r="F119" s="7">
        <v>30</v>
      </c>
      <c r="G119" s="14">
        <v>62708</v>
      </c>
      <c r="H119" s="5" t="s">
        <v>311</v>
      </c>
      <c r="I119" s="18">
        <f>H119/$D119</f>
        <v>10.631578947368421</v>
      </c>
      <c r="J119" s="6" t="s">
        <v>458</v>
      </c>
      <c r="K119" s="6" t="s">
        <v>498</v>
      </c>
      <c r="L119" s="18">
        <f>J119/$D119</f>
        <v>8.6052631578947363</v>
      </c>
      <c r="M119" s="18">
        <f>K119/$D119</f>
        <v>3.6842105263157894</v>
      </c>
      <c r="N119" s="19">
        <f>K119/J119</f>
        <v>0.42813455657492355</v>
      </c>
      <c r="O119" s="14" t="s">
        <v>379</v>
      </c>
      <c r="P119" s="15" t="s">
        <v>397</v>
      </c>
      <c r="Q119" s="18">
        <f>O119/$D119</f>
        <v>4.2894736842105265</v>
      </c>
      <c r="R119" s="18">
        <f>P119/$D119</f>
        <v>2.2894736842105261</v>
      </c>
      <c r="S119" s="19">
        <f>P119/O119</f>
        <v>0.53374233128834359</v>
      </c>
      <c r="T119" s="15" t="s">
        <v>631</v>
      </c>
      <c r="U119" s="15" t="s">
        <v>230</v>
      </c>
      <c r="V119" s="18">
        <f>T119/$D119</f>
        <v>4.3157894736842106</v>
      </c>
      <c r="W119" s="18">
        <f>U119/$D119</f>
        <v>1.3947368421052631</v>
      </c>
      <c r="X119" s="19">
        <f>U119/T119</f>
        <v>0.32317073170731708</v>
      </c>
      <c r="Y119" s="15" t="s">
        <v>530</v>
      </c>
      <c r="Z119" s="15" t="s">
        <v>409</v>
      </c>
      <c r="AA119" s="18">
        <f>Y119/$D119</f>
        <v>2.5263157894736841</v>
      </c>
      <c r="AB119" s="18">
        <f>Z119/$D119</f>
        <v>1.868421052631579</v>
      </c>
      <c r="AC119" s="19">
        <f>Z119/Y119</f>
        <v>0.73958333333333337</v>
      </c>
      <c r="AD119" s="15" t="s">
        <v>520</v>
      </c>
      <c r="AE119" s="18">
        <f>AD119/$D119</f>
        <v>2.9473684210526314</v>
      </c>
      <c r="AF119" s="15" t="s">
        <v>191</v>
      </c>
      <c r="AG119" s="18">
        <f>AF119/$D119</f>
        <v>0.5</v>
      </c>
      <c r="AH119" s="15" t="s">
        <v>569</v>
      </c>
      <c r="AI119" s="18">
        <f>AH119/$D119</f>
        <v>2.4473684210526314</v>
      </c>
      <c r="AJ119" s="15" t="s">
        <v>506</v>
      </c>
      <c r="AK119" s="18">
        <f>AJ119/$D119</f>
        <v>4.0263157894736841</v>
      </c>
      <c r="AL119" s="15" t="s">
        <v>170</v>
      </c>
      <c r="AM119" s="18">
        <f>AL119/$D119</f>
        <v>0.73684210526315785</v>
      </c>
      <c r="AN119" s="15" t="s">
        <v>211</v>
      </c>
      <c r="AO119" s="18">
        <f>AN119/$D119</f>
        <v>0.28947368421052633</v>
      </c>
      <c r="AP119" s="15" t="s">
        <v>620</v>
      </c>
      <c r="AQ119" s="18">
        <f>AP119/$D119</f>
        <v>1.9736842105263157</v>
      </c>
      <c r="AR119" s="15" t="s">
        <v>620</v>
      </c>
      <c r="AS119" s="18">
        <f>AR119/$D119</f>
        <v>1.9736842105263157</v>
      </c>
      <c r="AT119" s="20">
        <v>2.0746492081093333</v>
      </c>
      <c r="AU119" s="20">
        <v>7.9412409879783097E-2</v>
      </c>
      <c r="AV119" s="20">
        <v>0.97871612582472411</v>
      </c>
      <c r="AW119" s="20">
        <v>1.095933082284609</v>
      </c>
      <c r="AX119" s="20">
        <v>104.90372138011257</v>
      </c>
      <c r="AY119" s="20">
        <v>104.69136689881664</v>
      </c>
      <c r="AZ119" s="20">
        <v>6.8727068307336143</v>
      </c>
      <c r="BA119" s="20">
        <v>11.078947368421053</v>
      </c>
      <c r="BB119" s="20">
        <v>16.114832535885167</v>
      </c>
      <c r="BC119" s="21">
        <v>0.54706965659191853</v>
      </c>
      <c r="BD119" s="21">
        <v>0.50917431192660545</v>
      </c>
      <c r="BE119" s="20">
        <v>14.430591919336292</v>
      </c>
      <c r="BF119" s="21">
        <v>0.50152905198776754</v>
      </c>
      <c r="BG119" s="21">
        <v>0.29357798165137616</v>
      </c>
      <c r="BH119" s="20">
        <v>1.4684571538981741</v>
      </c>
      <c r="BI119" s="20">
        <v>7.1877113322384307</v>
      </c>
      <c r="BJ119" s="20">
        <v>4.0434125318712066</v>
      </c>
      <c r="BK119" s="20">
        <v>16.169088507265521</v>
      </c>
      <c r="BL119" s="20">
        <v>1.5097835551233632</v>
      </c>
      <c r="BM119" s="20">
        <v>0.82177709296353363</v>
      </c>
      <c r="BN119" s="20">
        <v>16.882766072393302</v>
      </c>
      <c r="BO119" s="22" t="s">
        <v>263</v>
      </c>
      <c r="BP119" s="22"/>
    </row>
    <row r="120" spans="1:68" x14ac:dyDescent="0.3">
      <c r="A120" s="16" t="s">
        <v>162</v>
      </c>
      <c r="B120" s="16" t="s">
        <v>283</v>
      </c>
      <c r="C120" s="4" t="s">
        <v>253</v>
      </c>
      <c r="D120" s="5" t="s">
        <v>209</v>
      </c>
      <c r="E120" s="7">
        <v>22</v>
      </c>
      <c r="F120" s="7">
        <v>6</v>
      </c>
      <c r="G120" s="14">
        <v>68953</v>
      </c>
      <c r="H120" s="5" t="s">
        <v>312</v>
      </c>
      <c r="I120" s="18">
        <f>H120/$D120</f>
        <v>7.4807692307692308</v>
      </c>
      <c r="J120" s="6" t="s">
        <v>499</v>
      </c>
      <c r="K120" s="6" t="s">
        <v>500</v>
      </c>
      <c r="L120" s="18">
        <f>J120/$D120</f>
        <v>6.5384615384615383</v>
      </c>
      <c r="M120" s="18">
        <f>K120/$D120</f>
        <v>2.9038461538461537</v>
      </c>
      <c r="N120" s="19">
        <f>K120/J120</f>
        <v>0.44411764705882351</v>
      </c>
      <c r="O120" s="14" t="s">
        <v>606</v>
      </c>
      <c r="P120" s="15" t="s">
        <v>525</v>
      </c>
      <c r="Q120" s="18">
        <f>O120/$D120</f>
        <v>4.384615384615385</v>
      </c>
      <c r="R120" s="18">
        <f>P120/$D120</f>
        <v>2.1153846153846154</v>
      </c>
      <c r="S120" s="19">
        <f>P120/O120</f>
        <v>0.48245614035087719</v>
      </c>
      <c r="T120" s="15" t="s">
        <v>520</v>
      </c>
      <c r="U120" s="15" t="s">
        <v>188</v>
      </c>
      <c r="V120" s="18">
        <f>T120/$D120</f>
        <v>2.1538461538461537</v>
      </c>
      <c r="W120" s="18">
        <f>U120/$D120</f>
        <v>0.78846153846153844</v>
      </c>
      <c r="X120" s="19">
        <f>U120/T120</f>
        <v>0.36607142857142855</v>
      </c>
      <c r="Y120" s="15" t="s">
        <v>553</v>
      </c>
      <c r="Z120" s="15" t="s">
        <v>240</v>
      </c>
      <c r="AA120" s="18">
        <f>Y120/$D120</f>
        <v>1.1538461538461537</v>
      </c>
      <c r="AB120" s="18">
        <f>Z120/$D120</f>
        <v>0.88461538461538458</v>
      </c>
      <c r="AC120" s="19">
        <f>Z120/Y120</f>
        <v>0.76666666666666672</v>
      </c>
      <c r="AD120" s="15" t="s">
        <v>366</v>
      </c>
      <c r="AE120" s="18">
        <f>AD120/$D120</f>
        <v>3.9038461538461537</v>
      </c>
      <c r="AF120" s="15" t="s">
        <v>556</v>
      </c>
      <c r="AG120" s="18">
        <f>AF120/$D120</f>
        <v>1.2115384615384615</v>
      </c>
      <c r="AH120" s="15" t="s">
        <v>498</v>
      </c>
      <c r="AI120" s="18">
        <f>AH120/$D120</f>
        <v>2.6923076923076925</v>
      </c>
      <c r="AJ120" s="15" t="s">
        <v>553</v>
      </c>
      <c r="AK120" s="18">
        <f>AJ120/$D120</f>
        <v>1.1538461538461537</v>
      </c>
      <c r="AL120" s="15" t="s">
        <v>199</v>
      </c>
      <c r="AM120" s="18">
        <f>AL120/$D120</f>
        <v>0.63461538461538458</v>
      </c>
      <c r="AN120" s="15" t="s">
        <v>229</v>
      </c>
      <c r="AO120" s="18">
        <f>AN120/$D120</f>
        <v>9.6153846153846159E-2</v>
      </c>
      <c r="AP120" s="15" t="s">
        <v>199</v>
      </c>
      <c r="AQ120" s="18">
        <f>AP120/$D120</f>
        <v>0.63461538461538458</v>
      </c>
      <c r="AR120" s="15" t="s">
        <v>676</v>
      </c>
      <c r="AS120" s="18">
        <f>AR120/$D120</f>
        <v>2.7307692307692308</v>
      </c>
      <c r="AT120" s="20">
        <v>2.680195421319775</v>
      </c>
      <c r="AU120" s="20">
        <v>9.3289085322651399E-2</v>
      </c>
      <c r="AV120" s="20">
        <v>1.29855625174274</v>
      </c>
      <c r="AW120" s="20">
        <v>1.3816391695770349</v>
      </c>
      <c r="AX120" s="20">
        <v>109.15730625169114</v>
      </c>
      <c r="AY120" s="20">
        <v>103.31903817944031</v>
      </c>
      <c r="AZ120" s="20">
        <v>7.9659235476438432</v>
      </c>
      <c r="BA120" s="20">
        <v>8.7307692307692299</v>
      </c>
      <c r="BB120" s="20">
        <v>15.80229725026105</v>
      </c>
      <c r="BC120" s="21">
        <v>0.53084061135371186</v>
      </c>
      <c r="BD120" s="21">
        <v>0.50441176470588234</v>
      </c>
      <c r="BE120" s="20">
        <v>16.144141883482142</v>
      </c>
      <c r="BF120" s="21">
        <v>0.32941176470588235</v>
      </c>
      <c r="BG120" s="21">
        <v>0.17647058823529413</v>
      </c>
      <c r="BH120" s="20">
        <v>6.058828338005684</v>
      </c>
      <c r="BI120" s="20">
        <v>13.464062973345964</v>
      </c>
      <c r="BJ120" s="20">
        <v>9.1194046780749076</v>
      </c>
      <c r="BK120" s="20">
        <v>8.3108248493663002</v>
      </c>
      <c r="BL120" s="20">
        <v>1.618047520586656</v>
      </c>
      <c r="BM120" s="20">
        <v>0.46480604805629727</v>
      </c>
      <c r="BN120" s="20">
        <v>8.2623935903855781</v>
      </c>
      <c r="BO120" s="22" t="s">
        <v>263</v>
      </c>
      <c r="BP120" s="22"/>
    </row>
    <row r="121" spans="1:68" x14ac:dyDescent="0.3">
      <c r="A121" s="16" t="s">
        <v>162</v>
      </c>
      <c r="B121" s="16" t="s">
        <v>283</v>
      </c>
      <c r="C121" s="4" t="s">
        <v>317</v>
      </c>
      <c r="D121" s="5" t="s">
        <v>201</v>
      </c>
      <c r="E121" s="7">
        <v>14</v>
      </c>
      <c r="F121" s="7">
        <v>46</v>
      </c>
      <c r="G121" s="14">
        <v>47871</v>
      </c>
      <c r="H121" s="5" t="s">
        <v>318</v>
      </c>
      <c r="I121" s="18">
        <f>H121/$D121</f>
        <v>6.7777777777777777</v>
      </c>
      <c r="J121" s="6" t="s">
        <v>504</v>
      </c>
      <c r="K121" s="6" t="s">
        <v>506</v>
      </c>
      <c r="L121" s="18">
        <f>J121/$D121</f>
        <v>5.7962962962962967</v>
      </c>
      <c r="M121" s="18">
        <f>K121/$D121</f>
        <v>2.8333333333333335</v>
      </c>
      <c r="N121" s="19">
        <f>K121/J121</f>
        <v>0.48881789137380194</v>
      </c>
      <c r="O121" s="14" t="s">
        <v>600</v>
      </c>
      <c r="P121" s="15" t="s">
        <v>609</v>
      </c>
      <c r="Q121" s="18">
        <f>O121/$D121</f>
        <v>4.2592592592592595</v>
      </c>
      <c r="R121" s="18">
        <f>P121/$D121</f>
        <v>2.3333333333333335</v>
      </c>
      <c r="S121" s="19">
        <f>P121/O121</f>
        <v>0.54782608695652169</v>
      </c>
      <c r="T121" s="15" t="s">
        <v>539</v>
      </c>
      <c r="U121" s="15" t="s">
        <v>182</v>
      </c>
      <c r="V121" s="18">
        <f>T121/$D121</f>
        <v>1.537037037037037</v>
      </c>
      <c r="W121" s="18">
        <f>U121/$D121</f>
        <v>0.5</v>
      </c>
      <c r="X121" s="19">
        <f>U121/T121</f>
        <v>0.3253012048192771</v>
      </c>
      <c r="Y121" s="15" t="s">
        <v>186</v>
      </c>
      <c r="Z121" s="15" t="s">
        <v>199</v>
      </c>
      <c r="AA121" s="18">
        <f>Y121/$D121</f>
        <v>0.72222222222222221</v>
      </c>
      <c r="AB121" s="18">
        <f>Z121/$D121</f>
        <v>0.61111111111111116</v>
      </c>
      <c r="AC121" s="19">
        <f>Z121/Y121</f>
        <v>0.84615384615384615</v>
      </c>
      <c r="AD121" s="15" t="s">
        <v>655</v>
      </c>
      <c r="AE121" s="18">
        <f>AD121/$D121</f>
        <v>4.3148148148148149</v>
      </c>
      <c r="AF121" s="15" t="s">
        <v>413</v>
      </c>
      <c r="AG121" s="18">
        <f>AF121/$D121</f>
        <v>1.2222222222222223</v>
      </c>
      <c r="AH121" s="15" t="s">
        <v>545</v>
      </c>
      <c r="AI121" s="18">
        <f>AH121/$D121</f>
        <v>3.0925925925925926</v>
      </c>
      <c r="AJ121" s="15" t="s">
        <v>546</v>
      </c>
      <c r="AK121" s="18">
        <f>AJ121/$D121</f>
        <v>1.6851851851851851</v>
      </c>
      <c r="AL121" s="15" t="s">
        <v>220</v>
      </c>
      <c r="AM121" s="18">
        <f>AL121/$D121</f>
        <v>0.77777777777777779</v>
      </c>
      <c r="AN121" s="15" t="s">
        <v>203</v>
      </c>
      <c r="AO121" s="18">
        <f>AN121/$D121</f>
        <v>0.16666666666666666</v>
      </c>
      <c r="AP121" s="15" t="s">
        <v>301</v>
      </c>
      <c r="AQ121" s="18">
        <f>AP121/$D121</f>
        <v>0.7407407407407407</v>
      </c>
      <c r="AR121" s="15" t="s">
        <v>520</v>
      </c>
      <c r="AS121" s="18">
        <f>AR121/$D121</f>
        <v>2.074074074074074</v>
      </c>
      <c r="AT121" s="20">
        <v>3.2286926224964976</v>
      </c>
      <c r="AU121" s="20">
        <v>0.16196100438908942</v>
      </c>
      <c r="AV121" s="20">
        <v>1.6466617085347557</v>
      </c>
      <c r="AW121" s="20">
        <v>1.5820309139617419</v>
      </c>
      <c r="AX121" s="20">
        <v>112.97446798102537</v>
      </c>
      <c r="AY121" s="20">
        <v>96.331218871608456</v>
      </c>
      <c r="AZ121" s="20">
        <v>15.042260083567838</v>
      </c>
      <c r="BA121" s="20">
        <v>9.9074074074074066</v>
      </c>
      <c r="BB121" s="20">
        <v>26.837220968146479</v>
      </c>
      <c r="BC121" s="21">
        <v>0.55427671432032954</v>
      </c>
      <c r="BD121" s="21">
        <v>0.53194888178913735</v>
      </c>
      <c r="BE121" s="20">
        <v>22.392686185078997</v>
      </c>
      <c r="BF121" s="21">
        <v>0.26517571884984026</v>
      </c>
      <c r="BG121" s="21">
        <v>0.12460063897763578</v>
      </c>
      <c r="BH121" s="20">
        <v>9.4995238243739557</v>
      </c>
      <c r="BI121" s="20">
        <v>24.03667391924925</v>
      </c>
      <c r="BJ121" s="20">
        <v>15.665208278356632</v>
      </c>
      <c r="BK121" s="20">
        <v>21.148855405353064</v>
      </c>
      <c r="BL121" s="20">
        <v>2.9678777560269274</v>
      </c>
      <c r="BM121" s="20">
        <v>1.2521434260731041</v>
      </c>
      <c r="BN121" s="20">
        <v>10.806137886319428</v>
      </c>
      <c r="BO121" s="22" t="s">
        <v>265</v>
      </c>
      <c r="BP121" s="22">
        <v>100000</v>
      </c>
    </row>
    <row r="122" spans="1:68" x14ac:dyDescent="0.3">
      <c r="A122" s="16" t="s">
        <v>162</v>
      </c>
      <c r="B122" s="16" t="s">
        <v>283</v>
      </c>
      <c r="C122" s="9" t="s">
        <v>319</v>
      </c>
      <c r="D122" s="5" t="s">
        <v>218</v>
      </c>
      <c r="E122" s="7">
        <v>21</v>
      </c>
      <c r="F122" s="7">
        <v>48</v>
      </c>
      <c r="G122" s="14">
        <v>62761</v>
      </c>
      <c r="H122" s="5" t="s">
        <v>320</v>
      </c>
      <c r="I122" s="18">
        <v>1.7142857142857142</v>
      </c>
      <c r="J122" s="6" t="s">
        <v>507</v>
      </c>
      <c r="K122" s="6" t="s">
        <v>508</v>
      </c>
      <c r="L122" s="18">
        <v>2.3214285714285716</v>
      </c>
      <c r="M122" s="18">
        <v>0.6071428571428571</v>
      </c>
      <c r="N122" s="19">
        <f>K122/J122</f>
        <v>0.46601941747572817</v>
      </c>
      <c r="O122" s="14" t="s">
        <v>538</v>
      </c>
      <c r="P122" s="15" t="s">
        <v>565</v>
      </c>
      <c r="Q122" s="18">
        <v>0.6785714285714286</v>
      </c>
      <c r="R122" s="18">
        <v>0.14285714285714285</v>
      </c>
      <c r="S122" s="19">
        <f>P122/O122</f>
        <v>0.59562841530054644</v>
      </c>
      <c r="T122" s="15" t="s">
        <v>609</v>
      </c>
      <c r="U122" s="15" t="s">
        <v>245</v>
      </c>
      <c r="V122" s="18">
        <v>1.6428571428571428</v>
      </c>
      <c r="W122" s="18">
        <v>0.4642857142857143</v>
      </c>
      <c r="X122" s="19">
        <f>U122/T122</f>
        <v>0.27777777777777779</v>
      </c>
      <c r="Y122" s="15" t="s">
        <v>572</v>
      </c>
      <c r="Z122" s="15" t="s">
        <v>301</v>
      </c>
      <c r="AA122" s="18">
        <v>7.1428571428571425E-2</v>
      </c>
      <c r="AB122" s="18">
        <v>3.5714285714285712E-2</v>
      </c>
      <c r="AC122" s="19">
        <f>Z122/Y122</f>
        <v>0.625</v>
      </c>
      <c r="AD122" s="15" t="s">
        <v>555</v>
      </c>
      <c r="AE122" s="18">
        <v>1.0714285714285714</v>
      </c>
      <c r="AF122" s="15" t="s">
        <v>190</v>
      </c>
      <c r="AG122" s="18">
        <v>0.5</v>
      </c>
      <c r="AH122" s="15" t="s">
        <v>385</v>
      </c>
      <c r="AI122" s="18">
        <v>0.5714285714285714</v>
      </c>
      <c r="AJ122" s="15" t="s">
        <v>212</v>
      </c>
      <c r="AK122" s="18">
        <v>0.35714285714285715</v>
      </c>
      <c r="AL122" s="15" t="s">
        <v>213</v>
      </c>
      <c r="AM122" s="18">
        <v>0.25</v>
      </c>
      <c r="AN122" s="15" t="s">
        <v>179</v>
      </c>
      <c r="AO122" s="18">
        <v>3.5714285714285712E-2</v>
      </c>
      <c r="AP122" s="15" t="s">
        <v>550</v>
      </c>
      <c r="AQ122" s="18">
        <v>0.42857142857142855</v>
      </c>
      <c r="AR122" s="15" t="s">
        <v>610</v>
      </c>
      <c r="AS122" s="18">
        <v>1.3571428571428572</v>
      </c>
      <c r="AT122" s="20">
        <v>1.5929405563682619</v>
      </c>
      <c r="AU122" s="20">
        <v>6.0892223102762301E-2</v>
      </c>
      <c r="AV122" s="20">
        <v>2.5315515461602527E-2</v>
      </c>
      <c r="AW122" s="20">
        <v>1.5676250409066594</v>
      </c>
      <c r="AX122" s="20">
        <v>97.395963817397018</v>
      </c>
      <c r="AY122" s="20">
        <v>100.67443436506241</v>
      </c>
      <c r="AZ122" s="20">
        <v>8.5998832549800692</v>
      </c>
      <c r="BA122" s="20">
        <v>8.7708333333333339</v>
      </c>
      <c r="BB122" s="20">
        <v>16.093272171253822</v>
      </c>
      <c r="BC122" s="21">
        <v>0.53832008541938536</v>
      </c>
      <c r="BD122" s="21">
        <v>0.52265372168284785</v>
      </c>
      <c r="BE122" s="20">
        <v>16.6023378661808</v>
      </c>
      <c r="BF122" s="21">
        <v>0.40776699029126212</v>
      </c>
      <c r="BG122" s="21">
        <v>0.20711974110032363</v>
      </c>
      <c r="BH122" s="20">
        <v>4.5822811960728878</v>
      </c>
      <c r="BI122" s="20">
        <v>12.771890142245706</v>
      </c>
      <c r="BJ122" s="20">
        <v>8.1063664578594175</v>
      </c>
      <c r="BK122" s="20">
        <v>8.2275833217124532</v>
      </c>
      <c r="BL122" s="20">
        <v>1.8308557815071089</v>
      </c>
      <c r="BM122" s="20">
        <v>4.1465816617426006</v>
      </c>
      <c r="BN122" s="20">
        <v>16.78349294106032</v>
      </c>
      <c r="BO122" s="22" t="s">
        <v>264</v>
      </c>
      <c r="BP122" s="22"/>
    </row>
    <row r="123" spans="1:68" x14ac:dyDescent="0.3">
      <c r="A123" s="16" t="s">
        <v>162</v>
      </c>
      <c r="B123" s="16" t="s">
        <v>283</v>
      </c>
      <c r="C123" s="4" t="s">
        <v>249</v>
      </c>
      <c r="D123" s="5" t="s">
        <v>232</v>
      </c>
      <c r="E123" s="5">
        <v>20</v>
      </c>
      <c r="F123" s="5">
        <v>32</v>
      </c>
      <c r="G123" s="14">
        <v>60365</v>
      </c>
      <c r="H123" s="5" t="s">
        <v>355</v>
      </c>
      <c r="I123" s="18">
        <f>H123/$D123</f>
        <v>4.5714285714285712</v>
      </c>
      <c r="J123" s="6" t="s">
        <v>352</v>
      </c>
      <c r="K123" s="6" t="s">
        <v>535</v>
      </c>
      <c r="L123" s="18">
        <f>J123/$D123</f>
        <v>4.7346938775510203</v>
      </c>
      <c r="M123" s="18">
        <f>K123/$D123</f>
        <v>1.8367346938775511</v>
      </c>
      <c r="N123" s="19">
        <f>K123/J123</f>
        <v>0.38793103448275862</v>
      </c>
      <c r="O123" s="14" t="s">
        <v>510</v>
      </c>
      <c r="P123" s="15" t="s">
        <v>201</v>
      </c>
      <c r="Q123" s="18">
        <f>O123/$D123</f>
        <v>2.5306122448979593</v>
      </c>
      <c r="R123" s="18">
        <f>P123/$D123</f>
        <v>1.1020408163265305</v>
      </c>
      <c r="S123" s="19">
        <f>P123/O123</f>
        <v>0.43548387096774194</v>
      </c>
      <c r="T123" s="15" t="s">
        <v>390</v>
      </c>
      <c r="U123" s="15" t="s">
        <v>371</v>
      </c>
      <c r="V123" s="18">
        <f>T123/$D123</f>
        <v>2.204081632653061</v>
      </c>
      <c r="W123" s="18">
        <f>U123/$D123</f>
        <v>0.73469387755102045</v>
      </c>
      <c r="X123" s="19">
        <f>U123/T123</f>
        <v>0.33333333333333331</v>
      </c>
      <c r="Y123" s="15" t="s">
        <v>178</v>
      </c>
      <c r="Z123" s="15" t="s">
        <v>189</v>
      </c>
      <c r="AA123" s="18">
        <f>Y123/$D123</f>
        <v>0.2857142857142857</v>
      </c>
      <c r="AB123" s="18">
        <f>Z123/$D123</f>
        <v>0.16326530612244897</v>
      </c>
      <c r="AC123" s="19">
        <f>Z123/Y123</f>
        <v>0.5714285714285714</v>
      </c>
      <c r="AD123" s="15" t="s">
        <v>635</v>
      </c>
      <c r="AE123" s="18">
        <f>AD123/$D123</f>
        <v>2.0612244897959182</v>
      </c>
      <c r="AF123" s="15" t="s">
        <v>175</v>
      </c>
      <c r="AG123" s="18">
        <f>AF123/$D123</f>
        <v>0.42857142857142855</v>
      </c>
      <c r="AH123" s="15" t="s">
        <v>641</v>
      </c>
      <c r="AI123" s="18">
        <f>AH123/$D123</f>
        <v>1.6326530612244898</v>
      </c>
      <c r="AJ123" s="15" t="s">
        <v>539</v>
      </c>
      <c r="AK123" s="18">
        <f>AJ123/$D123</f>
        <v>1.6938775510204083</v>
      </c>
      <c r="AL123" s="15" t="s">
        <v>224</v>
      </c>
      <c r="AM123" s="18">
        <f>AL123/$D123</f>
        <v>1.1224489795918366</v>
      </c>
      <c r="AN123" s="15" t="s">
        <v>176</v>
      </c>
      <c r="AO123" s="18">
        <f>AN123/$D123</f>
        <v>0.20408163265306123</v>
      </c>
      <c r="AP123" s="15" t="s">
        <v>219</v>
      </c>
      <c r="AQ123" s="18">
        <f>AP123/$D123</f>
        <v>0.87755102040816324</v>
      </c>
      <c r="AR123" s="15" t="s">
        <v>608</v>
      </c>
      <c r="AS123" s="18">
        <f>AR123/$D123</f>
        <v>1.8775510204081634</v>
      </c>
      <c r="AT123" s="20">
        <v>1.1426994061751379</v>
      </c>
      <c r="AU123" s="20">
        <v>4.5429342943617987E-2</v>
      </c>
      <c r="AV123" s="20">
        <v>-0.26883007940203496</v>
      </c>
      <c r="AW123" s="20">
        <v>1.4115294855771729</v>
      </c>
      <c r="AX123" s="20">
        <v>93.761054836878628</v>
      </c>
      <c r="AY123" s="20">
        <v>101.52531517674966</v>
      </c>
      <c r="AZ123" s="20">
        <v>5.4486539471250399</v>
      </c>
      <c r="BA123" s="20">
        <v>5.7551020408163263</v>
      </c>
      <c r="BB123" s="20">
        <v>11.211237741849986</v>
      </c>
      <c r="BC123" s="21">
        <v>0.47027208599261</v>
      </c>
      <c r="BD123" s="21">
        <v>0.46551724137931033</v>
      </c>
      <c r="BE123" s="20">
        <v>12.23188124674582</v>
      </c>
      <c r="BF123" s="21">
        <v>0.46551724137931033</v>
      </c>
      <c r="BG123" s="21">
        <v>6.0344827586206899E-2</v>
      </c>
      <c r="BH123" s="20">
        <v>2.1737030238624286</v>
      </c>
      <c r="BI123" s="20">
        <v>8.2807734242378235</v>
      </c>
      <c r="BJ123" s="20">
        <v>4.8834263279535062</v>
      </c>
      <c r="BK123" s="20">
        <v>11.510724852071007</v>
      </c>
      <c r="BL123" s="20">
        <v>3.0802084062055801</v>
      </c>
      <c r="BM123" s="20">
        <v>1.000540291757549</v>
      </c>
      <c r="BN123" s="20">
        <v>15.293782899416703</v>
      </c>
      <c r="BO123" s="22" t="s">
        <v>263</v>
      </c>
      <c r="BP123" s="22">
        <v>65000</v>
      </c>
    </row>
    <row r="124" spans="1:68" x14ac:dyDescent="0.3">
      <c r="A124" s="16" t="s">
        <v>162</v>
      </c>
      <c r="B124" s="16" t="s">
        <v>283</v>
      </c>
      <c r="C124" s="4" t="s">
        <v>356</v>
      </c>
      <c r="D124" s="5" t="s">
        <v>174</v>
      </c>
      <c r="E124" s="5">
        <v>23</v>
      </c>
      <c r="F124" s="5">
        <v>27</v>
      </c>
      <c r="G124" s="14">
        <v>33768</v>
      </c>
      <c r="H124" s="5" t="s">
        <v>357</v>
      </c>
      <c r="I124" s="18">
        <f>H124/$D124</f>
        <v>9.125</v>
      </c>
      <c r="J124" s="6" t="s">
        <v>543</v>
      </c>
      <c r="K124" s="6" t="s">
        <v>539</v>
      </c>
      <c r="L124" s="18">
        <f>J124/$D124</f>
        <v>7.75</v>
      </c>
      <c r="M124" s="18">
        <f>K124/$D124</f>
        <v>3.4583333333333335</v>
      </c>
      <c r="N124" s="19">
        <f>K124/J124</f>
        <v>0.44623655913978494</v>
      </c>
      <c r="O124" s="14" t="s">
        <v>389</v>
      </c>
      <c r="P124" s="15" t="s">
        <v>556</v>
      </c>
      <c r="Q124" s="18">
        <f>O124/$D124</f>
        <v>5.125</v>
      </c>
      <c r="R124" s="18">
        <f>P124/$D124</f>
        <v>2.625</v>
      </c>
      <c r="S124" s="19">
        <f>P124/O124</f>
        <v>0.51219512195121952</v>
      </c>
      <c r="T124" s="15" t="s">
        <v>556</v>
      </c>
      <c r="U124" s="15" t="s">
        <v>208</v>
      </c>
      <c r="V124" s="18">
        <f>T124/$D124</f>
        <v>2.625</v>
      </c>
      <c r="W124" s="18">
        <f>U124/$D124</f>
        <v>0.83333333333333337</v>
      </c>
      <c r="X124" s="19">
        <f>U124/T124</f>
        <v>0.31746031746031744</v>
      </c>
      <c r="Y124" s="15" t="s">
        <v>223</v>
      </c>
      <c r="Z124" s="15" t="s">
        <v>199</v>
      </c>
      <c r="AA124" s="18">
        <f>Y124/$D124</f>
        <v>2.0833333333333335</v>
      </c>
      <c r="AB124" s="18">
        <f>Z124/$D124</f>
        <v>1.375</v>
      </c>
      <c r="AC124" s="19">
        <f>Z124/Y124</f>
        <v>0.66</v>
      </c>
      <c r="AD124" s="15" t="s">
        <v>541</v>
      </c>
      <c r="AE124" s="18">
        <f>AD124/$D124</f>
        <v>3.7083333333333335</v>
      </c>
      <c r="AF124" s="15" t="s">
        <v>204</v>
      </c>
      <c r="AG124" s="18">
        <f>AF124/$D124</f>
        <v>0.91666666666666663</v>
      </c>
      <c r="AH124" s="15" t="s">
        <v>548</v>
      </c>
      <c r="AI124" s="18">
        <f>AH124/$D124</f>
        <v>2.7916666666666665</v>
      </c>
      <c r="AJ124" s="15" t="s">
        <v>407</v>
      </c>
      <c r="AK124" s="18">
        <f>AJ124/$D124</f>
        <v>3.0416666666666665</v>
      </c>
      <c r="AL124" s="15" t="s">
        <v>206</v>
      </c>
      <c r="AM124" s="18">
        <f>AL124/$D124</f>
        <v>1.5833333333333333</v>
      </c>
      <c r="AN124" s="15" t="s">
        <v>194</v>
      </c>
      <c r="AO124" s="18">
        <f>AN124/$D124</f>
        <v>8.3333333333333329E-2</v>
      </c>
      <c r="AP124" s="15" t="s">
        <v>199</v>
      </c>
      <c r="AQ124" s="18">
        <f>AP124/$D124</f>
        <v>1.375</v>
      </c>
      <c r="AR124" s="15" t="s">
        <v>218</v>
      </c>
      <c r="AS124" s="18">
        <f>AR124/$D124</f>
        <v>2</v>
      </c>
      <c r="AT124" s="20">
        <v>1.5377723180274026</v>
      </c>
      <c r="AU124" s="20">
        <v>0.10929440782000019</v>
      </c>
      <c r="AV124" s="20">
        <v>0.57262829346657951</v>
      </c>
      <c r="AW124" s="20">
        <v>0.96514402456082315</v>
      </c>
      <c r="AX124" s="20">
        <v>105.54559574256241</v>
      </c>
      <c r="AY124" s="20">
        <v>98.73660423783096</v>
      </c>
      <c r="AZ124" s="20">
        <v>5.3326039554748847</v>
      </c>
      <c r="BA124" s="20">
        <v>11.166666666666666</v>
      </c>
      <c r="BB124" s="20">
        <v>19.047619047619047</v>
      </c>
      <c r="BC124" s="21">
        <v>0.52644230769230771</v>
      </c>
      <c r="BD124" s="21">
        <v>0.5</v>
      </c>
      <c r="BE124" s="20">
        <v>9.1806488074984784</v>
      </c>
      <c r="BF124" s="21">
        <v>0.33870967741935482</v>
      </c>
      <c r="BG124" s="21">
        <v>0.26881720430107525</v>
      </c>
      <c r="BH124" s="20">
        <v>1.9939772822542821</v>
      </c>
      <c r="BI124" s="20">
        <v>6.0725671777744044</v>
      </c>
      <c r="BJ124" s="20">
        <v>3.7679912320114139</v>
      </c>
      <c r="BK124" s="20">
        <v>8.6567252675580324</v>
      </c>
      <c r="BL124" s="20">
        <v>3.8045426549617192</v>
      </c>
      <c r="BM124" s="20">
        <v>0.17521899636749116</v>
      </c>
      <c r="BN124" s="20">
        <v>13.692946058091286</v>
      </c>
      <c r="BO124" s="22" t="s">
        <v>263</v>
      </c>
      <c r="BP124" s="22">
        <v>290000</v>
      </c>
    </row>
    <row r="125" spans="1:68" x14ac:dyDescent="0.3">
      <c r="A125" s="16" t="s">
        <v>162</v>
      </c>
      <c r="B125" s="16" t="s">
        <v>283</v>
      </c>
      <c r="C125" s="4" t="s">
        <v>114</v>
      </c>
      <c r="D125" s="10" t="s">
        <v>230</v>
      </c>
      <c r="E125" s="11">
        <v>15</v>
      </c>
      <c r="F125" s="11">
        <v>32</v>
      </c>
      <c r="G125" s="14">
        <v>49416</v>
      </c>
      <c r="H125" s="5" t="s">
        <v>374</v>
      </c>
      <c r="I125" s="18">
        <f>H125/$D125</f>
        <v>3.2264150943396226</v>
      </c>
      <c r="J125" s="6" t="s">
        <v>380</v>
      </c>
      <c r="K125" s="6" t="s">
        <v>217</v>
      </c>
      <c r="L125" s="18">
        <f>J125/$D125</f>
        <v>3.0377358490566038</v>
      </c>
      <c r="M125" s="18">
        <f>K125/$D125</f>
        <v>1.0943396226415094</v>
      </c>
      <c r="N125" s="19">
        <f>K125/J125</f>
        <v>0.36024844720496896</v>
      </c>
      <c r="O125" s="14" t="s">
        <v>177</v>
      </c>
      <c r="P125" s="15" t="s">
        <v>189</v>
      </c>
      <c r="Q125" s="18">
        <f>O125/$D125</f>
        <v>0.49056603773584906</v>
      </c>
      <c r="R125" s="18">
        <f>P125/$D125</f>
        <v>0.15094339622641509</v>
      </c>
      <c r="S125" s="19">
        <f>P125/O125</f>
        <v>0.30769230769230771</v>
      </c>
      <c r="T125" s="15" t="s">
        <v>604</v>
      </c>
      <c r="U125" s="15" t="s">
        <v>223</v>
      </c>
      <c r="V125" s="18">
        <f>T125/$D125</f>
        <v>2.5471698113207548</v>
      </c>
      <c r="W125" s="18">
        <f>U125/$D125</f>
        <v>0.94339622641509435</v>
      </c>
      <c r="X125" s="19">
        <f>U125/T125</f>
        <v>0.37037037037037035</v>
      </c>
      <c r="Y125" s="15" t="s">
        <v>189</v>
      </c>
      <c r="Z125" s="15" t="s">
        <v>229</v>
      </c>
      <c r="AA125" s="18">
        <f>Y125/$D125</f>
        <v>0.15094339622641509</v>
      </c>
      <c r="AB125" s="18">
        <f>Z125/$D125</f>
        <v>9.4339622641509441E-2</v>
      </c>
      <c r="AC125" s="19">
        <f>Z125/Y125</f>
        <v>0.625</v>
      </c>
      <c r="AD125" s="15" t="s">
        <v>535</v>
      </c>
      <c r="AE125" s="18">
        <f>AD125/$D125</f>
        <v>1.6981132075471699</v>
      </c>
      <c r="AF125" s="15" t="s">
        <v>235</v>
      </c>
      <c r="AG125" s="18">
        <f>AF125/$D125</f>
        <v>0.69811320754716977</v>
      </c>
      <c r="AH125" s="15" t="s">
        <v>230</v>
      </c>
      <c r="AI125" s="18">
        <f>AH125/$D125</f>
        <v>1</v>
      </c>
      <c r="AJ125" s="15" t="s">
        <v>245</v>
      </c>
      <c r="AK125" s="18">
        <f>AJ125/$D125</f>
        <v>0.660377358490566</v>
      </c>
      <c r="AL125" s="15" t="s">
        <v>234</v>
      </c>
      <c r="AM125" s="18">
        <f>AL125/$D125</f>
        <v>0.60377358490566035</v>
      </c>
      <c r="AN125" s="15" t="s">
        <v>193</v>
      </c>
      <c r="AO125" s="18">
        <f>AN125/$D125</f>
        <v>5.6603773584905662E-2</v>
      </c>
      <c r="AP125" s="15" t="s">
        <v>173</v>
      </c>
      <c r="AQ125" s="18">
        <f>AP125/$D125</f>
        <v>0.32075471698113206</v>
      </c>
      <c r="AR125" s="15" t="s">
        <v>520</v>
      </c>
      <c r="AS125" s="18">
        <f>AR125/$D125</f>
        <v>2.1132075471698113</v>
      </c>
      <c r="AT125" s="20">
        <v>1.4444332323361768</v>
      </c>
      <c r="AU125" s="20">
        <v>7.0180576516455262E-2</v>
      </c>
      <c r="AV125" s="20">
        <v>0.54769983637534092</v>
      </c>
      <c r="AW125" s="20">
        <v>0.8967333959608359</v>
      </c>
      <c r="AX125" s="20">
        <v>108.03689764067276</v>
      </c>
      <c r="AY125" s="20">
        <v>104.32935378319972</v>
      </c>
      <c r="AZ125" s="20">
        <v>4.5931727646396849</v>
      </c>
      <c r="BA125" s="20">
        <v>3.9245283018867925</v>
      </c>
      <c r="BB125" s="20">
        <v>10.106081464086161</v>
      </c>
      <c r="BC125" s="21">
        <v>0.51969365426695835</v>
      </c>
      <c r="BD125" s="21">
        <v>0.51552795031055898</v>
      </c>
      <c r="BE125" s="20">
        <v>10.439002456470417</v>
      </c>
      <c r="BF125" s="21">
        <v>0.83850931677018636</v>
      </c>
      <c r="BG125" s="21">
        <v>4.9689440993788817E-2</v>
      </c>
      <c r="BH125" s="20">
        <v>5.06264452481836</v>
      </c>
      <c r="BI125" s="20">
        <v>7.2518962112262999</v>
      </c>
      <c r="BJ125" s="20">
        <v>5.7522873331437205</v>
      </c>
      <c r="BK125" s="20">
        <v>6.2998740025199504</v>
      </c>
      <c r="BL125" s="20">
        <v>2.1901930498995839</v>
      </c>
      <c r="BM125" s="20">
        <v>0.39678078522917393</v>
      </c>
      <c r="BN125" s="20">
        <v>9.3653591890700749</v>
      </c>
      <c r="BO125" s="22" t="s">
        <v>263</v>
      </c>
      <c r="BP125" s="22">
        <v>45000</v>
      </c>
    </row>
    <row r="126" spans="1:68" x14ac:dyDescent="0.3">
      <c r="A126" s="16" t="s">
        <v>162</v>
      </c>
      <c r="B126" s="16" t="s">
        <v>283</v>
      </c>
      <c r="C126" s="4" t="s">
        <v>155</v>
      </c>
      <c r="D126" s="10" t="s">
        <v>247</v>
      </c>
      <c r="E126" s="11">
        <v>11</v>
      </c>
      <c r="F126" s="11">
        <v>55</v>
      </c>
      <c r="G126" s="14">
        <v>32184</v>
      </c>
      <c r="H126" s="5" t="s">
        <v>378</v>
      </c>
      <c r="I126" s="18">
        <f>H126/$D126</f>
        <v>3.6666666666666665</v>
      </c>
      <c r="J126" s="6" t="s">
        <v>557</v>
      </c>
      <c r="K126" s="6" t="s">
        <v>550</v>
      </c>
      <c r="L126" s="18">
        <f>J126/$D126</f>
        <v>2.9333333333333331</v>
      </c>
      <c r="M126" s="18">
        <f>K126/$D126</f>
        <v>1.5111111111111111</v>
      </c>
      <c r="N126" s="19">
        <f>K126/J126</f>
        <v>0.51515151515151514</v>
      </c>
      <c r="O126" s="14" t="s">
        <v>530</v>
      </c>
      <c r="P126" s="15" t="s">
        <v>205</v>
      </c>
      <c r="Q126" s="18">
        <f>O126/$D126</f>
        <v>2.1333333333333333</v>
      </c>
      <c r="R126" s="18">
        <f>P126/$D126</f>
        <v>1.2444444444444445</v>
      </c>
      <c r="S126" s="19">
        <f>P126/O126</f>
        <v>0.58333333333333337</v>
      </c>
      <c r="T126" s="15" t="s">
        <v>371</v>
      </c>
      <c r="U126" s="15" t="s">
        <v>185</v>
      </c>
      <c r="V126" s="18">
        <f>T126/$D126</f>
        <v>0.8</v>
      </c>
      <c r="W126" s="18">
        <f>U126/$D126</f>
        <v>0.26666666666666666</v>
      </c>
      <c r="X126" s="19">
        <f>U126/T126</f>
        <v>0.33333333333333331</v>
      </c>
      <c r="Y126" s="15" t="s">
        <v>170</v>
      </c>
      <c r="Z126" s="15" t="s">
        <v>173</v>
      </c>
      <c r="AA126" s="18">
        <f>Y126/$D126</f>
        <v>0.62222222222222223</v>
      </c>
      <c r="AB126" s="18">
        <f>Z126/$D126</f>
        <v>0.37777777777777777</v>
      </c>
      <c r="AC126" s="19">
        <f>Z126/Y126</f>
        <v>0.6071428571428571</v>
      </c>
      <c r="AD126" s="15" t="s">
        <v>630</v>
      </c>
      <c r="AE126" s="18">
        <f>AD126/$D126</f>
        <v>2.6</v>
      </c>
      <c r="AF126" s="15" t="s">
        <v>206</v>
      </c>
      <c r="AG126" s="18">
        <f>AF126/$D126</f>
        <v>0.84444444444444444</v>
      </c>
      <c r="AH126" s="15" t="s">
        <v>537</v>
      </c>
      <c r="AI126" s="18">
        <f>AH126/$D126</f>
        <v>1.7555555555555555</v>
      </c>
      <c r="AJ126" s="15" t="s">
        <v>174</v>
      </c>
      <c r="AK126" s="18">
        <f>AJ126/$D126</f>
        <v>0.53333333333333333</v>
      </c>
      <c r="AL126" s="15" t="s">
        <v>183</v>
      </c>
      <c r="AM126" s="18">
        <f>AL126/$D126</f>
        <v>0.35555555555555557</v>
      </c>
      <c r="AN126" s="15" t="s">
        <v>173</v>
      </c>
      <c r="AO126" s="18">
        <f>AN126/$D126</f>
        <v>0.37777777777777777</v>
      </c>
      <c r="AP126" s="15" t="s">
        <v>207</v>
      </c>
      <c r="AQ126" s="18">
        <f>AP126/$D126</f>
        <v>0.28888888888888886</v>
      </c>
      <c r="AR126" s="15" t="s">
        <v>572</v>
      </c>
      <c r="AS126" s="18">
        <f>AR126/$D126</f>
        <v>1.4222222222222223</v>
      </c>
      <c r="AT126" s="20">
        <v>1.6724150782297715</v>
      </c>
      <c r="AU126" s="20">
        <v>0.12474891026422538</v>
      </c>
      <c r="AV126" s="20">
        <v>0.8606950548137251</v>
      </c>
      <c r="AW126" s="20">
        <v>0.81172002341604654</v>
      </c>
      <c r="AX126" s="20">
        <v>116.92752552246721</v>
      </c>
      <c r="AY126" s="20">
        <v>100.53512581927092</v>
      </c>
      <c r="AZ126" s="20">
        <v>8.5837494421741507</v>
      </c>
      <c r="BA126" s="20">
        <v>5.5777777777777775</v>
      </c>
      <c r="BB126" s="20">
        <v>18.722610722610721</v>
      </c>
      <c r="BC126" s="21">
        <v>0.57164634146341464</v>
      </c>
      <c r="BD126" s="21">
        <v>0.56060606060606055</v>
      </c>
      <c r="BE126" s="20">
        <v>11.793109341883728</v>
      </c>
      <c r="BF126" s="21">
        <v>0.27272727272727271</v>
      </c>
      <c r="BG126" s="21">
        <v>0.21212121212121213</v>
      </c>
      <c r="BH126" s="20">
        <v>6.7774945564531102</v>
      </c>
      <c r="BI126" s="20">
        <v>14.090054472626203</v>
      </c>
      <c r="BJ126" s="20">
        <v>9.7475123536180863</v>
      </c>
      <c r="BK126" s="20">
        <v>5.9596482152095192</v>
      </c>
      <c r="BL126" s="20">
        <v>1.6812241785989099</v>
      </c>
      <c r="BM126" s="20">
        <v>2.9308134084713435</v>
      </c>
      <c r="BN126" s="20">
        <v>8.2634121535723377</v>
      </c>
      <c r="BO126" s="22" t="s">
        <v>263</v>
      </c>
      <c r="BP126" s="22">
        <v>70000</v>
      </c>
    </row>
    <row r="127" spans="1:68" x14ac:dyDescent="0.3">
      <c r="A127" s="16" t="s">
        <v>162</v>
      </c>
      <c r="B127" s="16" t="s">
        <v>283</v>
      </c>
      <c r="C127" s="4" t="s">
        <v>108</v>
      </c>
      <c r="D127" s="10" t="s">
        <v>179</v>
      </c>
      <c r="E127" s="11">
        <v>11</v>
      </c>
      <c r="F127" s="11">
        <v>11</v>
      </c>
      <c r="G127" s="14">
        <v>29528</v>
      </c>
      <c r="H127" s="5" t="s">
        <v>383</v>
      </c>
      <c r="I127" s="18">
        <f>H127/$D127</f>
        <v>3.3863636363636362</v>
      </c>
      <c r="J127" s="6" t="s">
        <v>562</v>
      </c>
      <c r="K127" s="6" t="s">
        <v>556</v>
      </c>
      <c r="L127" s="18">
        <f>J127/$D127</f>
        <v>3.1363636363636362</v>
      </c>
      <c r="M127" s="18">
        <f>K127/$D127</f>
        <v>1.4318181818181819</v>
      </c>
      <c r="N127" s="19">
        <f>K127/J127</f>
        <v>0.45652173913043476</v>
      </c>
      <c r="O127" s="14" t="s">
        <v>562</v>
      </c>
      <c r="P127" s="15" t="s">
        <v>556</v>
      </c>
      <c r="Q127" s="18">
        <f>O127/$D127</f>
        <v>3.1363636363636362</v>
      </c>
      <c r="R127" s="18">
        <f>P127/$D127</f>
        <v>1.4318181818181819</v>
      </c>
      <c r="S127" s="19">
        <f>P127/O127</f>
        <v>0.45652173913043476</v>
      </c>
      <c r="T127" s="15" t="s">
        <v>192</v>
      </c>
      <c r="U127" s="15" t="s">
        <v>192</v>
      </c>
      <c r="V127" s="18">
        <f>T127/$D127</f>
        <v>0</v>
      </c>
      <c r="W127" s="18">
        <f>U127/$D127</f>
        <v>0</v>
      </c>
      <c r="X127" s="19" t="e">
        <f>U127/T127</f>
        <v>#DIV/0!</v>
      </c>
      <c r="Y127" s="15" t="s">
        <v>202</v>
      </c>
      <c r="Z127" s="15" t="s">
        <v>200</v>
      </c>
      <c r="AA127" s="18">
        <f>Y127/$D127</f>
        <v>0.68181818181818177</v>
      </c>
      <c r="AB127" s="18">
        <f>Z127/$D127</f>
        <v>0.52272727272727271</v>
      </c>
      <c r="AC127" s="19">
        <f>Z127/Y127</f>
        <v>0.76666666666666672</v>
      </c>
      <c r="AD127" s="15" t="s">
        <v>603</v>
      </c>
      <c r="AE127" s="18">
        <f>AD127/$D127</f>
        <v>2.6136363636363638</v>
      </c>
      <c r="AF127" s="15" t="s">
        <v>170</v>
      </c>
      <c r="AG127" s="18">
        <f>AF127/$D127</f>
        <v>0.63636363636363635</v>
      </c>
      <c r="AH127" s="15" t="s">
        <v>397</v>
      </c>
      <c r="AI127" s="18">
        <f>AH127/$D127</f>
        <v>1.9772727272727273</v>
      </c>
      <c r="AJ127" s="15" t="s">
        <v>178</v>
      </c>
      <c r="AK127" s="18">
        <f>AJ127/$D127</f>
        <v>0.31818181818181818</v>
      </c>
      <c r="AL127" s="15" t="s">
        <v>229</v>
      </c>
      <c r="AM127" s="18">
        <f>AL127/$D127</f>
        <v>0.11363636363636363</v>
      </c>
      <c r="AN127" s="15" t="s">
        <v>207</v>
      </c>
      <c r="AO127" s="18">
        <f>AN127/$D127</f>
        <v>0.29545454545454547</v>
      </c>
      <c r="AP127" s="15" t="s">
        <v>185</v>
      </c>
      <c r="AQ127" s="18">
        <f>AP127/$D127</f>
        <v>0.27272727272727271</v>
      </c>
      <c r="AR127" s="15" t="s">
        <v>190</v>
      </c>
      <c r="AS127" s="18">
        <f>AR127/$D127</f>
        <v>1.0681818181818181</v>
      </c>
      <c r="AT127" s="20">
        <v>0.90226726944233393</v>
      </c>
      <c r="AU127" s="20">
        <v>7.3345124192575578E-2</v>
      </c>
      <c r="AV127" s="20">
        <v>0.25126022355488514</v>
      </c>
      <c r="AW127" s="20">
        <v>0.65100704588744873</v>
      </c>
      <c r="AX127" s="20">
        <v>102.90414195986783</v>
      </c>
      <c r="AY127" s="20">
        <v>102.23970999584384</v>
      </c>
      <c r="AZ127" s="20">
        <v>6.4619593253226144</v>
      </c>
      <c r="BA127" s="20">
        <v>4.5909090909090908</v>
      </c>
      <c r="BB127" s="20">
        <v>16.420539222327598</v>
      </c>
      <c r="BC127" s="21">
        <v>0.49272486772486779</v>
      </c>
      <c r="BD127" s="21">
        <v>0.45652173913043476</v>
      </c>
      <c r="BE127" s="20">
        <v>13.036111413168793</v>
      </c>
      <c r="BF127" s="21">
        <v>0</v>
      </c>
      <c r="BG127" s="21">
        <v>0.21739130434782608</v>
      </c>
      <c r="BH127" s="20">
        <v>5.3214150529528315</v>
      </c>
      <c r="BI127" s="20">
        <v>16.534396771674867</v>
      </c>
      <c r="BJ127" s="20">
        <v>10.20914317546521</v>
      </c>
      <c r="BK127" s="20">
        <v>3.6964509670179759</v>
      </c>
      <c r="BL127" s="20">
        <v>0.57255736801436885</v>
      </c>
      <c r="BM127" s="20">
        <v>2.3881748603262154</v>
      </c>
      <c r="BN127" s="20">
        <v>7.3529411764705888</v>
      </c>
      <c r="BO127" s="22" t="s">
        <v>263</v>
      </c>
      <c r="BP127" s="22"/>
    </row>
    <row r="128" spans="1:68" x14ac:dyDescent="0.3">
      <c r="A128" s="16" t="s">
        <v>162</v>
      </c>
      <c r="B128" s="16" t="s">
        <v>283</v>
      </c>
      <c r="C128" s="4" t="s">
        <v>124</v>
      </c>
      <c r="D128" s="5" t="s">
        <v>202</v>
      </c>
      <c r="E128" s="5">
        <v>7</v>
      </c>
      <c r="F128" s="5">
        <v>43</v>
      </c>
      <c r="G128" s="14">
        <v>13891</v>
      </c>
      <c r="H128" s="5" t="s">
        <v>402</v>
      </c>
      <c r="I128" s="18">
        <f>H128/$D128</f>
        <v>2.7333333333333334</v>
      </c>
      <c r="J128" s="6" t="s">
        <v>571</v>
      </c>
      <c r="K128" s="6" t="s">
        <v>172</v>
      </c>
      <c r="L128" s="18">
        <f>J128/$D128</f>
        <v>2.5666666666666669</v>
      </c>
      <c r="M128" s="18">
        <f>K128/$D128</f>
        <v>0.96666666666666667</v>
      </c>
      <c r="N128" s="19">
        <f>K128/J128</f>
        <v>0.37662337662337664</v>
      </c>
      <c r="O128" s="14" t="s">
        <v>178</v>
      </c>
      <c r="P128" s="15" t="s">
        <v>187</v>
      </c>
      <c r="Q128" s="18">
        <f>O128/$D128</f>
        <v>0.46666666666666667</v>
      </c>
      <c r="R128" s="18">
        <f>P128/$D128</f>
        <v>0.23333333333333334</v>
      </c>
      <c r="S128" s="19">
        <f>P128/O128</f>
        <v>0.5</v>
      </c>
      <c r="T128" s="15" t="s">
        <v>556</v>
      </c>
      <c r="U128" s="15" t="s">
        <v>204</v>
      </c>
      <c r="V128" s="18">
        <f>T128/$D128</f>
        <v>2.1</v>
      </c>
      <c r="W128" s="18">
        <f>U128/$D128</f>
        <v>0.73333333333333328</v>
      </c>
      <c r="X128" s="19">
        <f>U128/T128</f>
        <v>0.34920634920634919</v>
      </c>
      <c r="Y128" s="15" t="s">
        <v>193</v>
      </c>
      <c r="Z128" s="15" t="s">
        <v>194</v>
      </c>
      <c r="AA128" s="18">
        <f>Y128/$D128</f>
        <v>0.1</v>
      </c>
      <c r="AB128" s="18">
        <f>Z128/$D128</f>
        <v>6.6666666666666666E-2</v>
      </c>
      <c r="AC128" s="19">
        <f>Z128/Y128</f>
        <v>0.66666666666666663</v>
      </c>
      <c r="AD128" s="15" t="s">
        <v>176</v>
      </c>
      <c r="AE128" s="18">
        <f>AD128/$D128</f>
        <v>0.33333333333333331</v>
      </c>
      <c r="AF128" s="15" t="s">
        <v>194</v>
      </c>
      <c r="AG128" s="18">
        <f>AF128/$D128</f>
        <v>6.6666666666666666E-2</v>
      </c>
      <c r="AH128" s="15" t="s">
        <v>189</v>
      </c>
      <c r="AI128" s="18">
        <f>AH128/$D128</f>
        <v>0.26666666666666666</v>
      </c>
      <c r="AJ128" s="15" t="s">
        <v>187</v>
      </c>
      <c r="AK128" s="18">
        <f>AJ128/$D128</f>
        <v>0.23333333333333334</v>
      </c>
      <c r="AL128" s="15" t="s">
        <v>193</v>
      </c>
      <c r="AM128" s="18">
        <f>AL128/$D128</f>
        <v>0.1</v>
      </c>
      <c r="AN128" s="15" t="s">
        <v>192</v>
      </c>
      <c r="AO128" s="18">
        <f>AN128/$D128</f>
        <v>0</v>
      </c>
      <c r="AP128" s="15" t="s">
        <v>176</v>
      </c>
      <c r="AQ128" s="18">
        <f>AP128/$D128</f>
        <v>0.33333333333333331</v>
      </c>
      <c r="AR128" s="15" t="s">
        <v>185</v>
      </c>
      <c r="AS128" s="18">
        <f>AR128/$D128</f>
        <v>0.4</v>
      </c>
      <c r="AT128" s="20">
        <v>6.6068333417797623E-2</v>
      </c>
      <c r="AU128" s="20">
        <v>1.1415694759014709E-2</v>
      </c>
      <c r="AV128" s="20">
        <v>-5.7120206054584677E-2</v>
      </c>
      <c r="AW128" s="20">
        <v>0.1231885394723823</v>
      </c>
      <c r="AX128" s="20">
        <v>94.613539279588792</v>
      </c>
      <c r="AY128" s="20">
        <v>109.30931185831298</v>
      </c>
      <c r="AZ128" s="20">
        <v>2.9112804353286101</v>
      </c>
      <c r="BA128" s="20">
        <v>1.4333333333333333</v>
      </c>
      <c r="BB128" s="20">
        <v>7.4298056155507561</v>
      </c>
      <c r="BC128" s="21">
        <v>0.52349336057201235</v>
      </c>
      <c r="BD128" s="21">
        <v>0.51948051948051943</v>
      </c>
      <c r="BE128" s="20">
        <v>10.22418027897009</v>
      </c>
      <c r="BF128" s="21">
        <v>0.81818181818181823</v>
      </c>
      <c r="BG128" s="21">
        <v>3.896103896103896E-2</v>
      </c>
      <c r="BH128" s="20">
        <v>0.55085922562964362</v>
      </c>
      <c r="BI128" s="20">
        <v>2.2034369025185745</v>
      </c>
      <c r="BJ128" s="20">
        <v>1.2865687051811729</v>
      </c>
      <c r="BK128" s="20">
        <v>2.5379943801553009</v>
      </c>
      <c r="BL128" s="20">
        <v>0.73020232109098171</v>
      </c>
      <c r="BM128" s="20">
        <v>0</v>
      </c>
      <c r="BN128" s="20">
        <v>11.322463768115943</v>
      </c>
      <c r="BO128" s="22" t="s">
        <v>263</v>
      </c>
      <c r="BP128" s="22">
        <v>40000</v>
      </c>
    </row>
    <row r="129" spans="1:68" x14ac:dyDescent="0.3">
      <c r="A129" s="16" t="s">
        <v>162</v>
      </c>
      <c r="B129" s="16" t="s">
        <v>283</v>
      </c>
      <c r="C129" s="4" t="s">
        <v>251</v>
      </c>
      <c r="D129" s="7" t="s">
        <v>204</v>
      </c>
      <c r="E129" s="7">
        <v>8</v>
      </c>
      <c r="F129" s="7">
        <v>1</v>
      </c>
      <c r="G129" s="14">
        <v>10592</v>
      </c>
      <c r="H129" s="5" t="s">
        <v>230</v>
      </c>
      <c r="I129" s="18">
        <f>H129/$D129</f>
        <v>2.4090909090909092</v>
      </c>
      <c r="J129" s="6" t="s">
        <v>247</v>
      </c>
      <c r="K129" s="6" t="s">
        <v>180</v>
      </c>
      <c r="L129" s="18">
        <f>J129/$D129</f>
        <v>2.0454545454545454</v>
      </c>
      <c r="M129" s="18">
        <f>K129/$D129</f>
        <v>0.81818181818181823</v>
      </c>
      <c r="N129" s="19">
        <f>K129/J129</f>
        <v>0.4</v>
      </c>
      <c r="O129" s="14" t="s">
        <v>178</v>
      </c>
      <c r="P129" s="15" t="s">
        <v>203</v>
      </c>
      <c r="Q129" s="18">
        <f>O129/$D129</f>
        <v>0.63636363636363635</v>
      </c>
      <c r="R129" s="18">
        <f>P129/$D129</f>
        <v>0.40909090909090912</v>
      </c>
      <c r="S129" s="19">
        <f>P129/O129</f>
        <v>0.6428571428571429</v>
      </c>
      <c r="T129" s="15" t="s">
        <v>171</v>
      </c>
      <c r="U129" s="15" t="s">
        <v>203</v>
      </c>
      <c r="V129" s="18">
        <f>T129/$D129</f>
        <v>1.4090909090909092</v>
      </c>
      <c r="W129" s="18">
        <f>U129/$D129</f>
        <v>0.40909090909090912</v>
      </c>
      <c r="X129" s="19">
        <f>U129/T129</f>
        <v>0.29032258064516131</v>
      </c>
      <c r="Y129" s="15" t="s">
        <v>203</v>
      </c>
      <c r="Z129" s="15" t="s">
        <v>189</v>
      </c>
      <c r="AA129" s="18">
        <f>Y129/$D129</f>
        <v>0.40909090909090912</v>
      </c>
      <c r="AB129" s="18">
        <f>Z129/$D129</f>
        <v>0.36363636363636365</v>
      </c>
      <c r="AC129" s="19">
        <f>Z129/Y129</f>
        <v>0.88888888888888884</v>
      </c>
      <c r="AD129" s="15" t="s">
        <v>178</v>
      </c>
      <c r="AE129" s="18">
        <f>AD129/$D129</f>
        <v>0.63636363636363635</v>
      </c>
      <c r="AF129" s="15" t="s">
        <v>192</v>
      </c>
      <c r="AG129" s="18">
        <f>AF129/$D129</f>
        <v>0</v>
      </c>
      <c r="AH129" s="15" t="s">
        <v>178</v>
      </c>
      <c r="AI129" s="18">
        <f>AH129/$D129</f>
        <v>0.63636363636363635</v>
      </c>
      <c r="AJ129" s="15" t="s">
        <v>185</v>
      </c>
      <c r="AK129" s="18">
        <f>AJ129/$D129</f>
        <v>0.54545454545454541</v>
      </c>
      <c r="AL129" s="15" t="s">
        <v>187</v>
      </c>
      <c r="AM129" s="18">
        <f>AL129/$D129</f>
        <v>0.31818181818181818</v>
      </c>
      <c r="AN129" s="15" t="s">
        <v>231</v>
      </c>
      <c r="AO129" s="18">
        <f>AN129/$D129</f>
        <v>4.5454545454545456E-2</v>
      </c>
      <c r="AP129" s="15" t="s">
        <v>211</v>
      </c>
      <c r="AQ129" s="18">
        <f>AP129/$D129</f>
        <v>0.5</v>
      </c>
      <c r="AR129" s="15" t="s">
        <v>182</v>
      </c>
      <c r="AS129" s="18">
        <f>AR129/$D129</f>
        <v>1.2272727272727273</v>
      </c>
      <c r="AT129" s="20">
        <v>0.17847875677025285</v>
      </c>
      <c r="AU129" s="20">
        <v>4.0479022514515864E-2</v>
      </c>
      <c r="AV129" s="20">
        <v>-3.1114262641320865E-2</v>
      </c>
      <c r="AW129" s="20">
        <v>0.20959301941157371</v>
      </c>
      <c r="AX129" s="20">
        <v>95.240529411321432</v>
      </c>
      <c r="AY129" s="20">
        <v>103.44300489217443</v>
      </c>
      <c r="AZ129" s="20">
        <v>1.6263005555999368</v>
      </c>
      <c r="BA129" s="20">
        <v>2.1818181818181817</v>
      </c>
      <c r="BB129" s="20">
        <v>10.886410886410886</v>
      </c>
      <c r="BC129" s="21">
        <v>0.54125816993464049</v>
      </c>
      <c r="BD129" s="21">
        <v>0.5</v>
      </c>
      <c r="BE129" s="20">
        <v>6.6813923742387971</v>
      </c>
      <c r="BF129" s="21">
        <v>0.68888888888888888</v>
      </c>
      <c r="BG129" s="21">
        <v>0.2</v>
      </c>
      <c r="BH129" s="20">
        <v>0</v>
      </c>
      <c r="BI129" s="20">
        <v>3.7117146575169957</v>
      </c>
      <c r="BJ129" s="20">
        <v>1.7337917561298053</v>
      </c>
      <c r="BK129" s="20">
        <v>4.0179692513742014</v>
      </c>
      <c r="BL129" s="20">
        <v>2.2364257443355435</v>
      </c>
      <c r="BM129" s="20">
        <v>0.25627144271212066</v>
      </c>
      <c r="BN129" s="20">
        <v>18.345563709139427</v>
      </c>
      <c r="BO129" s="22" t="s">
        <v>263</v>
      </c>
      <c r="BP129" s="22">
        <v>40000</v>
      </c>
    </row>
    <row r="130" spans="1:68" x14ac:dyDescent="0.3">
      <c r="A130" s="16" t="s">
        <v>162</v>
      </c>
      <c r="B130" s="16" t="s">
        <v>283</v>
      </c>
      <c r="C130" s="9" t="s">
        <v>416</v>
      </c>
      <c r="D130" s="7" t="s">
        <v>202</v>
      </c>
      <c r="E130" s="7">
        <v>7</v>
      </c>
      <c r="F130" s="7">
        <v>3</v>
      </c>
      <c r="G130" s="14">
        <v>12678</v>
      </c>
      <c r="H130" s="5" t="s">
        <v>223</v>
      </c>
      <c r="I130" s="18">
        <v>1.5945945945945945</v>
      </c>
      <c r="J130" s="6" t="s">
        <v>245</v>
      </c>
      <c r="K130" s="6" t="s">
        <v>181</v>
      </c>
      <c r="L130" s="18">
        <v>2.6216216216216215</v>
      </c>
      <c r="M130" s="18">
        <v>0.59459459459459463</v>
      </c>
      <c r="N130" s="19">
        <f>K130/J130</f>
        <v>0.42857142857142855</v>
      </c>
      <c r="O130" s="14" t="s">
        <v>178</v>
      </c>
      <c r="P130" s="15" t="s">
        <v>189</v>
      </c>
      <c r="Q130" s="18">
        <v>1.1081081081081081</v>
      </c>
      <c r="R130" s="18">
        <v>0.32432432432432434</v>
      </c>
      <c r="S130" s="19">
        <f>P130/O130</f>
        <v>0.5714285714285714</v>
      </c>
      <c r="T130" s="15" t="s">
        <v>175</v>
      </c>
      <c r="U130" s="15" t="s">
        <v>187</v>
      </c>
      <c r="V130" s="18">
        <v>1.5135135135135136</v>
      </c>
      <c r="W130" s="18">
        <v>0.27027027027027029</v>
      </c>
      <c r="X130" s="19">
        <f>U130/T130</f>
        <v>0.33333333333333331</v>
      </c>
      <c r="Y130" s="15" t="s">
        <v>173</v>
      </c>
      <c r="Z130" s="15" t="s">
        <v>207</v>
      </c>
      <c r="AA130" s="18">
        <v>0.1891891891891892</v>
      </c>
      <c r="AB130" s="18">
        <v>0.13513513513513514</v>
      </c>
      <c r="AC130" s="19">
        <f>Z130/Y130</f>
        <v>0.76470588235294112</v>
      </c>
      <c r="AD130" s="15" t="s">
        <v>177</v>
      </c>
      <c r="AE130" s="18">
        <v>0.89189189189189189</v>
      </c>
      <c r="AF130" s="15" t="s">
        <v>176</v>
      </c>
      <c r="AG130" s="18">
        <v>0.16216216216216217</v>
      </c>
      <c r="AH130" s="15" t="s">
        <v>183</v>
      </c>
      <c r="AI130" s="18">
        <v>0.72972972972972971</v>
      </c>
      <c r="AJ130" s="15" t="s">
        <v>189</v>
      </c>
      <c r="AK130" s="18">
        <v>1.0540540540540539</v>
      </c>
      <c r="AL130" s="15" t="s">
        <v>187</v>
      </c>
      <c r="AM130" s="18">
        <v>0.29729729729729731</v>
      </c>
      <c r="AN130" s="15" t="s">
        <v>194</v>
      </c>
      <c r="AO130" s="18">
        <v>2.7027027027027029E-2</v>
      </c>
      <c r="AP130" s="15" t="s">
        <v>229</v>
      </c>
      <c r="AQ130" s="18">
        <v>0.45945945945945948</v>
      </c>
      <c r="AR130" s="15" t="s">
        <v>172</v>
      </c>
      <c r="AS130" s="18">
        <v>1.027027027027027</v>
      </c>
      <c r="AT130" s="20">
        <v>0.52837138954477636</v>
      </c>
      <c r="AU130" s="20">
        <v>9.9928395185773303E-2</v>
      </c>
      <c r="AV130" s="20">
        <v>0.29619694147387854</v>
      </c>
      <c r="AW130" s="20">
        <v>0.23217444807089782</v>
      </c>
      <c r="AX130" s="20">
        <v>119.341114693889</v>
      </c>
      <c r="AY130" s="20">
        <v>104.25325220683811</v>
      </c>
      <c r="AZ130" s="20">
        <v>3.1921579985457926</v>
      </c>
      <c r="BA130" s="20">
        <v>2.1333333333333333</v>
      </c>
      <c r="BB130" s="20">
        <v>12.104018912529551</v>
      </c>
      <c r="BC130" s="21">
        <v>0.58851224105461386</v>
      </c>
      <c r="BD130" s="21">
        <v>0.52857142857142858</v>
      </c>
      <c r="BE130" s="20">
        <v>6.0161793155949814</v>
      </c>
      <c r="BF130" s="21">
        <v>0.6</v>
      </c>
      <c r="BG130" s="21">
        <v>0.48571428571428571</v>
      </c>
      <c r="BH130" s="20">
        <v>3.0147496627248813</v>
      </c>
      <c r="BI130" s="20">
        <v>4.8235994603598105</v>
      </c>
      <c r="BJ130" s="20">
        <v>3.661398125997863</v>
      </c>
      <c r="BK130" s="20">
        <v>3.0363412088433441</v>
      </c>
      <c r="BL130" s="20">
        <v>1.8649217672623102</v>
      </c>
      <c r="BM130" s="20">
        <v>0.58282063330747069</v>
      </c>
      <c r="BN130" s="20">
        <v>10.530749789385004</v>
      </c>
      <c r="BO130" s="22" t="s">
        <v>263</v>
      </c>
      <c r="BP130" s="22">
        <v>70000</v>
      </c>
    </row>
    <row r="131" spans="1:68" x14ac:dyDescent="0.3">
      <c r="A131" s="16" t="s">
        <v>162</v>
      </c>
      <c r="B131" s="16" t="s">
        <v>283</v>
      </c>
      <c r="C131" s="4" t="s">
        <v>425</v>
      </c>
      <c r="D131" s="5" t="s">
        <v>194</v>
      </c>
      <c r="E131" s="7">
        <v>20</v>
      </c>
      <c r="F131" s="7">
        <v>37</v>
      </c>
      <c r="G131" s="14">
        <v>2473</v>
      </c>
      <c r="H131" s="5" t="s">
        <v>203</v>
      </c>
      <c r="I131" s="18">
        <f>H131/$D131</f>
        <v>4.5</v>
      </c>
      <c r="J131" s="6" t="s">
        <v>207</v>
      </c>
      <c r="K131" s="6" t="s">
        <v>194</v>
      </c>
      <c r="L131" s="18">
        <f>J131/$D131</f>
        <v>6.5</v>
      </c>
      <c r="M131" s="18">
        <f>K131/$D131</f>
        <v>1</v>
      </c>
      <c r="N131" s="19">
        <f>K131/J131</f>
        <v>0.15384615384615385</v>
      </c>
      <c r="O131" s="14" t="s">
        <v>184</v>
      </c>
      <c r="P131" s="15" t="s">
        <v>231</v>
      </c>
      <c r="Q131" s="18">
        <f>O131/$D131</f>
        <v>2</v>
      </c>
      <c r="R131" s="18">
        <f>P131/$D131</f>
        <v>0.5</v>
      </c>
      <c r="S131" s="19">
        <f>P131/O131</f>
        <v>0.25</v>
      </c>
      <c r="T131" s="15" t="s">
        <v>203</v>
      </c>
      <c r="U131" s="15" t="s">
        <v>231</v>
      </c>
      <c r="V131" s="18">
        <f>T131/$D131</f>
        <v>4.5</v>
      </c>
      <c r="W131" s="18">
        <f>U131/$D131</f>
        <v>0.5</v>
      </c>
      <c r="X131" s="19">
        <f>U131/T131</f>
        <v>0.1111111111111111</v>
      </c>
      <c r="Y131" s="15" t="s">
        <v>226</v>
      </c>
      <c r="Z131" s="15" t="s">
        <v>184</v>
      </c>
      <c r="AA131" s="18">
        <f>Y131/$D131</f>
        <v>3</v>
      </c>
      <c r="AB131" s="18">
        <f>Z131/$D131</f>
        <v>2</v>
      </c>
      <c r="AC131" s="19">
        <f>Z131/Y131</f>
        <v>0.66666666666666663</v>
      </c>
      <c r="AD131" s="15" t="s">
        <v>184</v>
      </c>
      <c r="AE131" s="18">
        <f>AD131/$D131</f>
        <v>2</v>
      </c>
      <c r="AF131" s="15" t="s">
        <v>194</v>
      </c>
      <c r="AG131" s="18">
        <f>AF131/$D131</f>
        <v>1</v>
      </c>
      <c r="AH131" s="15" t="s">
        <v>194</v>
      </c>
      <c r="AI131" s="18">
        <f>AH131/$D131</f>
        <v>1</v>
      </c>
      <c r="AJ131" s="15" t="s">
        <v>229</v>
      </c>
      <c r="AK131" s="18">
        <f>AJ131/$D131</f>
        <v>2.5</v>
      </c>
      <c r="AL131" s="15" t="s">
        <v>193</v>
      </c>
      <c r="AM131" s="18">
        <f>AL131/$D131</f>
        <v>1.5</v>
      </c>
      <c r="AN131" s="15" t="s">
        <v>192</v>
      </c>
      <c r="AO131" s="18">
        <f>AN131/$D131</f>
        <v>0</v>
      </c>
      <c r="AP131" s="15" t="s">
        <v>187</v>
      </c>
      <c r="AQ131" s="18">
        <f>AP131/$D131</f>
        <v>3.5</v>
      </c>
      <c r="AR131" s="15" t="s">
        <v>187</v>
      </c>
      <c r="AS131" s="18">
        <f>AR131/$D131</f>
        <v>3.5</v>
      </c>
      <c r="AT131" s="20">
        <v>-0.2032355337705718</v>
      </c>
      <c r="AU131" s="20">
        <v>-0.19715654044032832</v>
      </c>
      <c r="AV131" s="20">
        <v>-0.26446245900746218</v>
      </c>
      <c r="AW131" s="20">
        <v>6.122692523689037E-2</v>
      </c>
      <c r="AX131" s="20">
        <v>57.016541756268836</v>
      </c>
      <c r="AY131" s="20">
        <v>100.79263947338167</v>
      </c>
      <c r="AZ131" s="20">
        <v>-0.18100966901546456</v>
      </c>
      <c r="BA131" s="20">
        <v>0.5</v>
      </c>
      <c r="BB131" s="20">
        <v>0.97008892481810827</v>
      </c>
      <c r="BC131" s="21">
        <v>0.28772378516624042</v>
      </c>
      <c r="BD131" s="21">
        <v>0.19230769230769232</v>
      </c>
      <c r="BE131" s="20">
        <v>0.9809732213375425</v>
      </c>
      <c r="BF131" s="21">
        <v>0.69230769230769229</v>
      </c>
      <c r="BG131" s="21">
        <v>0.46153846153846156</v>
      </c>
      <c r="BH131" s="20">
        <v>0.20618255575305172</v>
      </c>
      <c r="BI131" s="20">
        <v>0.20618255575305172</v>
      </c>
      <c r="BJ131" s="20">
        <v>0.19262128067870107</v>
      </c>
      <c r="BK131" s="20">
        <v>0.61549193192659235</v>
      </c>
      <c r="BL131" s="20">
        <v>4.0996403556805721</v>
      </c>
      <c r="BM131" s="20">
        <v>0</v>
      </c>
      <c r="BN131" s="20">
        <v>30.918727915194346</v>
      </c>
      <c r="BO131" s="22" t="s">
        <v>263</v>
      </c>
      <c r="BP131" s="22">
        <v>500000</v>
      </c>
    </row>
    <row r="132" spans="1:68" x14ac:dyDescent="0.3">
      <c r="A132" s="16" t="s">
        <v>162</v>
      </c>
      <c r="B132" s="16" t="s">
        <v>283</v>
      </c>
      <c r="C132" s="4" t="s">
        <v>426</v>
      </c>
      <c r="D132" s="5" t="s">
        <v>231</v>
      </c>
      <c r="E132" s="7">
        <v>30</v>
      </c>
      <c r="F132" s="7">
        <v>0</v>
      </c>
      <c r="G132" s="14">
        <v>1800</v>
      </c>
      <c r="H132" s="5" t="s">
        <v>203</v>
      </c>
      <c r="I132" s="18">
        <f>H132/$D132</f>
        <v>9</v>
      </c>
      <c r="J132" s="6" t="s">
        <v>185</v>
      </c>
      <c r="K132" s="6" t="s">
        <v>184</v>
      </c>
      <c r="L132" s="18">
        <f>J132/$D132</f>
        <v>12</v>
      </c>
      <c r="M132" s="18">
        <f>K132/$D132</f>
        <v>4</v>
      </c>
      <c r="N132" s="19">
        <f>K132/J132</f>
        <v>0.33333333333333331</v>
      </c>
      <c r="O132" s="14" t="s">
        <v>187</v>
      </c>
      <c r="P132" s="15" t="s">
        <v>193</v>
      </c>
      <c r="Q132" s="18">
        <f>O132/$D132</f>
        <v>7</v>
      </c>
      <c r="R132" s="18">
        <f>P132/$D132</f>
        <v>3</v>
      </c>
      <c r="S132" s="19">
        <f>P132/O132</f>
        <v>0.42857142857142855</v>
      </c>
      <c r="T132" s="15" t="s">
        <v>229</v>
      </c>
      <c r="U132" s="15" t="s">
        <v>231</v>
      </c>
      <c r="V132" s="18">
        <f>T132/$D132</f>
        <v>5</v>
      </c>
      <c r="W132" s="18">
        <f>U132/$D132</f>
        <v>1</v>
      </c>
      <c r="X132" s="19">
        <f>U132/T132</f>
        <v>0.2</v>
      </c>
      <c r="Y132" s="15" t="s">
        <v>192</v>
      </c>
      <c r="Z132" s="15" t="s">
        <v>192</v>
      </c>
      <c r="AA132" s="18">
        <f>Y132/$D132</f>
        <v>0</v>
      </c>
      <c r="AB132" s="18">
        <f>Z132/$D132</f>
        <v>0</v>
      </c>
      <c r="AC132" s="19" t="e">
        <f>Z132/Y132</f>
        <v>#DIV/0!</v>
      </c>
      <c r="AD132" s="15" t="s">
        <v>229</v>
      </c>
      <c r="AE132" s="18">
        <f>AD132/$D132</f>
        <v>5</v>
      </c>
      <c r="AF132" s="15" t="s">
        <v>194</v>
      </c>
      <c r="AG132" s="18">
        <f>AF132/$D132</f>
        <v>2</v>
      </c>
      <c r="AH132" s="15" t="s">
        <v>193</v>
      </c>
      <c r="AI132" s="18">
        <f>AH132/$D132</f>
        <v>3</v>
      </c>
      <c r="AJ132" s="15" t="s">
        <v>231</v>
      </c>
      <c r="AK132" s="18">
        <f>AJ132/$D132</f>
        <v>1</v>
      </c>
      <c r="AL132" s="15" t="s">
        <v>231</v>
      </c>
      <c r="AM132" s="18">
        <f>AL132/$D132</f>
        <v>1</v>
      </c>
      <c r="AN132" s="15" t="s">
        <v>194</v>
      </c>
      <c r="AO132" s="18">
        <f>AN132/$D132</f>
        <v>2</v>
      </c>
      <c r="AP132" s="15" t="s">
        <v>231</v>
      </c>
      <c r="AQ132" s="18">
        <f>AP132/$D132</f>
        <v>1</v>
      </c>
      <c r="AR132" s="15" t="s">
        <v>194</v>
      </c>
      <c r="AS132" s="18">
        <f>AR132/$D132</f>
        <v>2</v>
      </c>
      <c r="AT132" s="20">
        <v>-5.8652305315512715E-2</v>
      </c>
      <c r="AU132" s="20">
        <v>-7.8203073754016958E-2</v>
      </c>
      <c r="AV132" s="20">
        <v>-0.10559266550225831</v>
      </c>
      <c r="AW132" s="20">
        <v>4.6940360186745592E-2</v>
      </c>
      <c r="AX132" s="20">
        <v>70.662086169616472</v>
      </c>
      <c r="AY132" s="20">
        <v>100.07940202847027</v>
      </c>
      <c r="AZ132" s="20">
        <v>0.13077783165915452</v>
      </c>
      <c r="BA132" s="20">
        <v>9</v>
      </c>
      <c r="BB132" s="20">
        <v>12</v>
      </c>
      <c r="BC132" s="21">
        <v>0.375</v>
      </c>
      <c r="BD132" s="21">
        <v>0.375</v>
      </c>
      <c r="BE132" s="20">
        <v>0.38709831106029208</v>
      </c>
      <c r="BF132" s="21">
        <v>0.41666666666666669</v>
      </c>
      <c r="BG132" s="21">
        <v>0</v>
      </c>
      <c r="BH132" s="20">
        <v>0.14169323414806942</v>
      </c>
      <c r="BI132" s="20">
        <v>0.21253985122210414</v>
      </c>
      <c r="BJ132" s="20">
        <v>0.16546703069413418</v>
      </c>
      <c r="BK132" s="20">
        <v>8.4674005080440304E-2</v>
      </c>
      <c r="BL132" s="20">
        <v>1.8782426370284697</v>
      </c>
      <c r="BM132" s="20">
        <v>0.1369628488272556</v>
      </c>
      <c r="BN132" s="20">
        <v>7.6923076923076925</v>
      </c>
      <c r="BO132" s="22" t="s">
        <v>263</v>
      </c>
      <c r="BP132" s="22">
        <v>95000</v>
      </c>
    </row>
    <row r="133" spans="1:68" x14ac:dyDescent="0.3">
      <c r="A133" s="16" t="s">
        <v>162</v>
      </c>
      <c r="B133" s="16" t="s">
        <v>283</v>
      </c>
      <c r="C133" s="4" t="s">
        <v>87</v>
      </c>
      <c r="D133" s="5" t="s">
        <v>231</v>
      </c>
      <c r="E133" s="7">
        <v>23</v>
      </c>
      <c r="F133" s="7">
        <v>13</v>
      </c>
      <c r="G133" s="14">
        <v>1393</v>
      </c>
      <c r="H133" s="5" t="s">
        <v>226</v>
      </c>
      <c r="I133" s="18">
        <f>H133/$D133</f>
        <v>6</v>
      </c>
      <c r="J133" s="6" t="s">
        <v>229</v>
      </c>
      <c r="K133" s="6" t="s">
        <v>193</v>
      </c>
      <c r="L133" s="18">
        <f>J133/$D133</f>
        <v>5</v>
      </c>
      <c r="M133" s="18">
        <f>K133/$D133</f>
        <v>3</v>
      </c>
      <c r="N133" s="19">
        <f>K133/J133</f>
        <v>0.6</v>
      </c>
      <c r="O133" s="14" t="s">
        <v>184</v>
      </c>
      <c r="P133" s="15" t="s">
        <v>193</v>
      </c>
      <c r="Q133" s="18">
        <f>O133/$D133</f>
        <v>4</v>
      </c>
      <c r="R133" s="18">
        <f>P133/$D133</f>
        <v>3</v>
      </c>
      <c r="S133" s="19">
        <f>P133/O133</f>
        <v>0.75</v>
      </c>
      <c r="T133" s="15" t="s">
        <v>231</v>
      </c>
      <c r="U133" s="15" t="s">
        <v>192</v>
      </c>
      <c r="V133" s="18">
        <f>T133/$D133</f>
        <v>1</v>
      </c>
      <c r="W133" s="18">
        <f>U133/$D133</f>
        <v>0</v>
      </c>
      <c r="X133" s="19">
        <f>U133/T133</f>
        <v>0</v>
      </c>
      <c r="Y133" s="15" t="s">
        <v>192</v>
      </c>
      <c r="Z133" s="15" t="s">
        <v>192</v>
      </c>
      <c r="AA133" s="18">
        <f>Y133/$D133</f>
        <v>0</v>
      </c>
      <c r="AB133" s="18">
        <f>Z133/$D133</f>
        <v>0</v>
      </c>
      <c r="AC133" s="19" t="e">
        <f>Z133/Y133</f>
        <v>#DIV/0!</v>
      </c>
      <c r="AD133" s="15" t="s">
        <v>184</v>
      </c>
      <c r="AE133" s="18">
        <f>AD133/$D133</f>
        <v>4</v>
      </c>
      <c r="AF133" s="15" t="s">
        <v>193</v>
      </c>
      <c r="AG133" s="18">
        <f>AF133/$D133</f>
        <v>3</v>
      </c>
      <c r="AH133" s="15" t="s">
        <v>231</v>
      </c>
      <c r="AI133" s="18">
        <f>AH133/$D133</f>
        <v>1</v>
      </c>
      <c r="AJ133" s="15" t="s">
        <v>231</v>
      </c>
      <c r="AK133" s="18">
        <f>AJ133/$D133</f>
        <v>1</v>
      </c>
      <c r="AL133" s="15" t="s">
        <v>192</v>
      </c>
      <c r="AM133" s="18">
        <f>AL133/$D133</f>
        <v>0</v>
      </c>
      <c r="AN133" s="15" t="s">
        <v>192</v>
      </c>
      <c r="AO133" s="18">
        <f>AN133/$D133</f>
        <v>0</v>
      </c>
      <c r="AP133" s="15" t="s">
        <v>194</v>
      </c>
      <c r="AQ133" s="18">
        <f>AP133/$D133</f>
        <v>2</v>
      </c>
      <c r="AR133" s="15" t="s">
        <v>194</v>
      </c>
      <c r="AS133" s="18">
        <f>AR133/$D133</f>
        <v>2</v>
      </c>
      <c r="AT133" s="20">
        <v>-7.43454084056187E-3</v>
      </c>
      <c r="AU133" s="20">
        <v>-1.2808972015325548E-2</v>
      </c>
      <c r="AV133" s="20">
        <v>-1.676565704345797E-2</v>
      </c>
      <c r="AW133" s="20">
        <v>9.3311162028960996E-3</v>
      </c>
      <c r="AX133" s="20">
        <v>90.044681319316936</v>
      </c>
      <c r="AY133" s="20">
        <v>110.47332167482766</v>
      </c>
      <c r="AZ133" s="20">
        <v>0.11453060321267282</v>
      </c>
      <c r="BA133" s="20">
        <v>7</v>
      </c>
      <c r="BB133" s="20">
        <v>12.060301507537689</v>
      </c>
      <c r="BC133" s="21">
        <v>0.6</v>
      </c>
      <c r="BD133" s="21">
        <v>0.6</v>
      </c>
      <c r="BE133" s="20">
        <v>0.2693378275641769</v>
      </c>
      <c r="BF133" s="21">
        <v>0.2</v>
      </c>
      <c r="BG133" s="21">
        <v>0</v>
      </c>
      <c r="BH133" s="20">
        <v>0.27463871658276201</v>
      </c>
      <c r="BI133" s="20">
        <v>9.154623886092067E-2</v>
      </c>
      <c r="BJ133" s="20">
        <v>0.17104990969099299</v>
      </c>
      <c r="BK133" s="20">
        <v>0.10940220810123351</v>
      </c>
      <c r="BL133" s="20">
        <v>0</v>
      </c>
      <c r="BM133" s="20">
        <v>0</v>
      </c>
      <c r="BN133" s="20">
        <v>28.571428571428573</v>
      </c>
      <c r="BO133" s="22" t="s">
        <v>263</v>
      </c>
      <c r="BP133" s="22">
        <v>550000</v>
      </c>
    </row>
    <row r="134" spans="1:68" x14ac:dyDescent="0.3">
      <c r="A134" s="16" t="s">
        <v>162</v>
      </c>
      <c r="B134" s="16" t="s">
        <v>283</v>
      </c>
      <c r="C134" s="4" t="s">
        <v>428</v>
      </c>
      <c r="D134" s="5" t="s">
        <v>231</v>
      </c>
      <c r="E134" s="7">
        <v>15</v>
      </c>
      <c r="F134" s="7">
        <v>54</v>
      </c>
      <c r="G134" s="14">
        <v>954</v>
      </c>
      <c r="H134" s="5" t="s">
        <v>226</v>
      </c>
      <c r="I134" s="18">
        <f>H134/$D134</f>
        <v>6</v>
      </c>
      <c r="J134" s="6" t="s">
        <v>184</v>
      </c>
      <c r="K134" s="6" t="s">
        <v>193</v>
      </c>
      <c r="L134" s="18">
        <f>J134/$D134</f>
        <v>4</v>
      </c>
      <c r="M134" s="18">
        <f>K134/$D134</f>
        <v>3</v>
      </c>
      <c r="N134" s="19">
        <f>K134/J134</f>
        <v>0.75</v>
      </c>
      <c r="O134" s="14" t="s">
        <v>184</v>
      </c>
      <c r="P134" s="15" t="s">
        <v>193</v>
      </c>
      <c r="Q134" s="18">
        <f>O134/$D134</f>
        <v>4</v>
      </c>
      <c r="R134" s="18">
        <f>P134/$D134</f>
        <v>3</v>
      </c>
      <c r="S134" s="19">
        <f>P134/O134</f>
        <v>0.75</v>
      </c>
      <c r="T134" s="15" t="s">
        <v>192</v>
      </c>
      <c r="U134" s="15" t="s">
        <v>192</v>
      </c>
      <c r="V134" s="18">
        <f>T134/$D134</f>
        <v>0</v>
      </c>
      <c r="W134" s="18">
        <f>U134/$D134</f>
        <v>0</v>
      </c>
      <c r="X134" s="19" t="e">
        <f>U134/T134</f>
        <v>#DIV/0!</v>
      </c>
      <c r="Y134" s="15" t="s">
        <v>192</v>
      </c>
      <c r="Z134" s="15" t="s">
        <v>192</v>
      </c>
      <c r="AA134" s="18">
        <f>Y134/$D134</f>
        <v>0</v>
      </c>
      <c r="AB134" s="18">
        <f>Z134/$D134</f>
        <v>0</v>
      </c>
      <c r="AC134" s="19" t="e">
        <f>Z134/Y134</f>
        <v>#DIV/0!</v>
      </c>
      <c r="AD134" s="15" t="s">
        <v>229</v>
      </c>
      <c r="AE134" s="18">
        <f>AD134/$D134</f>
        <v>5</v>
      </c>
      <c r="AF134" s="15" t="s">
        <v>194</v>
      </c>
      <c r="AG134" s="18">
        <f>AF134/$D134</f>
        <v>2</v>
      </c>
      <c r="AH134" s="15" t="s">
        <v>193</v>
      </c>
      <c r="AI134" s="18">
        <f>AH134/$D134</f>
        <v>3</v>
      </c>
      <c r="AJ134" s="15" t="s">
        <v>192</v>
      </c>
      <c r="AK134" s="18">
        <f>AJ134/$D134</f>
        <v>0</v>
      </c>
      <c r="AL134" s="15" t="s">
        <v>231</v>
      </c>
      <c r="AM134" s="18">
        <f>AL134/$D134</f>
        <v>1</v>
      </c>
      <c r="AN134" s="15" t="s">
        <v>231</v>
      </c>
      <c r="AO134" s="18">
        <f>AN134/$D134</f>
        <v>1</v>
      </c>
      <c r="AP134" s="15" t="s">
        <v>192</v>
      </c>
      <c r="AQ134" s="18">
        <f>AP134/$D134</f>
        <v>0</v>
      </c>
      <c r="AR134" s="15" t="s">
        <v>184</v>
      </c>
      <c r="AS134" s="18">
        <f>AR134/$D134</f>
        <v>4</v>
      </c>
      <c r="AT134" s="20">
        <v>4.6337554176416017E-2</v>
      </c>
      <c r="AU134" s="20">
        <v>0.11657246333689564</v>
      </c>
      <c r="AV134" s="20">
        <v>7.737323020952579E-3</v>
      </c>
      <c r="AW134" s="20">
        <v>3.8600231155463439E-2</v>
      </c>
      <c r="AX134" s="20">
        <v>102.1877477009814</v>
      </c>
      <c r="AY134" s="20">
        <v>92.364987568174769</v>
      </c>
      <c r="AZ134" s="20">
        <v>0.30179027026906208</v>
      </c>
      <c r="BA134" s="20">
        <v>12</v>
      </c>
      <c r="BB134" s="20">
        <v>30.188679245283016</v>
      </c>
      <c r="BC134" s="21">
        <v>0.75</v>
      </c>
      <c r="BD134" s="21">
        <v>0.75</v>
      </c>
      <c r="BE134" s="20">
        <v>0.22473051440365285</v>
      </c>
      <c r="BF134" s="21">
        <v>0</v>
      </c>
      <c r="BG134" s="21">
        <v>0</v>
      </c>
      <c r="BH134" s="20">
        <v>0.26734572480767815</v>
      </c>
      <c r="BI134" s="20">
        <v>0.40101858721151729</v>
      </c>
      <c r="BJ134" s="20">
        <v>0.31220194470591356</v>
      </c>
      <c r="BK134" s="20">
        <v>0</v>
      </c>
      <c r="BL134" s="20">
        <v>3.5438540321291887</v>
      </c>
      <c r="BM134" s="20">
        <v>0.12921023474269397</v>
      </c>
      <c r="BN134" s="20">
        <v>0</v>
      </c>
      <c r="BO134" s="22" t="s">
        <v>263</v>
      </c>
      <c r="BP134" s="22"/>
    </row>
    <row r="135" spans="1:68" x14ac:dyDescent="0.3">
      <c r="A135" s="16" t="s">
        <v>162</v>
      </c>
      <c r="B135" s="16" t="s">
        <v>283</v>
      </c>
      <c r="C135" s="4" t="s">
        <v>143</v>
      </c>
      <c r="D135" s="5" t="s">
        <v>194</v>
      </c>
      <c r="E135" s="7">
        <v>12</v>
      </c>
      <c r="F135" s="7">
        <v>0</v>
      </c>
      <c r="G135" s="14">
        <v>1439</v>
      </c>
      <c r="H135" s="5" t="s">
        <v>193</v>
      </c>
      <c r="I135" s="18">
        <f>H135/$D135</f>
        <v>1.5</v>
      </c>
      <c r="J135" s="6" t="s">
        <v>226</v>
      </c>
      <c r="K135" s="6" t="s">
        <v>231</v>
      </c>
      <c r="L135" s="18">
        <f>J135/$D135</f>
        <v>3</v>
      </c>
      <c r="M135" s="18">
        <f>K135/$D135</f>
        <v>0.5</v>
      </c>
      <c r="N135" s="19">
        <f>K135/J135</f>
        <v>0.16666666666666666</v>
      </c>
      <c r="O135" s="14" t="s">
        <v>184</v>
      </c>
      <c r="P135" s="15" t="s">
        <v>192</v>
      </c>
      <c r="Q135" s="18">
        <f>O135/$D135</f>
        <v>2</v>
      </c>
      <c r="R135" s="18">
        <f>P135/$D135</f>
        <v>0</v>
      </c>
      <c r="S135" s="19">
        <f>P135/O135</f>
        <v>0</v>
      </c>
      <c r="T135" s="15" t="s">
        <v>194</v>
      </c>
      <c r="U135" s="15" t="s">
        <v>231</v>
      </c>
      <c r="V135" s="18">
        <f>T135/$D135</f>
        <v>1</v>
      </c>
      <c r="W135" s="18">
        <f>U135/$D135</f>
        <v>0.5</v>
      </c>
      <c r="X135" s="19">
        <f>U135/T135</f>
        <v>0.5</v>
      </c>
      <c r="Y135" s="15" t="s">
        <v>192</v>
      </c>
      <c r="Z135" s="15" t="s">
        <v>192</v>
      </c>
      <c r="AA135" s="18">
        <f>Y135/$D135</f>
        <v>0</v>
      </c>
      <c r="AB135" s="18">
        <f>Z135/$D135</f>
        <v>0</v>
      </c>
      <c r="AC135" s="19" t="e">
        <f>Z135/Y135</f>
        <v>#DIV/0!</v>
      </c>
      <c r="AD135" s="15" t="s">
        <v>187</v>
      </c>
      <c r="AE135" s="18">
        <f>AD135/$D135</f>
        <v>3.5</v>
      </c>
      <c r="AF135" s="15" t="s">
        <v>231</v>
      </c>
      <c r="AG135" s="18">
        <f>AF135/$D135</f>
        <v>0.5</v>
      </c>
      <c r="AH135" s="15" t="s">
        <v>226</v>
      </c>
      <c r="AI135" s="18">
        <f>AH135/$D135</f>
        <v>3</v>
      </c>
      <c r="AJ135" s="15" t="s">
        <v>192</v>
      </c>
      <c r="AK135" s="18">
        <f>AJ135/$D135</f>
        <v>0</v>
      </c>
      <c r="AL135" s="15" t="s">
        <v>192</v>
      </c>
      <c r="AM135" s="18">
        <f>AL135/$D135</f>
        <v>0</v>
      </c>
      <c r="AN135" s="15" t="s">
        <v>192</v>
      </c>
      <c r="AO135" s="18">
        <f>AN135/$D135</f>
        <v>0</v>
      </c>
      <c r="AP135" s="15" t="s">
        <v>231</v>
      </c>
      <c r="AQ135" s="18">
        <f>AP135/$D135</f>
        <v>0.5</v>
      </c>
      <c r="AR135" s="15" t="s">
        <v>231</v>
      </c>
      <c r="AS135" s="18">
        <f>AR135/$D135</f>
        <v>0.5</v>
      </c>
      <c r="AT135" s="20">
        <v>-0.1329759388873934</v>
      </c>
      <c r="AU135" s="20">
        <v>-0.22162656481232235</v>
      </c>
      <c r="AV135" s="20">
        <v>-0.16434359611774071</v>
      </c>
      <c r="AW135" s="20">
        <v>3.1367657230347332E-2</v>
      </c>
      <c r="AX135" s="20">
        <v>36.501341007815583</v>
      </c>
      <c r="AY135" s="20">
        <v>102.3829129652231</v>
      </c>
      <c r="AZ135" s="20">
        <v>-7.4463790694068695E-3</v>
      </c>
      <c r="BA135" s="20">
        <v>2</v>
      </c>
      <c r="BB135" s="20">
        <v>6.6666666666666661</v>
      </c>
      <c r="BC135" s="21">
        <v>0.25</v>
      </c>
      <c r="BD135" s="21">
        <v>0.25</v>
      </c>
      <c r="BE135" s="20">
        <v>0.52109388027347003</v>
      </c>
      <c r="BF135" s="21">
        <v>0.33333333333333331</v>
      </c>
      <c r="BG135" s="21">
        <v>0</v>
      </c>
      <c r="BH135" s="20">
        <v>0.17711654268508678</v>
      </c>
      <c r="BI135" s="20">
        <v>1.0626992561105209</v>
      </c>
      <c r="BJ135" s="20">
        <v>0.57913460742946965</v>
      </c>
      <c r="BK135" s="20">
        <v>0</v>
      </c>
      <c r="BL135" s="20">
        <v>0</v>
      </c>
      <c r="BM135" s="20">
        <v>0</v>
      </c>
      <c r="BN135" s="20">
        <v>14.285714285714286</v>
      </c>
      <c r="BO135" s="22" t="s">
        <v>263</v>
      </c>
      <c r="BP135" s="22">
        <v>67000</v>
      </c>
    </row>
    <row r="136" spans="1:68" x14ac:dyDescent="0.3">
      <c r="A136" s="16" t="s">
        <v>162</v>
      </c>
      <c r="B136" s="16" t="s">
        <v>272</v>
      </c>
      <c r="C136" s="16" t="s">
        <v>165</v>
      </c>
      <c r="D136" s="15" t="s">
        <v>233</v>
      </c>
      <c r="E136" s="15">
        <v>30</v>
      </c>
      <c r="F136" s="15">
        <v>6</v>
      </c>
      <c r="G136" s="14">
        <v>92085</v>
      </c>
      <c r="H136" s="8" t="s">
        <v>273</v>
      </c>
      <c r="I136" s="18">
        <f>H136/$D136</f>
        <v>20.843137254901961</v>
      </c>
      <c r="J136" s="6" t="s">
        <v>447</v>
      </c>
      <c r="K136" s="6" t="s">
        <v>448</v>
      </c>
      <c r="L136" s="18">
        <f>J136/$D136</f>
        <v>17.176470588235293</v>
      </c>
      <c r="M136" s="18">
        <f>K136/$D136</f>
        <v>8.1764705882352935</v>
      </c>
      <c r="N136" s="19">
        <f>K136/J136</f>
        <v>0.47602739726027399</v>
      </c>
      <c r="O136" s="12" t="s">
        <v>577</v>
      </c>
      <c r="P136" s="5" t="s">
        <v>452</v>
      </c>
      <c r="Q136" s="18">
        <f>O136/$D136</f>
        <v>12.235294117647058</v>
      </c>
      <c r="R136" s="18">
        <f>P136/$D136</f>
        <v>6.7058823529411766</v>
      </c>
      <c r="S136" s="19">
        <f>P136/O136</f>
        <v>0.54807692307692313</v>
      </c>
      <c r="T136" s="12" t="s">
        <v>619</v>
      </c>
      <c r="U136" s="6" t="s">
        <v>620</v>
      </c>
      <c r="V136" s="18">
        <f>T136/$D136</f>
        <v>4.9411764705882355</v>
      </c>
      <c r="W136" s="18">
        <f>U136/$D136</f>
        <v>1.4705882352941178</v>
      </c>
      <c r="X136" s="19">
        <f>U136/T136</f>
        <v>0.29761904761904762</v>
      </c>
      <c r="Y136" s="5" t="s">
        <v>479</v>
      </c>
      <c r="Z136" s="5" t="s">
        <v>560</v>
      </c>
      <c r="AA136" s="18">
        <f>Y136/$D136</f>
        <v>3.9607843137254903</v>
      </c>
      <c r="AB136" s="18">
        <f>Z136/$D136</f>
        <v>3.0196078431372548</v>
      </c>
      <c r="AC136" s="19">
        <f>Z136/Y136</f>
        <v>0.76237623762376239</v>
      </c>
      <c r="AD136" s="15" t="s">
        <v>644</v>
      </c>
      <c r="AE136" s="18">
        <f>AD136/$D136</f>
        <v>8.9019607843137258</v>
      </c>
      <c r="AF136" s="15" t="s">
        <v>611</v>
      </c>
      <c r="AG136" s="18">
        <f>AF136/$D136</f>
        <v>2.4509803921568629</v>
      </c>
      <c r="AH136" s="8" t="s">
        <v>662</v>
      </c>
      <c r="AI136" s="18">
        <f>AH136/$D136</f>
        <v>6.4509803921568629</v>
      </c>
      <c r="AJ136" s="8" t="s">
        <v>385</v>
      </c>
      <c r="AK136" s="18">
        <f>AJ136/$D136</f>
        <v>2.5686274509803924</v>
      </c>
      <c r="AL136" s="8" t="s">
        <v>407</v>
      </c>
      <c r="AM136" s="18">
        <f>AL136/$D136</f>
        <v>1.4313725490196079</v>
      </c>
      <c r="AN136" s="8" t="s">
        <v>213</v>
      </c>
      <c r="AO136" s="18">
        <f>AN136/$D136</f>
        <v>0.66666666666666663</v>
      </c>
      <c r="AP136" s="12" t="s">
        <v>641</v>
      </c>
      <c r="AQ136" s="18">
        <f>AP136/$D136</f>
        <v>1.5686274509803921</v>
      </c>
      <c r="AR136" s="12" t="s">
        <v>549</v>
      </c>
      <c r="AS136" s="18">
        <f>AR136/$D136</f>
        <v>3.1372549019607843</v>
      </c>
      <c r="AT136" s="20">
        <v>5.164953430469148</v>
      </c>
      <c r="AU136" s="20">
        <v>0.13458285272540285</v>
      </c>
      <c r="AV136" s="20">
        <v>3.5466597855115101</v>
      </c>
      <c r="AW136" s="20">
        <v>1.6182936449576382</v>
      </c>
      <c r="AX136" s="20">
        <v>110.40051614144299</v>
      </c>
      <c r="AY136" s="20">
        <v>104.51348393663605</v>
      </c>
      <c r="AZ136" s="20">
        <v>17.395158849224636</v>
      </c>
      <c r="BA136" s="20">
        <v>22.901960784313726</v>
      </c>
      <c r="BB136" s="20">
        <v>30.434499381147809</v>
      </c>
      <c r="BC136" s="21">
        <v>0.55084570101981589</v>
      </c>
      <c r="BD136" s="21">
        <v>0.51883561643835618</v>
      </c>
      <c r="BE136" s="20">
        <v>31.009809603425353</v>
      </c>
      <c r="BF136" s="21">
        <v>0.28767123287671231</v>
      </c>
      <c r="BG136" s="21">
        <v>0.23059360730593606</v>
      </c>
      <c r="BH136" s="20">
        <v>8.8264057816488428</v>
      </c>
      <c r="BI136" s="20">
        <v>23.231100017299756</v>
      </c>
      <c r="BJ136" s="20">
        <v>14.974491415641912</v>
      </c>
      <c r="BK136" s="20">
        <v>16.970011011075851</v>
      </c>
      <c r="BL136" s="20">
        <v>2.6795331737947685</v>
      </c>
      <c r="BM136" s="20">
        <v>2.3206329867740982</v>
      </c>
      <c r="BN136" s="20">
        <v>7.6563815940586473</v>
      </c>
      <c r="BO136" s="22" t="s">
        <v>267</v>
      </c>
      <c r="BP136" s="22">
        <v>50000</v>
      </c>
    </row>
    <row r="137" spans="1:68" x14ac:dyDescent="0.3">
      <c r="A137" s="16" t="s">
        <v>162</v>
      </c>
      <c r="B137" s="16" t="s">
        <v>272</v>
      </c>
      <c r="C137" s="16" t="s">
        <v>107</v>
      </c>
      <c r="D137" s="15" t="s">
        <v>201</v>
      </c>
      <c r="E137" s="15">
        <v>32</v>
      </c>
      <c r="F137" s="15">
        <v>33</v>
      </c>
      <c r="G137" s="14">
        <v>105482</v>
      </c>
      <c r="H137" s="8" t="s">
        <v>293</v>
      </c>
      <c r="I137" s="18">
        <f>H137/$D137</f>
        <v>12.75925925925926</v>
      </c>
      <c r="J137" s="6" t="s">
        <v>474</v>
      </c>
      <c r="K137" s="6" t="s">
        <v>342</v>
      </c>
      <c r="L137" s="18">
        <f>J137/$D137</f>
        <v>10.685185185185185</v>
      </c>
      <c r="M137" s="18">
        <f>K137/$D137</f>
        <v>4.6851851851851851</v>
      </c>
      <c r="N137" s="19">
        <f>K137/J137</f>
        <v>0.43847487001733104</v>
      </c>
      <c r="O137" s="12" t="s">
        <v>593</v>
      </c>
      <c r="P137" s="5" t="s">
        <v>502</v>
      </c>
      <c r="Q137" s="18">
        <f>O137/$D137</f>
        <v>5.2592592592592595</v>
      </c>
      <c r="R137" s="18">
        <f>P137/$D137</f>
        <v>2.4814814814814814</v>
      </c>
      <c r="S137" s="19">
        <f>P137/O137</f>
        <v>0.47183098591549294</v>
      </c>
      <c r="T137" s="12" t="s">
        <v>330</v>
      </c>
      <c r="U137" s="6" t="s">
        <v>570</v>
      </c>
      <c r="V137" s="18">
        <f>T137/$D137</f>
        <v>5.4259259259259256</v>
      </c>
      <c r="W137" s="18">
        <f>U137/$D137</f>
        <v>2.2037037037037037</v>
      </c>
      <c r="X137" s="19">
        <f>U137/T137</f>
        <v>0.4061433447098976</v>
      </c>
      <c r="Y137" s="5" t="s">
        <v>571</v>
      </c>
      <c r="Z137" s="5" t="s">
        <v>572</v>
      </c>
      <c r="AA137" s="18">
        <f>Y137/$D137</f>
        <v>1.4259259259259258</v>
      </c>
      <c r="AB137" s="18">
        <f>Z137/$D137</f>
        <v>1.1851851851851851</v>
      </c>
      <c r="AC137" s="19">
        <f>Z137/Y137</f>
        <v>0.83116883116883122</v>
      </c>
      <c r="AD137" s="15" t="s">
        <v>650</v>
      </c>
      <c r="AE137" s="18">
        <f>AD137/$D137</f>
        <v>2.6481481481481484</v>
      </c>
      <c r="AF137" s="15" t="s">
        <v>199</v>
      </c>
      <c r="AG137" s="18">
        <f>AF137/$D137</f>
        <v>0.61111111111111116</v>
      </c>
      <c r="AH137" s="8" t="s">
        <v>525</v>
      </c>
      <c r="AI137" s="18">
        <f>AH137/$D137</f>
        <v>2.0370370370370372</v>
      </c>
      <c r="AJ137" s="8" t="s">
        <v>673</v>
      </c>
      <c r="AK137" s="18">
        <f>AJ137/$D137</f>
        <v>4.7592592592592595</v>
      </c>
      <c r="AL137" s="8" t="s">
        <v>233</v>
      </c>
      <c r="AM137" s="18">
        <f>AL137/$D137</f>
        <v>0.94444444444444442</v>
      </c>
      <c r="AN137" s="8" t="s">
        <v>184</v>
      </c>
      <c r="AO137" s="18">
        <f>AN137/$D137</f>
        <v>7.407407407407407E-2</v>
      </c>
      <c r="AP137" s="8" t="s">
        <v>567</v>
      </c>
      <c r="AQ137" s="18">
        <f>AP137/$D137</f>
        <v>1.8888888888888888</v>
      </c>
      <c r="AR137" s="8" t="s">
        <v>564</v>
      </c>
      <c r="AS137" s="18">
        <f>AR137/$D137</f>
        <v>2.3703703703703702</v>
      </c>
      <c r="AT137" s="20">
        <v>2.2750806079589325</v>
      </c>
      <c r="AU137" s="20">
        <v>5.1774036706125792E-2</v>
      </c>
      <c r="AV137" s="20">
        <v>2.365172818898778</v>
      </c>
      <c r="AW137" s="20">
        <v>-9.0092210939845416E-2</v>
      </c>
      <c r="AX137" s="20">
        <v>109.253211440084</v>
      </c>
      <c r="AY137" s="20">
        <v>114.5304778493641</v>
      </c>
      <c r="AZ137" s="20">
        <v>9.9064883289790178</v>
      </c>
      <c r="BA137" s="20">
        <v>13.055555555555555</v>
      </c>
      <c r="BB137" s="20">
        <v>16.043693463048299</v>
      </c>
      <c r="BC137" s="21">
        <v>0.56394054478784705</v>
      </c>
      <c r="BD137" s="21">
        <v>0.54159445407279028</v>
      </c>
      <c r="BE137" s="20">
        <v>19.564313646838777</v>
      </c>
      <c r="BF137" s="21">
        <v>0.50779896013864823</v>
      </c>
      <c r="BG137" s="21">
        <v>0.13344887348353554</v>
      </c>
      <c r="BH137" s="20">
        <v>2.1547819017909178</v>
      </c>
      <c r="BI137" s="20">
        <v>7.1826063393030593</v>
      </c>
      <c r="BJ137" s="20">
        <v>4.3616194265919246</v>
      </c>
      <c r="BK137" s="20">
        <v>24.885618146166696</v>
      </c>
      <c r="BL137" s="20">
        <v>1.6349270265992824</v>
      </c>
      <c r="BM137" s="20">
        <v>0.25246608078756799</v>
      </c>
      <c r="BN137" s="20">
        <v>14.308158455841095</v>
      </c>
      <c r="BO137" s="22" t="s">
        <v>263</v>
      </c>
      <c r="BP137" s="22">
        <v>220000</v>
      </c>
    </row>
    <row r="138" spans="1:68" x14ac:dyDescent="0.3">
      <c r="A138" s="16" t="s">
        <v>162</v>
      </c>
      <c r="B138" s="16" t="s">
        <v>272</v>
      </c>
      <c r="C138" s="4" t="s">
        <v>104</v>
      </c>
      <c r="D138" s="5" t="s">
        <v>218</v>
      </c>
      <c r="E138" s="7">
        <v>29</v>
      </c>
      <c r="F138" s="7">
        <v>46</v>
      </c>
      <c r="G138" s="14">
        <v>85717</v>
      </c>
      <c r="H138" s="5" t="s">
        <v>307</v>
      </c>
      <c r="I138" s="18">
        <f>H138/$D138</f>
        <v>9.3541666666666661</v>
      </c>
      <c r="J138" s="6" t="s">
        <v>494</v>
      </c>
      <c r="K138" s="6" t="s">
        <v>378</v>
      </c>
      <c r="L138" s="18">
        <f>J138/$D138</f>
        <v>8.1666666666666661</v>
      </c>
      <c r="M138" s="18">
        <f>K138/$D138</f>
        <v>3.4375</v>
      </c>
      <c r="N138" s="19">
        <f>K138/J138</f>
        <v>0.42091836734693877</v>
      </c>
      <c r="O138" s="14" t="s">
        <v>359</v>
      </c>
      <c r="P138" s="15" t="s">
        <v>514</v>
      </c>
      <c r="Q138" s="18">
        <f>O138/$D138</f>
        <v>4.520833333333333</v>
      </c>
      <c r="R138" s="18">
        <f>P138/$D138</f>
        <v>2.2083333333333335</v>
      </c>
      <c r="S138" s="19">
        <f>P138/O138</f>
        <v>0.48847926267281105</v>
      </c>
      <c r="T138" s="15" t="s">
        <v>628</v>
      </c>
      <c r="U138" s="15" t="s">
        <v>212</v>
      </c>
      <c r="V138" s="18">
        <f>T138/$D138</f>
        <v>3.6458333333333335</v>
      </c>
      <c r="W138" s="18">
        <f>U138/$D138</f>
        <v>1.2291666666666667</v>
      </c>
      <c r="X138" s="19">
        <f>U138/T138</f>
        <v>0.33714285714285713</v>
      </c>
      <c r="Y138" s="15" t="s">
        <v>613</v>
      </c>
      <c r="Z138" s="15" t="s">
        <v>553</v>
      </c>
      <c r="AA138" s="18">
        <f>Y138/$D138</f>
        <v>1.5833333333333333</v>
      </c>
      <c r="AB138" s="18">
        <f>Z138/$D138</f>
        <v>1.25</v>
      </c>
      <c r="AC138" s="19">
        <f>Z138/Y138</f>
        <v>0.78947368421052633</v>
      </c>
      <c r="AD138" s="15" t="s">
        <v>628</v>
      </c>
      <c r="AE138" s="18">
        <f>AD138/$D138</f>
        <v>3.6458333333333335</v>
      </c>
      <c r="AF138" s="15" t="s">
        <v>212</v>
      </c>
      <c r="AG138" s="18">
        <f>AF138/$D138</f>
        <v>1.2291666666666667</v>
      </c>
      <c r="AH138" s="15" t="s">
        <v>624</v>
      </c>
      <c r="AI138" s="18">
        <f>AH138/$D138</f>
        <v>2.4166666666666665</v>
      </c>
      <c r="AJ138" s="15" t="s">
        <v>333</v>
      </c>
      <c r="AK138" s="18">
        <f>AJ138/$D138</f>
        <v>6</v>
      </c>
      <c r="AL138" s="15" t="s">
        <v>219</v>
      </c>
      <c r="AM138" s="18">
        <f>AL138/$D138</f>
        <v>0.89583333333333337</v>
      </c>
      <c r="AN138" s="15" t="s">
        <v>193</v>
      </c>
      <c r="AO138" s="18">
        <f>AN138/$D138</f>
        <v>6.25E-2</v>
      </c>
      <c r="AP138" s="15" t="s">
        <v>518</v>
      </c>
      <c r="AQ138" s="18">
        <f>AP138/$D138</f>
        <v>2.1875</v>
      </c>
      <c r="AR138" s="15" t="s">
        <v>670</v>
      </c>
      <c r="AS138" s="18">
        <f>AR138/$D138</f>
        <v>2.8333333333333335</v>
      </c>
      <c r="AT138" s="20">
        <v>1.6243417810539598</v>
      </c>
      <c r="AU138" s="20">
        <v>4.5474293982473678E-2</v>
      </c>
      <c r="AV138" s="20">
        <v>1.5420407881188176</v>
      </c>
      <c r="AW138" s="20">
        <v>8.2300992935142245E-2</v>
      </c>
      <c r="AX138" s="20">
        <v>106.82891725218211</v>
      </c>
      <c r="AY138" s="20">
        <v>113.54407226059301</v>
      </c>
      <c r="AZ138" s="20">
        <v>8.1204353208812119</v>
      </c>
      <c r="BA138" s="20">
        <v>12.708333333333334</v>
      </c>
      <c r="BB138" s="20">
        <v>17.077267637178053</v>
      </c>
      <c r="BC138" s="21">
        <v>0.52768898081985705</v>
      </c>
      <c r="BD138" s="21">
        <v>0.49617346938775508</v>
      </c>
      <c r="BE138" s="20">
        <v>15.91861360211381</v>
      </c>
      <c r="BF138" s="21">
        <v>0.44642857142857145</v>
      </c>
      <c r="BG138" s="21">
        <v>0.19387755102040816</v>
      </c>
      <c r="BH138" s="20">
        <v>4.2127159760708208</v>
      </c>
      <c r="BI138" s="20">
        <v>8.2826280207494101</v>
      </c>
      <c r="BJ138" s="20">
        <v>5.8367429640148121</v>
      </c>
      <c r="BK138" s="20">
        <v>28.492753145250383</v>
      </c>
      <c r="BL138" s="20">
        <v>1.6957817761525236</v>
      </c>
      <c r="BM138" s="20">
        <v>0.20705469867502249</v>
      </c>
      <c r="BN138" s="20">
        <v>19.794887263403965</v>
      </c>
      <c r="BO138" s="22" t="s">
        <v>263</v>
      </c>
      <c r="BP138" s="22">
        <v>550000</v>
      </c>
    </row>
    <row r="139" spans="1:68" x14ac:dyDescent="0.3">
      <c r="A139" s="16" t="s">
        <v>162</v>
      </c>
      <c r="B139" s="16" t="s">
        <v>272</v>
      </c>
      <c r="C139" s="4" t="s">
        <v>89</v>
      </c>
      <c r="D139" s="5" t="s">
        <v>233</v>
      </c>
      <c r="E139" s="7">
        <v>28</v>
      </c>
      <c r="F139" s="7">
        <v>6</v>
      </c>
      <c r="G139" s="14">
        <v>85996</v>
      </c>
      <c r="H139" s="5" t="s">
        <v>310</v>
      </c>
      <c r="I139" s="18">
        <f>H139/$D139</f>
        <v>8.3529411764705888</v>
      </c>
      <c r="J139" s="6" t="s">
        <v>496</v>
      </c>
      <c r="K139" s="6" t="s">
        <v>497</v>
      </c>
      <c r="L139" s="18">
        <f>J139/$D139</f>
        <v>9.2156862745098032</v>
      </c>
      <c r="M139" s="18">
        <f>K139/$D139</f>
        <v>3.8235294117647061</v>
      </c>
      <c r="N139" s="19">
        <f>K139/J139</f>
        <v>0.41489361702127658</v>
      </c>
      <c r="O139" s="14" t="s">
        <v>605</v>
      </c>
      <c r="P139" s="15" t="s">
        <v>367</v>
      </c>
      <c r="Q139" s="18">
        <f>O139/$D139</f>
        <v>8.6078431372549016</v>
      </c>
      <c r="R139" s="18">
        <f>P139/$D139</f>
        <v>3.6862745098039214</v>
      </c>
      <c r="S139" s="19">
        <f>P139/O139</f>
        <v>0.42824601366742598</v>
      </c>
      <c r="T139" s="15" t="s">
        <v>171</v>
      </c>
      <c r="U139" s="15" t="s">
        <v>187</v>
      </c>
      <c r="V139" s="18">
        <f>T139/$D139</f>
        <v>0.60784313725490191</v>
      </c>
      <c r="W139" s="18">
        <f>U139/$D139</f>
        <v>0.13725490196078433</v>
      </c>
      <c r="X139" s="19">
        <f>U139/T139</f>
        <v>0.22580645161290322</v>
      </c>
      <c r="Y139" s="15" t="s">
        <v>220</v>
      </c>
      <c r="Z139" s="15" t="s">
        <v>172</v>
      </c>
      <c r="AA139" s="18">
        <f>Y139/$D139</f>
        <v>0.82352941176470584</v>
      </c>
      <c r="AB139" s="18">
        <f>Z139/$D139</f>
        <v>0.56862745098039214</v>
      </c>
      <c r="AC139" s="19">
        <f>Z139/Y139</f>
        <v>0.69047619047619047</v>
      </c>
      <c r="AD139" s="15" t="s">
        <v>511</v>
      </c>
      <c r="AE139" s="18">
        <f>AD139/$D139</f>
        <v>5.7647058823529411</v>
      </c>
      <c r="AF139" s="15" t="s">
        <v>390</v>
      </c>
      <c r="AG139" s="18">
        <f>AF139/$D139</f>
        <v>2.1176470588235294</v>
      </c>
      <c r="AH139" s="15" t="s">
        <v>543</v>
      </c>
      <c r="AI139" s="18">
        <f>AH139/$D139</f>
        <v>3.6470588235294117</v>
      </c>
      <c r="AJ139" s="15" t="s">
        <v>570</v>
      </c>
      <c r="AK139" s="18">
        <f>AJ139/$D139</f>
        <v>2.3333333333333335</v>
      </c>
      <c r="AL139" s="15" t="s">
        <v>219</v>
      </c>
      <c r="AM139" s="18">
        <f>AL139/$D139</f>
        <v>0.84313725490196079</v>
      </c>
      <c r="AN139" s="15" t="s">
        <v>175</v>
      </c>
      <c r="AO139" s="18">
        <f>AN139/$D139</f>
        <v>0.41176470588235292</v>
      </c>
      <c r="AP139" s="15" t="s">
        <v>414</v>
      </c>
      <c r="AQ139" s="18">
        <f>AP139/$D139</f>
        <v>1.2156862745098038</v>
      </c>
      <c r="AR139" s="15" t="s">
        <v>608</v>
      </c>
      <c r="AS139" s="18">
        <f>AR139/$D139</f>
        <v>1.803921568627451</v>
      </c>
      <c r="AT139" s="20">
        <v>0.16270696795008982</v>
      </c>
      <c r="AU139" s="20">
        <v>4.5413988681903515E-3</v>
      </c>
      <c r="AV139" s="20">
        <v>-0.34483614268442925</v>
      </c>
      <c r="AW139" s="20">
        <v>0.50754311063451907</v>
      </c>
      <c r="AX139" s="20">
        <v>94.901252689871413</v>
      </c>
      <c r="AY139" s="20">
        <v>110.85684101369066</v>
      </c>
      <c r="AZ139" s="20">
        <v>7.7635457542260475</v>
      </c>
      <c r="BA139" s="20">
        <v>10.843137254901961</v>
      </c>
      <c r="BB139" s="20">
        <v>15.435070825483219</v>
      </c>
      <c r="BC139" s="21">
        <v>0.43604651162790697</v>
      </c>
      <c r="BD139" s="21">
        <v>0.42234042553191492</v>
      </c>
      <c r="BE139" s="20">
        <v>17.499853129411679</v>
      </c>
      <c r="BF139" s="21">
        <v>6.5957446808510636E-2</v>
      </c>
      <c r="BG139" s="21">
        <v>8.9361702127659579E-2</v>
      </c>
      <c r="BH139" s="20">
        <v>8.1687914348709061</v>
      </c>
      <c r="BI139" s="20">
        <v>14.068474137833228</v>
      </c>
      <c r="BJ139" s="20">
        <v>10.387325343218958</v>
      </c>
      <c r="BK139" s="20">
        <v>13.006175200830645</v>
      </c>
      <c r="BL139" s="20">
        <v>1.6906936025167301</v>
      </c>
      <c r="BM139" s="20">
        <v>1.5353486612308012</v>
      </c>
      <c r="BN139" s="20">
        <v>11.262897834617061</v>
      </c>
      <c r="BO139" s="22" t="s">
        <v>263</v>
      </c>
      <c r="BP139" s="22">
        <v>250000</v>
      </c>
    </row>
    <row r="140" spans="1:68" x14ac:dyDescent="0.3">
      <c r="A140" s="16" t="s">
        <v>162</v>
      </c>
      <c r="B140" s="16" t="s">
        <v>272</v>
      </c>
      <c r="C140" s="4" t="s">
        <v>198</v>
      </c>
      <c r="D140" s="5" t="s">
        <v>219</v>
      </c>
      <c r="E140" s="5">
        <v>26</v>
      </c>
      <c r="F140" s="5">
        <v>24</v>
      </c>
      <c r="G140" s="14">
        <v>68105</v>
      </c>
      <c r="H140" s="5" t="s">
        <v>343</v>
      </c>
      <c r="I140" s="18">
        <f>H140/$D140</f>
        <v>5.7906976744186043</v>
      </c>
      <c r="J140" s="6" t="s">
        <v>534</v>
      </c>
      <c r="K140" s="6" t="s">
        <v>535</v>
      </c>
      <c r="L140" s="18">
        <f>J140/$D140</f>
        <v>5.7674418604651159</v>
      </c>
      <c r="M140" s="18">
        <f>K140/$D140</f>
        <v>2.0930232558139537</v>
      </c>
      <c r="N140" s="19">
        <f>K140/J140</f>
        <v>0.36290322580645162</v>
      </c>
      <c r="O140" s="14" t="s">
        <v>548</v>
      </c>
      <c r="P140" s="15" t="s">
        <v>213</v>
      </c>
      <c r="Q140" s="18">
        <f>O140/$D140</f>
        <v>1.558139534883721</v>
      </c>
      <c r="R140" s="18">
        <f>P140/$D140</f>
        <v>0.79069767441860461</v>
      </c>
      <c r="S140" s="19">
        <f>P140/O140</f>
        <v>0.5074626865671642</v>
      </c>
      <c r="T140" s="15" t="s">
        <v>634</v>
      </c>
      <c r="U140" s="15" t="s">
        <v>205</v>
      </c>
      <c r="V140" s="18">
        <f>T140/$D140</f>
        <v>4.2093023255813957</v>
      </c>
      <c r="W140" s="18">
        <f>U140/$D140</f>
        <v>1.3023255813953489</v>
      </c>
      <c r="X140" s="19">
        <f>U140/T140</f>
        <v>0.30939226519337015</v>
      </c>
      <c r="Y140" s="15" t="s">
        <v>191</v>
      </c>
      <c r="Z140" s="15" t="s">
        <v>207</v>
      </c>
      <c r="AA140" s="18">
        <f>Y140/$D140</f>
        <v>0.44186046511627908</v>
      </c>
      <c r="AB140" s="18">
        <f>Z140/$D140</f>
        <v>0.30232558139534882</v>
      </c>
      <c r="AC140" s="19">
        <f>Z140/Y140</f>
        <v>0.68421052631578949</v>
      </c>
      <c r="AD140" s="15" t="s">
        <v>615</v>
      </c>
      <c r="AE140" s="18">
        <f>AD140/$D140</f>
        <v>3.441860465116279</v>
      </c>
      <c r="AF140" s="15" t="s">
        <v>186</v>
      </c>
      <c r="AG140" s="18">
        <f>AF140/$D140</f>
        <v>0.90697674418604646</v>
      </c>
      <c r="AH140" s="15" t="s">
        <v>565</v>
      </c>
      <c r="AI140" s="18">
        <f>AH140/$D140</f>
        <v>2.5348837209302326</v>
      </c>
      <c r="AJ140" s="15" t="s">
        <v>170</v>
      </c>
      <c r="AK140" s="18">
        <f>AJ140/$D140</f>
        <v>0.65116279069767447</v>
      </c>
      <c r="AL140" s="15" t="s">
        <v>219</v>
      </c>
      <c r="AM140" s="18">
        <f>AL140/$D140</f>
        <v>1</v>
      </c>
      <c r="AN140" s="15" t="s">
        <v>211</v>
      </c>
      <c r="AO140" s="18">
        <f>AN140/$D140</f>
        <v>0.2558139534883721</v>
      </c>
      <c r="AP140" s="15" t="s">
        <v>204</v>
      </c>
      <c r="AQ140" s="18">
        <f>AP140/$D140</f>
        <v>0.51162790697674421</v>
      </c>
      <c r="AR140" s="15" t="s">
        <v>389</v>
      </c>
      <c r="AS140" s="18">
        <f>AR140/$D140</f>
        <v>2.86046511627907</v>
      </c>
      <c r="AT140" s="20">
        <v>0.43553834117861573</v>
      </c>
      <c r="AU140" s="20">
        <v>1.5346664594031563E-2</v>
      </c>
      <c r="AV140" s="20">
        <v>0.11113153204481957</v>
      </c>
      <c r="AW140" s="20">
        <v>0.32440680913379616</v>
      </c>
      <c r="AX140" s="20">
        <v>98.723133212267157</v>
      </c>
      <c r="AY140" s="20">
        <v>111.4765261349294</v>
      </c>
      <c r="AZ140" s="20">
        <v>3.7150608612440488</v>
      </c>
      <c r="BA140" s="20">
        <v>6.8139534883720927</v>
      </c>
      <c r="BB140" s="20">
        <v>10.324171952078929</v>
      </c>
      <c r="BC140" s="21">
        <v>0.48564518645654547</v>
      </c>
      <c r="BD140" s="21">
        <v>0.47580645161290325</v>
      </c>
      <c r="BE140" s="20">
        <v>9.4189410722677351</v>
      </c>
      <c r="BF140" s="21">
        <v>0.72983870967741937</v>
      </c>
      <c r="BG140" s="21">
        <v>7.6612903225806453E-2</v>
      </c>
      <c r="BH140" s="20">
        <v>3.1397932566901749</v>
      </c>
      <c r="BI140" s="20">
        <v>8.7753196148520267</v>
      </c>
      <c r="BJ140" s="20">
        <v>5.5657092142572413</v>
      </c>
      <c r="BK140" s="20">
        <v>2.9387069689336691</v>
      </c>
      <c r="BL140" s="20">
        <v>2.1343666329868971</v>
      </c>
      <c r="BM140" s="20">
        <v>0.85601780517034765</v>
      </c>
      <c r="BN140" s="20">
        <v>7.9034344014944669</v>
      </c>
      <c r="BO140" s="22" t="s">
        <v>263</v>
      </c>
      <c r="BP140" s="22">
        <v>165000</v>
      </c>
    </row>
    <row r="141" spans="1:68" x14ac:dyDescent="0.3">
      <c r="A141" s="16" t="s">
        <v>162</v>
      </c>
      <c r="B141" s="16" t="s">
        <v>272</v>
      </c>
      <c r="C141" s="4" t="s">
        <v>100</v>
      </c>
      <c r="D141" s="5" t="s">
        <v>230</v>
      </c>
      <c r="E141" s="5">
        <v>12</v>
      </c>
      <c r="F141" s="5">
        <v>54</v>
      </c>
      <c r="G141" s="14">
        <v>41041</v>
      </c>
      <c r="H141" s="5" t="s">
        <v>360</v>
      </c>
      <c r="I141" s="18">
        <f>H141/$D141</f>
        <v>4.0754716981132075</v>
      </c>
      <c r="J141" s="6" t="s">
        <v>545</v>
      </c>
      <c r="K141" s="6" t="s">
        <v>541</v>
      </c>
      <c r="L141" s="18">
        <f>J141/$D141</f>
        <v>3.1509433962264151</v>
      </c>
      <c r="M141" s="18">
        <f>K141/$D141</f>
        <v>1.679245283018868</v>
      </c>
      <c r="N141" s="19">
        <f>K141/J141</f>
        <v>0.53293413173652693</v>
      </c>
      <c r="O141" s="14" t="s">
        <v>498</v>
      </c>
      <c r="P141" s="15" t="s">
        <v>404</v>
      </c>
      <c r="Q141" s="18">
        <f>O141/$D141</f>
        <v>2.641509433962264</v>
      </c>
      <c r="R141" s="18">
        <f>P141/$D141</f>
        <v>1.5283018867924529</v>
      </c>
      <c r="S141" s="19">
        <f>P141/O141</f>
        <v>0.57857142857142863</v>
      </c>
      <c r="T141" s="15" t="s">
        <v>182</v>
      </c>
      <c r="U141" s="15" t="s">
        <v>189</v>
      </c>
      <c r="V141" s="18">
        <f>T141/$D141</f>
        <v>0.50943396226415094</v>
      </c>
      <c r="W141" s="18">
        <f>U141/$D141</f>
        <v>0.15094339622641509</v>
      </c>
      <c r="X141" s="19">
        <f>U141/T141</f>
        <v>0.29629629629629628</v>
      </c>
      <c r="Y141" s="15" t="s">
        <v>240</v>
      </c>
      <c r="Z141" s="15" t="s">
        <v>202</v>
      </c>
      <c r="AA141" s="18">
        <f>Y141/$D141</f>
        <v>0.86792452830188682</v>
      </c>
      <c r="AB141" s="18">
        <f>Z141/$D141</f>
        <v>0.56603773584905659</v>
      </c>
      <c r="AC141" s="19">
        <f>Z141/Y141</f>
        <v>0.65217391304347827</v>
      </c>
      <c r="AD141" s="15" t="s">
        <v>570</v>
      </c>
      <c r="AE141" s="18">
        <f>AD141/$D141</f>
        <v>2.2452830188679247</v>
      </c>
      <c r="AF141" s="15" t="s">
        <v>220</v>
      </c>
      <c r="AG141" s="18">
        <f>AF141/$D141</f>
        <v>0.79245283018867929</v>
      </c>
      <c r="AH141" s="15" t="s">
        <v>571</v>
      </c>
      <c r="AI141" s="18">
        <f>AH141/$D141</f>
        <v>1.4528301886792452</v>
      </c>
      <c r="AJ141" s="15" t="s">
        <v>529</v>
      </c>
      <c r="AK141" s="18">
        <f>AJ141/$D141</f>
        <v>1.7924528301886793</v>
      </c>
      <c r="AL141" s="15" t="s">
        <v>208</v>
      </c>
      <c r="AM141" s="18">
        <f>AL141/$D141</f>
        <v>0.37735849056603776</v>
      </c>
      <c r="AN141" s="15" t="s">
        <v>207</v>
      </c>
      <c r="AO141" s="18">
        <f>AN141/$D141</f>
        <v>0.24528301886792453</v>
      </c>
      <c r="AP141" s="15" t="s">
        <v>301</v>
      </c>
      <c r="AQ141" s="18">
        <f>AP141/$D141</f>
        <v>0.75471698113207553</v>
      </c>
      <c r="AR141" s="15" t="s">
        <v>209</v>
      </c>
      <c r="AS141" s="18">
        <f>AR141/$D141</f>
        <v>0.98113207547169812</v>
      </c>
      <c r="AT141" s="20">
        <v>1.224652129802567</v>
      </c>
      <c r="AU141" s="20">
        <v>7.1648508398570537E-2</v>
      </c>
      <c r="AV141" s="20">
        <v>1.0241326014464389</v>
      </c>
      <c r="AW141" s="20">
        <v>0.20051952835612805</v>
      </c>
      <c r="AX141" s="20">
        <v>112.51015659998936</v>
      </c>
      <c r="AY141" s="20">
        <v>111.40842726720602</v>
      </c>
      <c r="AZ141" s="20">
        <v>10.828410216413788</v>
      </c>
      <c r="BA141" s="20">
        <v>6.2075471698113205</v>
      </c>
      <c r="BB141" s="20">
        <v>19.248208278484714</v>
      </c>
      <c r="BC141" s="21">
        <v>0.57679982909634686</v>
      </c>
      <c r="BD141" s="21">
        <v>0.55688622754491013</v>
      </c>
      <c r="BE141" s="20">
        <v>15.735996458916057</v>
      </c>
      <c r="BF141" s="21">
        <v>0.16167664670658682</v>
      </c>
      <c r="BG141" s="21">
        <v>0.27544910179640719</v>
      </c>
      <c r="BH141" s="20">
        <v>6.9199021328126928</v>
      </c>
      <c r="BI141" s="20">
        <v>12.686487243489939</v>
      </c>
      <c r="BJ141" s="20">
        <v>9.1584077453962642</v>
      </c>
      <c r="BK141" s="20">
        <v>22.589466175246699</v>
      </c>
      <c r="BL141" s="20">
        <v>1.6483042009903204</v>
      </c>
      <c r="BM141" s="20">
        <v>2.0703686450631662</v>
      </c>
      <c r="BN141" s="20">
        <v>17.602534765006162</v>
      </c>
      <c r="BO141" s="22" t="s">
        <v>263</v>
      </c>
      <c r="BP141" s="22">
        <v>40833</v>
      </c>
    </row>
    <row r="142" spans="1:68" x14ac:dyDescent="0.3">
      <c r="A142" s="16" t="s">
        <v>162</v>
      </c>
      <c r="B142" s="16" t="s">
        <v>272</v>
      </c>
      <c r="C142" s="4" t="s">
        <v>364</v>
      </c>
      <c r="D142" s="10" t="s">
        <v>199</v>
      </c>
      <c r="E142" s="11">
        <v>11</v>
      </c>
      <c r="F142" s="11">
        <v>49</v>
      </c>
      <c r="G142" s="14">
        <v>23410</v>
      </c>
      <c r="H142" s="5" t="s">
        <v>365</v>
      </c>
      <c r="I142" s="18">
        <f>H142/$D142</f>
        <v>6.333333333333333</v>
      </c>
      <c r="J142" s="6" t="s">
        <v>547</v>
      </c>
      <c r="K142" s="6" t="s">
        <v>400</v>
      </c>
      <c r="L142" s="18">
        <f>J142/$D142</f>
        <v>4.4545454545454541</v>
      </c>
      <c r="M142" s="18">
        <f>K142/$D142</f>
        <v>2.5454545454545454</v>
      </c>
      <c r="N142" s="19">
        <f>K142/J142</f>
        <v>0.5714285714285714</v>
      </c>
      <c r="O142" s="14" t="s">
        <v>563</v>
      </c>
      <c r="P142" s="15" t="s">
        <v>400</v>
      </c>
      <c r="Q142" s="18">
        <f>O142/$D142</f>
        <v>4.4242424242424239</v>
      </c>
      <c r="R142" s="18">
        <f>P142/$D142</f>
        <v>2.5454545454545454</v>
      </c>
      <c r="S142" s="19">
        <f>P142/O142</f>
        <v>0.57534246575342463</v>
      </c>
      <c r="T142" s="15" t="s">
        <v>231</v>
      </c>
      <c r="U142" s="15" t="s">
        <v>192</v>
      </c>
      <c r="V142" s="18">
        <f>T142/$D142</f>
        <v>3.0303030303030304E-2</v>
      </c>
      <c r="W142" s="18">
        <f>U142/$D142</f>
        <v>0</v>
      </c>
      <c r="X142" s="19">
        <f>U142/T142</f>
        <v>0</v>
      </c>
      <c r="Y142" s="15" t="s">
        <v>409</v>
      </c>
      <c r="Z142" s="15" t="s">
        <v>188</v>
      </c>
      <c r="AA142" s="18">
        <f>Y142/$D142</f>
        <v>2.1515151515151514</v>
      </c>
      <c r="AB142" s="18">
        <f>Z142/$D142</f>
        <v>1.2424242424242424</v>
      </c>
      <c r="AC142" s="19">
        <f>Z142/Y142</f>
        <v>0.57746478873239437</v>
      </c>
      <c r="AD142" s="15" t="s">
        <v>510</v>
      </c>
      <c r="AE142" s="18">
        <f>AD142/$D142</f>
        <v>3.7575757575757578</v>
      </c>
      <c r="AF142" s="15" t="s">
        <v>234</v>
      </c>
      <c r="AG142" s="18">
        <f>AF142/$D142</f>
        <v>0.96969696969696972</v>
      </c>
      <c r="AH142" s="15" t="s">
        <v>608</v>
      </c>
      <c r="AI142" s="18">
        <f>AH142/$D142</f>
        <v>2.7878787878787881</v>
      </c>
      <c r="AJ142" s="15" t="s">
        <v>174</v>
      </c>
      <c r="AK142" s="18">
        <f>AJ142/$D142</f>
        <v>0.72727272727272729</v>
      </c>
      <c r="AL142" s="15" t="s">
        <v>183</v>
      </c>
      <c r="AM142" s="18">
        <f>AL142/$D142</f>
        <v>0.48484848484848486</v>
      </c>
      <c r="AN142" s="15" t="s">
        <v>211</v>
      </c>
      <c r="AO142" s="18">
        <f>AN142/$D142</f>
        <v>0.33333333333333331</v>
      </c>
      <c r="AP142" s="15" t="s">
        <v>301</v>
      </c>
      <c r="AQ142" s="18">
        <f>AP142/$D142</f>
        <v>1.2121212121212122</v>
      </c>
      <c r="AR142" s="15" t="s">
        <v>218</v>
      </c>
      <c r="AS142" s="18">
        <f>AR142/$D142</f>
        <v>1.4545454545454546</v>
      </c>
      <c r="AT142" s="20">
        <v>0.58911905949254573</v>
      </c>
      <c r="AU142" s="20">
        <v>6.0430215103735939E-2</v>
      </c>
      <c r="AV142" s="20">
        <v>0.15616753824531632</v>
      </c>
      <c r="AW142" s="20">
        <v>0.43295152124722935</v>
      </c>
      <c r="AX142" s="20">
        <v>99.876938365051615</v>
      </c>
      <c r="AY142" s="20">
        <v>104.00531562564279</v>
      </c>
      <c r="AZ142" s="20">
        <v>8.0756222203830959</v>
      </c>
      <c r="BA142" s="20">
        <v>7.6060606060606064</v>
      </c>
      <c r="BB142" s="20">
        <v>25.746890627003467</v>
      </c>
      <c r="BC142" s="21">
        <v>0.58628815080789942</v>
      </c>
      <c r="BD142" s="21">
        <v>0.5714285714285714</v>
      </c>
      <c r="BE142" s="20">
        <v>16.498275331500125</v>
      </c>
      <c r="BF142" s="21">
        <v>6.8027210884353739E-3</v>
      </c>
      <c r="BG142" s="21">
        <v>0.48299319727891155</v>
      </c>
      <c r="BH142" s="20">
        <v>5.7556631078482363</v>
      </c>
      <c r="BI142" s="20">
        <v>16.547531435063679</v>
      </c>
      <c r="BJ142" s="20">
        <v>10.418121650474118</v>
      </c>
      <c r="BK142" s="20">
        <v>6.2702749776839175</v>
      </c>
      <c r="BL142" s="20">
        <v>2.3119796532213499</v>
      </c>
      <c r="BM142" s="20">
        <v>1.9124572685329064</v>
      </c>
      <c r="BN142" s="20">
        <v>18.328445747800586</v>
      </c>
      <c r="BO142" s="22" t="s">
        <v>267</v>
      </c>
      <c r="BP142" s="22">
        <v>100000</v>
      </c>
    </row>
    <row r="143" spans="1:68" x14ac:dyDescent="0.3">
      <c r="A143" s="16" t="s">
        <v>162</v>
      </c>
      <c r="B143" s="16" t="s">
        <v>272</v>
      </c>
      <c r="C143" s="4" t="s">
        <v>157</v>
      </c>
      <c r="D143" s="10" t="s">
        <v>235</v>
      </c>
      <c r="E143" s="11">
        <v>12</v>
      </c>
      <c r="F143" s="11">
        <v>40</v>
      </c>
      <c r="G143" s="14">
        <v>28115</v>
      </c>
      <c r="H143" s="5" t="s">
        <v>388</v>
      </c>
      <c r="I143" s="18">
        <f>H143/$D143</f>
        <v>3.4324324324324325</v>
      </c>
      <c r="J143" s="6" t="s">
        <v>565</v>
      </c>
      <c r="K143" s="6" t="s">
        <v>233</v>
      </c>
      <c r="L143" s="18">
        <f>J143/$D143</f>
        <v>2.9459459459459461</v>
      </c>
      <c r="M143" s="18">
        <f>K143/$D143</f>
        <v>1.3783783783783783</v>
      </c>
      <c r="N143" s="19">
        <f>K143/J143</f>
        <v>0.46788990825688076</v>
      </c>
      <c r="O143" s="14" t="s">
        <v>233</v>
      </c>
      <c r="P143" s="15" t="s">
        <v>199</v>
      </c>
      <c r="Q143" s="18">
        <f>O143/$D143</f>
        <v>1.3783783783783783</v>
      </c>
      <c r="R143" s="18">
        <f>P143/$D143</f>
        <v>0.89189189189189189</v>
      </c>
      <c r="S143" s="19">
        <f>P143/O143</f>
        <v>0.6470588235294118</v>
      </c>
      <c r="T143" s="15" t="s">
        <v>217</v>
      </c>
      <c r="U143" s="15" t="s">
        <v>180</v>
      </c>
      <c r="V143" s="18">
        <f>T143/$D143</f>
        <v>1.5675675675675675</v>
      </c>
      <c r="W143" s="18">
        <f>U143/$D143</f>
        <v>0.48648648648648651</v>
      </c>
      <c r="X143" s="19">
        <f>U143/T143</f>
        <v>0.31034482758620691</v>
      </c>
      <c r="Y143" s="15" t="s">
        <v>176</v>
      </c>
      <c r="Z143" s="15" t="s">
        <v>187</v>
      </c>
      <c r="AA143" s="18">
        <f>Y143/$D143</f>
        <v>0.27027027027027029</v>
      </c>
      <c r="AB143" s="18">
        <f>Z143/$D143</f>
        <v>0.1891891891891892</v>
      </c>
      <c r="AC143" s="19">
        <f>Z143/Y143</f>
        <v>0.7</v>
      </c>
      <c r="AD143" s="15" t="s">
        <v>240</v>
      </c>
      <c r="AE143" s="18">
        <f>AD143/$D143</f>
        <v>1.2432432432432432</v>
      </c>
      <c r="AF143" s="15" t="s">
        <v>211</v>
      </c>
      <c r="AG143" s="18">
        <f>AF143/$D143</f>
        <v>0.29729729729729731</v>
      </c>
      <c r="AH143" s="15" t="s">
        <v>245</v>
      </c>
      <c r="AI143" s="18">
        <f>AH143/$D143</f>
        <v>0.94594594594594594</v>
      </c>
      <c r="AJ143" s="15" t="s">
        <v>200</v>
      </c>
      <c r="AK143" s="18">
        <f>AJ143/$D143</f>
        <v>0.6216216216216216</v>
      </c>
      <c r="AL143" s="15" t="s">
        <v>176</v>
      </c>
      <c r="AM143" s="18">
        <f>AL143/$D143</f>
        <v>0.27027027027027029</v>
      </c>
      <c r="AN143" s="15" t="s">
        <v>231</v>
      </c>
      <c r="AO143" s="18">
        <f>AN143/$D143</f>
        <v>2.7027027027027029E-2</v>
      </c>
      <c r="AP143" s="15" t="s">
        <v>173</v>
      </c>
      <c r="AQ143" s="18">
        <f>AP143/$D143</f>
        <v>0.45945945945945948</v>
      </c>
      <c r="AR143" s="15" t="s">
        <v>230</v>
      </c>
      <c r="AS143" s="18">
        <f>AR143/$D143</f>
        <v>1.4324324324324325</v>
      </c>
      <c r="AT143" s="20">
        <v>0.16379935180961608</v>
      </c>
      <c r="AU143" s="20">
        <v>1.3980030026425269E-2</v>
      </c>
      <c r="AV143" s="20">
        <v>0.20486557587373067</v>
      </c>
      <c r="AW143" s="20">
        <v>-4.106622406411458E-2</v>
      </c>
      <c r="AX143" s="20">
        <v>103.22929726815001</v>
      </c>
      <c r="AY143" s="20">
        <v>114.86002316043755</v>
      </c>
      <c r="AZ143" s="20">
        <v>3.385017207654732</v>
      </c>
      <c r="BA143" s="20">
        <v>3.4864864864864864</v>
      </c>
      <c r="BB143" s="20">
        <v>11.0099573257468</v>
      </c>
      <c r="BC143" s="21">
        <v>0.55996472663139329</v>
      </c>
      <c r="BD143" s="21">
        <v>0.55045871559633031</v>
      </c>
      <c r="BE143" s="20">
        <v>9.1963274870517964</v>
      </c>
      <c r="BF143" s="21">
        <v>0.5321100917431193</v>
      </c>
      <c r="BG143" s="21">
        <v>9.1743119266055051E-2</v>
      </c>
      <c r="BH143" s="20">
        <v>1.8457408132445885</v>
      </c>
      <c r="BI143" s="20">
        <v>5.8728116785055091</v>
      </c>
      <c r="BJ143" s="20">
        <v>3.6054395109142923</v>
      </c>
      <c r="BK143" s="20">
        <v>5.1186943620178047</v>
      </c>
      <c r="BL143" s="20">
        <v>1.2022890279698597</v>
      </c>
      <c r="BM143" s="20">
        <v>0.16219284729543426</v>
      </c>
      <c r="BN143" s="20">
        <v>13.036809815950919</v>
      </c>
      <c r="BO143" s="22" t="s">
        <v>263</v>
      </c>
      <c r="BP143" s="22">
        <v>35387</v>
      </c>
    </row>
    <row r="144" spans="1:68" x14ac:dyDescent="0.3">
      <c r="A144" s="16" t="s">
        <v>162</v>
      </c>
      <c r="B144" s="16" t="s">
        <v>272</v>
      </c>
      <c r="C144" s="4" t="s">
        <v>391</v>
      </c>
      <c r="D144" s="5" t="s">
        <v>170</v>
      </c>
      <c r="E144" s="5">
        <v>13</v>
      </c>
      <c r="F144" s="5">
        <v>50</v>
      </c>
      <c r="G144" s="14">
        <v>23240</v>
      </c>
      <c r="H144" s="5" t="s">
        <v>392</v>
      </c>
      <c r="I144" s="18">
        <f>H144/$D144</f>
        <v>3.5357142857142856</v>
      </c>
      <c r="J144" s="6" t="s">
        <v>568</v>
      </c>
      <c r="K144" s="6" t="s">
        <v>371</v>
      </c>
      <c r="L144" s="18">
        <f>J144/$D144</f>
        <v>3.5714285714285716</v>
      </c>
      <c r="M144" s="18">
        <f>K144/$D144</f>
        <v>1.2857142857142858</v>
      </c>
      <c r="N144" s="19">
        <f>K144/J144</f>
        <v>0.36</v>
      </c>
      <c r="O144" s="14" t="s">
        <v>553</v>
      </c>
      <c r="P144" s="15" t="s">
        <v>204</v>
      </c>
      <c r="Q144" s="18">
        <f>O144/$D144</f>
        <v>2.1428571428571428</v>
      </c>
      <c r="R144" s="18">
        <f>P144/$D144</f>
        <v>0.7857142857142857</v>
      </c>
      <c r="S144" s="19">
        <f>P144/O144</f>
        <v>0.36666666666666664</v>
      </c>
      <c r="T144" s="15" t="s">
        <v>301</v>
      </c>
      <c r="U144" s="15" t="s">
        <v>178</v>
      </c>
      <c r="V144" s="18">
        <f>T144/$D144</f>
        <v>1.4285714285714286</v>
      </c>
      <c r="W144" s="18">
        <f>U144/$D144</f>
        <v>0.5</v>
      </c>
      <c r="X144" s="19">
        <f>U144/T144</f>
        <v>0.35</v>
      </c>
      <c r="Y144" s="15" t="s">
        <v>178</v>
      </c>
      <c r="Z144" s="15" t="s">
        <v>207</v>
      </c>
      <c r="AA144" s="18">
        <f>Y144/$D144</f>
        <v>0.5</v>
      </c>
      <c r="AB144" s="18">
        <f>Z144/$D144</f>
        <v>0.4642857142857143</v>
      </c>
      <c r="AC144" s="19">
        <f>Z144/Y144</f>
        <v>0.9285714285714286</v>
      </c>
      <c r="AD144" s="15" t="s">
        <v>200</v>
      </c>
      <c r="AE144" s="18">
        <f>AD144/$D144</f>
        <v>0.8214285714285714</v>
      </c>
      <c r="AF144" s="15" t="s">
        <v>193</v>
      </c>
      <c r="AG144" s="18">
        <f>AF144/$D144</f>
        <v>0.10714285714285714</v>
      </c>
      <c r="AH144" s="15" t="s">
        <v>208</v>
      </c>
      <c r="AI144" s="18">
        <f>AH144/$D144</f>
        <v>0.7142857142857143</v>
      </c>
      <c r="AJ144" s="15" t="s">
        <v>409</v>
      </c>
      <c r="AK144" s="18">
        <f>AJ144/$D144</f>
        <v>2.5357142857142856</v>
      </c>
      <c r="AL144" s="15" t="s">
        <v>211</v>
      </c>
      <c r="AM144" s="18">
        <f>AL144/$D144</f>
        <v>0.39285714285714285</v>
      </c>
      <c r="AN144" s="15" t="s">
        <v>192</v>
      </c>
      <c r="AO144" s="18">
        <f>AN144/$D144</f>
        <v>0</v>
      </c>
      <c r="AP144" s="15" t="s">
        <v>170</v>
      </c>
      <c r="AQ144" s="18">
        <f>AP144/$D144</f>
        <v>1</v>
      </c>
      <c r="AR144" s="15" t="s">
        <v>186</v>
      </c>
      <c r="AS144" s="18">
        <f>AR144/$D144</f>
        <v>1.3928571428571428</v>
      </c>
      <c r="AT144" s="20">
        <v>-0.11263236461208502</v>
      </c>
      <c r="AU144" s="20">
        <v>-1.1631569495223926E-2</v>
      </c>
      <c r="AV144" s="20">
        <v>-6.7399667953407169E-2</v>
      </c>
      <c r="AW144" s="20">
        <v>-4.5232696658677851E-2</v>
      </c>
      <c r="AX144" s="20">
        <v>95.455440522342201</v>
      </c>
      <c r="AY144" s="20">
        <v>115.12422138493631</v>
      </c>
      <c r="AZ144" s="20">
        <v>2.5812369215092206</v>
      </c>
      <c r="BA144" s="20">
        <v>3.9642857142857144</v>
      </c>
      <c r="BB144" s="20">
        <v>11.462994836488814</v>
      </c>
      <c r="BC144" s="21">
        <v>0.46627731725697064</v>
      </c>
      <c r="BD144" s="21">
        <v>0.43</v>
      </c>
      <c r="BE144" s="20">
        <v>8.6635400316337172</v>
      </c>
      <c r="BF144" s="21">
        <v>0.4</v>
      </c>
      <c r="BG144" s="21">
        <v>0.14000000000000001</v>
      </c>
      <c r="BH144" s="20">
        <v>0.46092979783106919</v>
      </c>
      <c r="BI144" s="20">
        <v>3.0728653188737947</v>
      </c>
      <c r="BJ144" s="20">
        <v>1.6506831495752181</v>
      </c>
      <c r="BK144" s="20">
        <v>13.910204081632655</v>
      </c>
      <c r="BL144" s="20">
        <v>1.6002239334407788</v>
      </c>
      <c r="BM144" s="20">
        <v>0</v>
      </c>
      <c r="BN144" s="20">
        <v>20.870602265951103</v>
      </c>
      <c r="BO144" s="22" t="s">
        <v>263</v>
      </c>
      <c r="BP144" s="22">
        <v>750000</v>
      </c>
    </row>
    <row r="145" spans="1:68" x14ac:dyDescent="0.3">
      <c r="A145" s="16" t="s">
        <v>162</v>
      </c>
      <c r="B145" s="16" t="s">
        <v>272</v>
      </c>
      <c r="C145" s="4" t="s">
        <v>406</v>
      </c>
      <c r="D145" s="5" t="s">
        <v>178</v>
      </c>
      <c r="E145" s="5">
        <v>11</v>
      </c>
      <c r="F145" s="5">
        <v>15</v>
      </c>
      <c r="G145" s="14">
        <v>9456</v>
      </c>
      <c r="H145" s="5" t="s">
        <v>407</v>
      </c>
      <c r="I145" s="18">
        <f>H145/$D145</f>
        <v>5.2142857142857144</v>
      </c>
      <c r="J145" s="6" t="s">
        <v>233</v>
      </c>
      <c r="K145" s="6" t="s">
        <v>177</v>
      </c>
      <c r="L145" s="18">
        <f>J145/$D145</f>
        <v>3.6428571428571428</v>
      </c>
      <c r="M145" s="18">
        <f>K145/$D145</f>
        <v>1.8571428571428572</v>
      </c>
      <c r="N145" s="19">
        <f>K145/J145</f>
        <v>0.50980392156862742</v>
      </c>
      <c r="O145" s="14" t="s">
        <v>186</v>
      </c>
      <c r="P145" s="15" t="s">
        <v>204</v>
      </c>
      <c r="Q145" s="18">
        <f>O145/$D145</f>
        <v>2.7857142857142856</v>
      </c>
      <c r="R145" s="18">
        <f>P145/$D145</f>
        <v>1.5714285714285714</v>
      </c>
      <c r="S145" s="19">
        <f>P145/O145</f>
        <v>0.5641025641025641</v>
      </c>
      <c r="T145" s="15" t="s">
        <v>185</v>
      </c>
      <c r="U145" s="15" t="s">
        <v>184</v>
      </c>
      <c r="V145" s="18">
        <f>T145/$D145</f>
        <v>0.8571428571428571</v>
      </c>
      <c r="W145" s="18">
        <f>U145/$D145</f>
        <v>0.2857142857142857</v>
      </c>
      <c r="X145" s="19">
        <f>U145/T145</f>
        <v>0.33333333333333331</v>
      </c>
      <c r="Y145" s="15" t="s">
        <v>243</v>
      </c>
      <c r="Z145" s="15" t="s">
        <v>173</v>
      </c>
      <c r="AA145" s="18">
        <f>Y145/$D145</f>
        <v>1.7857142857142858</v>
      </c>
      <c r="AB145" s="18">
        <f>Z145/$D145</f>
        <v>1.2142857142857142</v>
      </c>
      <c r="AC145" s="19">
        <f>Z145/Y145</f>
        <v>0.68</v>
      </c>
      <c r="AD145" s="15" t="s">
        <v>232</v>
      </c>
      <c r="AE145" s="18">
        <f>AD145/$D145</f>
        <v>3.5</v>
      </c>
      <c r="AF145" s="15" t="s">
        <v>189</v>
      </c>
      <c r="AG145" s="18">
        <f>AF145/$D145</f>
        <v>0.5714285714285714</v>
      </c>
      <c r="AH145" s="15" t="s">
        <v>188</v>
      </c>
      <c r="AI145" s="18">
        <f>AH145/$D145</f>
        <v>2.9285714285714284</v>
      </c>
      <c r="AJ145" s="15" t="s">
        <v>184</v>
      </c>
      <c r="AK145" s="18">
        <f>AJ145/$D145</f>
        <v>0.2857142857142857</v>
      </c>
      <c r="AL145" s="15" t="s">
        <v>231</v>
      </c>
      <c r="AM145" s="18">
        <f>AL145/$D145</f>
        <v>7.1428571428571425E-2</v>
      </c>
      <c r="AN145" s="15" t="s">
        <v>187</v>
      </c>
      <c r="AO145" s="18">
        <f>AN145/$D145</f>
        <v>0.5</v>
      </c>
      <c r="AP145" s="15" t="s">
        <v>176</v>
      </c>
      <c r="AQ145" s="18">
        <f>AP145/$D145</f>
        <v>0.7142857142857143</v>
      </c>
      <c r="AR145" s="15" t="s">
        <v>200</v>
      </c>
      <c r="AS145" s="18">
        <f>AR145/$D145</f>
        <v>1.6428571428571428</v>
      </c>
      <c r="AT145" s="20">
        <v>0.27060391288317998</v>
      </c>
      <c r="AU145" s="20">
        <v>6.8724803271918725E-2</v>
      </c>
      <c r="AV145" s="20">
        <v>0.13564068722222766</v>
      </c>
      <c r="AW145" s="20">
        <v>0.13496322566095234</v>
      </c>
      <c r="AX145" s="20">
        <v>104.55624994842465</v>
      </c>
      <c r="AY145" s="20">
        <v>106.30117378970195</v>
      </c>
      <c r="AZ145" s="20">
        <v>2.6059054718506318</v>
      </c>
      <c r="BA145" s="20">
        <v>6.5</v>
      </c>
      <c r="BB145" s="20">
        <v>23.111111111111107</v>
      </c>
      <c r="BC145" s="21">
        <v>0.58870967741935487</v>
      </c>
      <c r="BD145" s="21">
        <v>0.5490196078431373</v>
      </c>
      <c r="BE145" s="20">
        <v>5.7171442864289288</v>
      </c>
      <c r="BF145" s="21">
        <v>0.23529411764705882</v>
      </c>
      <c r="BG145" s="21">
        <v>0.49019607843137253</v>
      </c>
      <c r="BH145" s="20">
        <v>1.5113944975794074</v>
      </c>
      <c r="BI145" s="20">
        <v>7.7458968000944619</v>
      </c>
      <c r="BJ145" s="20">
        <v>4.3242050688067071</v>
      </c>
      <c r="BK145" s="20">
        <v>0.9560800717060054</v>
      </c>
      <c r="BL145" s="20">
        <v>0.35776050229113704</v>
      </c>
      <c r="BM145" s="20">
        <v>1.2783199223877189</v>
      </c>
      <c r="BN145" s="20">
        <v>13.888888888888889</v>
      </c>
      <c r="BO145" s="22" t="s">
        <v>267</v>
      </c>
      <c r="BP145" s="22"/>
    </row>
    <row r="146" spans="1:68" x14ac:dyDescent="0.3">
      <c r="A146" s="16" t="s">
        <v>162</v>
      </c>
      <c r="B146" s="16" t="s">
        <v>272</v>
      </c>
      <c r="C146" s="4" t="s">
        <v>408</v>
      </c>
      <c r="D146" s="5" t="s">
        <v>182</v>
      </c>
      <c r="E146" s="5">
        <v>12</v>
      </c>
      <c r="F146" s="5">
        <v>2</v>
      </c>
      <c r="G146" s="14">
        <v>19488</v>
      </c>
      <c r="H146" s="5" t="s">
        <v>409</v>
      </c>
      <c r="I146" s="18">
        <f>H146/$D146</f>
        <v>2.6296296296296298</v>
      </c>
      <c r="J146" s="6" t="s">
        <v>571</v>
      </c>
      <c r="K146" s="6" t="s">
        <v>243</v>
      </c>
      <c r="L146" s="18">
        <f>J146/$D146</f>
        <v>2.8518518518518516</v>
      </c>
      <c r="M146" s="18">
        <f>K146/$D146</f>
        <v>0.92592592592592593</v>
      </c>
      <c r="N146" s="19">
        <f>K146/J146</f>
        <v>0.32467532467532467</v>
      </c>
      <c r="O146" s="14" t="s">
        <v>181</v>
      </c>
      <c r="P146" s="15" t="s">
        <v>176</v>
      </c>
      <c r="Q146" s="18">
        <f>O146/$D146</f>
        <v>0.55555555555555558</v>
      </c>
      <c r="R146" s="18">
        <f>P146/$D146</f>
        <v>0.37037037037037035</v>
      </c>
      <c r="S146" s="19">
        <f>P146/O146</f>
        <v>0.66666666666666663</v>
      </c>
      <c r="T146" s="15" t="s">
        <v>414</v>
      </c>
      <c r="U146" s="15" t="s">
        <v>181</v>
      </c>
      <c r="V146" s="18">
        <f>T146/$D146</f>
        <v>2.2962962962962963</v>
      </c>
      <c r="W146" s="18">
        <f>U146/$D146</f>
        <v>0.55555555555555558</v>
      </c>
      <c r="X146" s="19">
        <f>U146/T146</f>
        <v>0.24193548387096775</v>
      </c>
      <c r="Y146" s="15" t="s">
        <v>185</v>
      </c>
      <c r="Z146" s="15" t="s">
        <v>226</v>
      </c>
      <c r="AA146" s="18">
        <f>Y146/$D146</f>
        <v>0.44444444444444442</v>
      </c>
      <c r="AB146" s="18">
        <f>Z146/$D146</f>
        <v>0.22222222222222221</v>
      </c>
      <c r="AC146" s="19">
        <f>Z146/Y146</f>
        <v>0.5</v>
      </c>
      <c r="AD146" s="15" t="s">
        <v>371</v>
      </c>
      <c r="AE146" s="18">
        <f>AD146/$D146</f>
        <v>1.3333333333333333</v>
      </c>
      <c r="AF146" s="15" t="s">
        <v>181</v>
      </c>
      <c r="AG146" s="18">
        <f>AF146/$D146</f>
        <v>0.55555555555555558</v>
      </c>
      <c r="AH146" s="15" t="s">
        <v>175</v>
      </c>
      <c r="AI146" s="18">
        <f>AH146/$D146</f>
        <v>0.77777777777777779</v>
      </c>
      <c r="AJ146" s="15" t="s">
        <v>207</v>
      </c>
      <c r="AK146" s="18">
        <f>AJ146/$D146</f>
        <v>0.48148148148148145</v>
      </c>
      <c r="AL146" s="15" t="s">
        <v>183</v>
      </c>
      <c r="AM146" s="18">
        <f>AL146/$D146</f>
        <v>0.59259259259259256</v>
      </c>
      <c r="AN146" s="15" t="s">
        <v>193</v>
      </c>
      <c r="AO146" s="18">
        <f>AN146/$D146</f>
        <v>0.1111111111111111</v>
      </c>
      <c r="AP146" s="15" t="s">
        <v>187</v>
      </c>
      <c r="AQ146" s="18">
        <f>AP146/$D146</f>
        <v>0.25925925925925924</v>
      </c>
      <c r="AR146" s="15" t="s">
        <v>235</v>
      </c>
      <c r="AS146" s="18">
        <f>AR146/$D146</f>
        <v>1.3703703703703705</v>
      </c>
      <c r="AT146" s="20">
        <v>2.0571339794375879E-2</v>
      </c>
      <c r="AU146" s="20">
        <v>2.5326364782241773E-3</v>
      </c>
      <c r="AV146" s="20">
        <v>-7.440249454866478E-2</v>
      </c>
      <c r="AW146" s="20">
        <v>9.4973834343040658E-2</v>
      </c>
      <c r="AX146" s="20">
        <v>94.027727274327802</v>
      </c>
      <c r="AY146" s="20">
        <v>111.41720522384961</v>
      </c>
      <c r="AZ146" s="20">
        <v>2.1810501183276654</v>
      </c>
      <c r="BA146" s="20">
        <v>2.7407407407407409</v>
      </c>
      <c r="BB146" s="20">
        <v>9.1104955370883349</v>
      </c>
      <c r="BC146" s="21">
        <v>0.43145357316480309</v>
      </c>
      <c r="BD146" s="21">
        <v>0.42207792207792205</v>
      </c>
      <c r="BE146" s="20">
        <v>6.6277697614141458</v>
      </c>
      <c r="BF146" s="21">
        <v>0.80519480519480524</v>
      </c>
      <c r="BG146" s="21">
        <v>0.15584415584415584</v>
      </c>
      <c r="BH146" s="20">
        <v>2.6493887271453427</v>
      </c>
      <c r="BI146" s="20">
        <v>3.7091442180034795</v>
      </c>
      <c r="BJ146" s="20">
        <v>2.970156118830996</v>
      </c>
      <c r="BK146" s="20">
        <v>2.8868573966468043</v>
      </c>
      <c r="BL146" s="20">
        <v>2.7748737019811185</v>
      </c>
      <c r="BM146" s="20">
        <v>0.51218793882768721</v>
      </c>
      <c r="BN146" s="20">
        <v>7.8405017921146953</v>
      </c>
      <c r="BO146" s="22" t="s">
        <v>263</v>
      </c>
      <c r="BP146" s="22"/>
    </row>
    <row r="147" spans="1:68" x14ac:dyDescent="0.3">
      <c r="A147" s="16" t="s">
        <v>162</v>
      </c>
      <c r="B147" s="16" t="s">
        <v>272</v>
      </c>
      <c r="C147" s="4" t="s">
        <v>106</v>
      </c>
      <c r="D147" s="5" t="s">
        <v>203</v>
      </c>
      <c r="E147" s="5">
        <v>20</v>
      </c>
      <c r="F147" s="5">
        <v>20</v>
      </c>
      <c r="G147" s="14">
        <v>10976</v>
      </c>
      <c r="H147" s="5" t="s">
        <v>412</v>
      </c>
      <c r="I147" s="18">
        <f>H147/$D147</f>
        <v>7.666666666666667</v>
      </c>
      <c r="J147" s="6" t="s">
        <v>212</v>
      </c>
      <c r="K147" s="6" t="s">
        <v>174</v>
      </c>
      <c r="L147" s="18">
        <f>J147/$D147</f>
        <v>6.5555555555555554</v>
      </c>
      <c r="M147" s="18">
        <f>K147/$D147</f>
        <v>2.6666666666666665</v>
      </c>
      <c r="N147" s="19">
        <f>K147/J147</f>
        <v>0.40677966101694918</v>
      </c>
      <c r="O147" s="14" t="s">
        <v>173</v>
      </c>
      <c r="P147" s="15" t="s">
        <v>187</v>
      </c>
      <c r="Q147" s="18">
        <f>O147/$D147</f>
        <v>1.8888888888888888</v>
      </c>
      <c r="R147" s="18">
        <f>P147/$D147</f>
        <v>0.77777777777777779</v>
      </c>
      <c r="S147" s="19">
        <f>P147/O147</f>
        <v>0.41176470588235292</v>
      </c>
      <c r="T147" s="15" t="s">
        <v>220</v>
      </c>
      <c r="U147" s="15" t="s">
        <v>173</v>
      </c>
      <c r="V147" s="18">
        <f>T147/$D147</f>
        <v>4.666666666666667</v>
      </c>
      <c r="W147" s="18">
        <f>U147/$D147</f>
        <v>1.8888888888888888</v>
      </c>
      <c r="X147" s="19">
        <f>U147/T147</f>
        <v>0.40476190476190477</v>
      </c>
      <c r="Y147" s="15" t="s">
        <v>226</v>
      </c>
      <c r="Z147" s="15" t="s">
        <v>184</v>
      </c>
      <c r="AA147" s="18">
        <f>Y147/$D147</f>
        <v>0.66666666666666663</v>
      </c>
      <c r="AB147" s="18">
        <f>Z147/$D147</f>
        <v>0.44444444444444442</v>
      </c>
      <c r="AC147" s="19">
        <f>Z147/Y147</f>
        <v>0.66666666666666663</v>
      </c>
      <c r="AD147" s="15" t="s">
        <v>211</v>
      </c>
      <c r="AE147" s="18">
        <f>AD147/$D147</f>
        <v>1.2222222222222223</v>
      </c>
      <c r="AF147" s="15" t="s">
        <v>184</v>
      </c>
      <c r="AG147" s="18">
        <f>AF147/$D147</f>
        <v>0.44444444444444442</v>
      </c>
      <c r="AH147" s="15" t="s">
        <v>187</v>
      </c>
      <c r="AI147" s="18">
        <f>AH147/$D147</f>
        <v>0.77777777777777779</v>
      </c>
      <c r="AJ147" s="15" t="s">
        <v>208</v>
      </c>
      <c r="AK147" s="18">
        <f>AJ147/$D147</f>
        <v>2.2222222222222223</v>
      </c>
      <c r="AL147" s="15" t="s">
        <v>229</v>
      </c>
      <c r="AM147" s="18">
        <f>AL147/$D147</f>
        <v>0.55555555555555558</v>
      </c>
      <c r="AN147" s="15" t="s">
        <v>194</v>
      </c>
      <c r="AO147" s="18">
        <f>AN147/$D147</f>
        <v>0.22222222222222221</v>
      </c>
      <c r="AP147" s="15" t="s">
        <v>189</v>
      </c>
      <c r="AQ147" s="18">
        <f>AP147/$D147</f>
        <v>0.88888888888888884</v>
      </c>
      <c r="AR147" s="15" t="s">
        <v>183</v>
      </c>
      <c r="AS147" s="18">
        <f>AR147/$D147</f>
        <v>1.7777777777777777</v>
      </c>
      <c r="AT147" s="20">
        <v>0.19770220355399903</v>
      </c>
      <c r="AU147" s="20">
        <v>4.3213596405245691E-2</v>
      </c>
      <c r="AV147" s="20">
        <v>0.22177612077454339</v>
      </c>
      <c r="AW147" s="20">
        <v>-2.407391722054435E-2</v>
      </c>
      <c r="AX147" s="20">
        <v>109.15560857409659</v>
      </c>
      <c r="AY147" s="20">
        <v>115.25807452341219</v>
      </c>
      <c r="AZ147" s="20">
        <v>1.4513526148387204</v>
      </c>
      <c r="BA147" s="20">
        <v>6.8888888888888893</v>
      </c>
      <c r="BB147" s="20">
        <v>13.55191256830601</v>
      </c>
      <c r="BC147" s="21">
        <v>0.55970149253731338</v>
      </c>
      <c r="BD147" s="21">
        <v>0.55084745762711862</v>
      </c>
      <c r="BE147" s="20">
        <v>3.0594922754117104</v>
      </c>
      <c r="BF147" s="21">
        <v>0.71186440677966101</v>
      </c>
      <c r="BG147" s="21">
        <v>0.10169491525423729</v>
      </c>
      <c r="BH147" s="20">
        <v>0.4181111827320082</v>
      </c>
      <c r="BI147" s="20">
        <v>0.73169456978101433</v>
      </c>
      <c r="BJ147" s="20">
        <v>0.5370897061875175</v>
      </c>
      <c r="BK147" s="20">
        <v>2.5668449197860963</v>
      </c>
      <c r="BL147" s="20">
        <v>1.5395431451053032</v>
      </c>
      <c r="BM147" s="20">
        <v>0.20207633433529515</v>
      </c>
      <c r="BN147" s="20">
        <v>11.487650775416427</v>
      </c>
      <c r="BO147" s="22" t="s">
        <v>264</v>
      </c>
      <c r="BP147" s="22">
        <v>62000</v>
      </c>
    </row>
    <row r="148" spans="1:68" x14ac:dyDescent="0.3">
      <c r="A148" s="16" t="s">
        <v>162</v>
      </c>
      <c r="B148" s="16" t="s">
        <v>272</v>
      </c>
      <c r="C148" s="4" t="s">
        <v>154</v>
      </c>
      <c r="D148" s="10" t="s">
        <v>247</v>
      </c>
      <c r="E148" s="11">
        <v>5</v>
      </c>
      <c r="F148" s="11">
        <v>51</v>
      </c>
      <c r="G148" s="14">
        <v>15799</v>
      </c>
      <c r="H148" s="5" t="s">
        <v>217</v>
      </c>
      <c r="I148" s="18">
        <f>H148/$D148</f>
        <v>1.288888888888889</v>
      </c>
      <c r="J148" s="6" t="s">
        <v>215</v>
      </c>
      <c r="K148" s="6" t="s">
        <v>204</v>
      </c>
      <c r="L148" s="18">
        <f>J148/$D148</f>
        <v>1.2666666666666666</v>
      </c>
      <c r="M148" s="18">
        <f>K148/$D148</f>
        <v>0.48888888888888887</v>
      </c>
      <c r="N148" s="19">
        <f>K148/J148</f>
        <v>0.38596491228070173</v>
      </c>
      <c r="O148" s="14" t="s">
        <v>173</v>
      </c>
      <c r="P148" s="15" t="s">
        <v>211</v>
      </c>
      <c r="Q148" s="18">
        <f>O148/$D148</f>
        <v>0.37777777777777777</v>
      </c>
      <c r="R148" s="18">
        <f>P148/$D148</f>
        <v>0.24444444444444444</v>
      </c>
      <c r="S148" s="19">
        <f>P148/O148</f>
        <v>0.6470588235294118</v>
      </c>
      <c r="T148" s="15" t="s">
        <v>301</v>
      </c>
      <c r="U148" s="15" t="s">
        <v>211</v>
      </c>
      <c r="V148" s="18">
        <f>T148/$D148</f>
        <v>0.88888888888888884</v>
      </c>
      <c r="W148" s="18">
        <f>U148/$D148</f>
        <v>0.24444444444444444</v>
      </c>
      <c r="X148" s="19">
        <f>U148/T148</f>
        <v>0.27500000000000002</v>
      </c>
      <c r="Y148" s="15" t="s">
        <v>203</v>
      </c>
      <c r="Z148" s="15" t="s">
        <v>193</v>
      </c>
      <c r="AA148" s="18">
        <f>Y148/$D148</f>
        <v>0.2</v>
      </c>
      <c r="AB148" s="18">
        <f>Z148/$D148</f>
        <v>6.6666666666666666E-2</v>
      </c>
      <c r="AC148" s="19">
        <f>Z148/Y148</f>
        <v>0.33333333333333331</v>
      </c>
      <c r="AD148" s="15" t="s">
        <v>172</v>
      </c>
      <c r="AE148" s="18">
        <f>AD148/$D148</f>
        <v>0.64444444444444449</v>
      </c>
      <c r="AF148" s="15" t="s">
        <v>189</v>
      </c>
      <c r="AG148" s="18">
        <f>AF148/$D148</f>
        <v>0.17777777777777778</v>
      </c>
      <c r="AH148" s="15" t="s">
        <v>175</v>
      </c>
      <c r="AI148" s="18">
        <f>AH148/$D148</f>
        <v>0.46666666666666667</v>
      </c>
      <c r="AJ148" s="15" t="s">
        <v>211</v>
      </c>
      <c r="AK148" s="18">
        <f>AJ148/$D148</f>
        <v>0.24444444444444444</v>
      </c>
      <c r="AL148" s="15" t="s">
        <v>189</v>
      </c>
      <c r="AM148" s="18">
        <f>AL148/$D148</f>
        <v>0.17777777777777778</v>
      </c>
      <c r="AN148" s="15" t="s">
        <v>194</v>
      </c>
      <c r="AO148" s="18">
        <f>AN148/$D148</f>
        <v>4.4444444444444446E-2</v>
      </c>
      <c r="AP148" s="15" t="s">
        <v>187</v>
      </c>
      <c r="AQ148" s="18">
        <f>AP148/$D148</f>
        <v>0.15555555555555556</v>
      </c>
      <c r="AR148" s="15" t="s">
        <v>218</v>
      </c>
      <c r="AS148" s="18">
        <f>AR148/$D148</f>
        <v>1.0666666666666667</v>
      </c>
      <c r="AT148" s="20">
        <v>-2.6654904507907237E-3</v>
      </c>
      <c r="AU148" s="20">
        <v>-4.0501279404227524E-4</v>
      </c>
      <c r="AV148" s="20">
        <v>-3.3322643483803586E-2</v>
      </c>
      <c r="AW148" s="20">
        <v>3.0657153033012863E-2</v>
      </c>
      <c r="AX148" s="20">
        <v>95.30320348672619</v>
      </c>
      <c r="AY148" s="20">
        <v>113.01076040235027</v>
      </c>
      <c r="AZ148" s="20">
        <v>1.8229069974015284</v>
      </c>
      <c r="BA148" s="20">
        <v>1.3333333333333333</v>
      </c>
      <c r="BB148" s="20">
        <v>9.116809116809117</v>
      </c>
      <c r="BC148" s="21">
        <v>0.47572178477690286</v>
      </c>
      <c r="BD148" s="21">
        <v>0.48245614035087719</v>
      </c>
      <c r="BE148" s="20">
        <v>10.377594169490118</v>
      </c>
      <c r="BF148" s="21">
        <v>0.70175438596491224</v>
      </c>
      <c r="BG148" s="21">
        <v>0.15789473684210525</v>
      </c>
      <c r="BH148" s="20">
        <v>2.9065278799603989</v>
      </c>
      <c r="BI148" s="20">
        <v>7.6296356848960469</v>
      </c>
      <c r="BJ148" s="20">
        <v>4.9215834770562994</v>
      </c>
      <c r="BK148" s="20">
        <v>5.2612698792299417</v>
      </c>
      <c r="BL148" s="20">
        <v>1.712357959684075</v>
      </c>
      <c r="BM148" s="20">
        <v>0.70237358372951597</v>
      </c>
      <c r="BN148" s="20">
        <v>10.300176574455561</v>
      </c>
      <c r="BO148" s="22" t="s">
        <v>263</v>
      </c>
      <c r="BP148" s="22"/>
    </row>
    <row r="149" spans="1:68" x14ac:dyDescent="0.3">
      <c r="A149" s="16" t="s">
        <v>162</v>
      </c>
      <c r="B149" s="16" t="s">
        <v>272</v>
      </c>
      <c r="C149" s="4" t="s">
        <v>417</v>
      </c>
      <c r="D149" s="10" t="s">
        <v>178</v>
      </c>
      <c r="E149" s="11">
        <v>9</v>
      </c>
      <c r="F149" s="11">
        <v>15</v>
      </c>
      <c r="G149" s="14">
        <v>7774</v>
      </c>
      <c r="H149" s="5" t="s">
        <v>232</v>
      </c>
      <c r="I149" s="18">
        <f>H149/$D149</f>
        <v>3.5</v>
      </c>
      <c r="J149" s="6" t="s">
        <v>233</v>
      </c>
      <c r="K149" s="6" t="s">
        <v>173</v>
      </c>
      <c r="L149" s="18">
        <f>J149/$D149</f>
        <v>3.6428571428571428</v>
      </c>
      <c r="M149" s="18">
        <f>K149/$D149</f>
        <v>1.2142857142857142</v>
      </c>
      <c r="N149" s="19">
        <f>K149/J149</f>
        <v>0.33333333333333331</v>
      </c>
      <c r="O149" s="14" t="s">
        <v>171</v>
      </c>
      <c r="P149" s="15" t="s">
        <v>207</v>
      </c>
      <c r="Q149" s="18">
        <f>O149/$D149</f>
        <v>2.2142857142857144</v>
      </c>
      <c r="R149" s="18">
        <f>P149/$D149</f>
        <v>0.9285714285714286</v>
      </c>
      <c r="S149" s="19">
        <f>P149/O149</f>
        <v>0.41935483870967744</v>
      </c>
      <c r="T149" s="15" t="s">
        <v>208</v>
      </c>
      <c r="U149" s="15" t="s">
        <v>184</v>
      </c>
      <c r="V149" s="18">
        <f>T149/$D149</f>
        <v>1.4285714285714286</v>
      </c>
      <c r="W149" s="18">
        <f>U149/$D149</f>
        <v>0.2857142857142857</v>
      </c>
      <c r="X149" s="19">
        <f>U149/T149</f>
        <v>0.2</v>
      </c>
      <c r="Y149" s="15" t="s">
        <v>181</v>
      </c>
      <c r="Z149" s="15" t="s">
        <v>211</v>
      </c>
      <c r="AA149" s="18">
        <f>Y149/$D149</f>
        <v>1.0714285714285714</v>
      </c>
      <c r="AB149" s="18">
        <f>Z149/$D149</f>
        <v>0.7857142857142857</v>
      </c>
      <c r="AC149" s="19">
        <f>Z149/Y149</f>
        <v>0.73333333333333328</v>
      </c>
      <c r="AD149" s="15" t="s">
        <v>177</v>
      </c>
      <c r="AE149" s="18">
        <f>AD149/$D149</f>
        <v>1.8571428571428572</v>
      </c>
      <c r="AF149" s="15" t="s">
        <v>189</v>
      </c>
      <c r="AG149" s="18">
        <f>AF149/$D149</f>
        <v>0.5714285714285714</v>
      </c>
      <c r="AH149" s="15" t="s">
        <v>180</v>
      </c>
      <c r="AI149" s="18">
        <f>AH149/$D149</f>
        <v>1.2857142857142858</v>
      </c>
      <c r="AJ149" s="15" t="s">
        <v>176</v>
      </c>
      <c r="AK149" s="18">
        <f>AJ149/$D149</f>
        <v>0.7142857142857143</v>
      </c>
      <c r="AL149" s="15" t="s">
        <v>229</v>
      </c>
      <c r="AM149" s="18">
        <f>AL149/$D149</f>
        <v>0.35714285714285715</v>
      </c>
      <c r="AN149" s="15" t="s">
        <v>192</v>
      </c>
      <c r="AO149" s="18">
        <f>AN149/$D149</f>
        <v>0</v>
      </c>
      <c r="AP149" s="15" t="s">
        <v>191</v>
      </c>
      <c r="AQ149" s="18">
        <f>AP149/$D149</f>
        <v>1.3571428571428572</v>
      </c>
      <c r="AR149" s="15" t="s">
        <v>207</v>
      </c>
      <c r="AS149" s="18">
        <f>AR149/$D149</f>
        <v>0.9285714285714286</v>
      </c>
      <c r="AT149" s="20">
        <v>-0.42149877539623443</v>
      </c>
      <c r="AU149" s="20">
        <v>-0.13019267193706083</v>
      </c>
      <c r="AV149" s="20">
        <v>-0.47806397904941217</v>
      </c>
      <c r="AW149" s="20">
        <v>5.6565203653177763E-2</v>
      </c>
      <c r="AX149" s="20">
        <v>74.430448505464099</v>
      </c>
      <c r="AY149" s="20">
        <v>110.10800681640728</v>
      </c>
      <c r="AZ149" s="20">
        <v>0.55716069599037699</v>
      </c>
      <c r="BA149" s="20">
        <v>2.3571428571428572</v>
      </c>
      <c r="BB149" s="20">
        <v>10.193050193050192</v>
      </c>
      <c r="BC149" s="21">
        <v>0.42534722222222221</v>
      </c>
      <c r="BD149" s="21">
        <v>0.37254901960784315</v>
      </c>
      <c r="BE149" s="20">
        <v>7.3975211543995929</v>
      </c>
      <c r="BF149" s="21">
        <v>0.39215686274509803</v>
      </c>
      <c r="BG149" s="21">
        <v>0.29411764705882354</v>
      </c>
      <c r="BH149" s="20">
        <v>1.8381824970560359</v>
      </c>
      <c r="BI149" s="20">
        <v>4.1359106183760801</v>
      </c>
      <c r="BJ149" s="20">
        <v>2.7905791122470198</v>
      </c>
      <c r="BK149" s="20">
        <v>2.8704700394689628</v>
      </c>
      <c r="BL149" s="20">
        <v>2.175570622040699</v>
      </c>
      <c r="BM149" s="20">
        <v>0</v>
      </c>
      <c r="BN149" s="20">
        <v>24.804177545691907</v>
      </c>
      <c r="BO149" s="22" t="s">
        <v>264</v>
      </c>
      <c r="BP149" s="22">
        <v>150000</v>
      </c>
    </row>
    <row r="150" spans="1:68" x14ac:dyDescent="0.3">
      <c r="A150" s="16" t="s">
        <v>162</v>
      </c>
      <c r="B150" s="16" t="s">
        <v>272</v>
      </c>
      <c r="C150" s="4" t="s">
        <v>197</v>
      </c>
      <c r="D150" s="7" t="s">
        <v>243</v>
      </c>
      <c r="E150" s="7">
        <v>5</v>
      </c>
      <c r="F150" s="7">
        <v>59</v>
      </c>
      <c r="G150" s="14">
        <v>8966</v>
      </c>
      <c r="H150" s="5" t="s">
        <v>188</v>
      </c>
      <c r="I150" s="18">
        <f>H150/$D150</f>
        <v>1.64</v>
      </c>
      <c r="J150" s="6" t="s">
        <v>179</v>
      </c>
      <c r="K150" s="6" t="s">
        <v>183</v>
      </c>
      <c r="L150" s="18">
        <f>J150/$D150</f>
        <v>1.76</v>
      </c>
      <c r="M150" s="18">
        <f>K150/$D150</f>
        <v>0.64</v>
      </c>
      <c r="N150" s="19">
        <f>K150/J150</f>
        <v>0.36363636363636365</v>
      </c>
      <c r="O150" s="14" t="s">
        <v>200</v>
      </c>
      <c r="P150" s="15" t="s">
        <v>185</v>
      </c>
      <c r="Q150" s="18">
        <f>O150/$D150</f>
        <v>0.92</v>
      </c>
      <c r="R150" s="18">
        <f>P150/$D150</f>
        <v>0.48</v>
      </c>
      <c r="S150" s="19">
        <f>P150/O150</f>
        <v>0.52173913043478259</v>
      </c>
      <c r="T150" s="15" t="s">
        <v>175</v>
      </c>
      <c r="U150" s="15" t="s">
        <v>184</v>
      </c>
      <c r="V150" s="18">
        <f>T150/$D150</f>
        <v>0.84</v>
      </c>
      <c r="W150" s="18">
        <f>U150/$D150</f>
        <v>0.16</v>
      </c>
      <c r="X150" s="19">
        <f>U150/T150</f>
        <v>0.19047619047619047</v>
      </c>
      <c r="Y150" s="15" t="s">
        <v>226</v>
      </c>
      <c r="Z150" s="15" t="s">
        <v>229</v>
      </c>
      <c r="AA150" s="18">
        <f>Y150/$D150</f>
        <v>0.24</v>
      </c>
      <c r="AB150" s="18">
        <f>Z150/$D150</f>
        <v>0.2</v>
      </c>
      <c r="AC150" s="19">
        <f>Z150/Y150</f>
        <v>0.83333333333333337</v>
      </c>
      <c r="AD150" s="15" t="s">
        <v>174</v>
      </c>
      <c r="AE150" s="18">
        <f>AD150/$D150</f>
        <v>0.96</v>
      </c>
      <c r="AF150" s="15" t="s">
        <v>203</v>
      </c>
      <c r="AG150" s="18">
        <f>AF150/$D150</f>
        <v>0.36</v>
      </c>
      <c r="AH150" s="15" t="s">
        <v>181</v>
      </c>
      <c r="AI150" s="18">
        <f>AH150/$D150</f>
        <v>0.6</v>
      </c>
      <c r="AJ150" s="15" t="s">
        <v>189</v>
      </c>
      <c r="AK150" s="18">
        <f>AJ150/$D150</f>
        <v>0.32</v>
      </c>
      <c r="AL150" s="15" t="s">
        <v>231</v>
      </c>
      <c r="AM150" s="18">
        <f>AL150/$D150</f>
        <v>0.04</v>
      </c>
      <c r="AN150" s="15" t="s">
        <v>194</v>
      </c>
      <c r="AO150" s="18">
        <f>AN150/$D150</f>
        <v>0.08</v>
      </c>
      <c r="AP150" s="15" t="s">
        <v>226</v>
      </c>
      <c r="AQ150" s="18">
        <f>AP150/$D150</f>
        <v>0.24</v>
      </c>
      <c r="AR150" s="15" t="s">
        <v>203</v>
      </c>
      <c r="AS150" s="18">
        <f>AR150/$D150</f>
        <v>0.36</v>
      </c>
      <c r="AT150" s="20">
        <v>-8.2648358236922931E-2</v>
      </c>
      <c r="AU150" s="20">
        <v>-2.2100953734664627E-2</v>
      </c>
      <c r="AV150" s="20">
        <v>-6.5445318736811239E-2</v>
      </c>
      <c r="AW150" s="20">
        <v>-1.7203039500111698E-2</v>
      </c>
      <c r="AX150" s="20">
        <v>92.548836747646888</v>
      </c>
      <c r="AY150" s="20">
        <v>115.10815201007881</v>
      </c>
      <c r="AZ150" s="20">
        <v>2.4361238080294414</v>
      </c>
      <c r="BA150" s="20">
        <v>1.64</v>
      </c>
      <c r="BB150" s="20">
        <v>10.963788300835652</v>
      </c>
      <c r="BC150" s="21">
        <v>0.43953687821612347</v>
      </c>
      <c r="BD150" s="21">
        <v>0.40909090909090912</v>
      </c>
      <c r="BE150" s="20">
        <v>7.8590827447149749</v>
      </c>
      <c r="BF150" s="21">
        <v>0.47727272727272729</v>
      </c>
      <c r="BG150" s="21">
        <v>0.13636363636363635</v>
      </c>
      <c r="BH150" s="20">
        <v>3.1969782635079733</v>
      </c>
      <c r="BI150" s="20">
        <v>5.3282971058466222</v>
      </c>
      <c r="BJ150" s="20">
        <v>3.9822705994354304</v>
      </c>
      <c r="BK150" s="20">
        <v>3.6307250104005138</v>
      </c>
      <c r="BL150" s="20">
        <v>0.37669490213384355</v>
      </c>
      <c r="BM150" s="20">
        <v>0.68672180470490285</v>
      </c>
      <c r="BN150" s="20">
        <v>11.398176291793312</v>
      </c>
      <c r="BO150" s="22" t="s">
        <v>263</v>
      </c>
      <c r="BP150" s="22">
        <v>70000</v>
      </c>
    </row>
    <row r="151" spans="1:68" x14ac:dyDescent="0.3">
      <c r="A151" s="16" t="s">
        <v>162</v>
      </c>
      <c r="B151" s="16" t="s">
        <v>272</v>
      </c>
      <c r="C151" s="4" t="s">
        <v>97</v>
      </c>
      <c r="D151" s="10" t="s">
        <v>191</v>
      </c>
      <c r="E151" s="11">
        <v>9</v>
      </c>
      <c r="F151" s="11">
        <v>16</v>
      </c>
      <c r="G151" s="14">
        <v>10566</v>
      </c>
      <c r="H151" s="5" t="s">
        <v>206</v>
      </c>
      <c r="I151" s="18">
        <f>H151/$D151</f>
        <v>2</v>
      </c>
      <c r="J151" s="6" t="s">
        <v>371</v>
      </c>
      <c r="K151" s="6" t="s">
        <v>211</v>
      </c>
      <c r="L151" s="18">
        <f>J151/$D151</f>
        <v>1.8947368421052631</v>
      </c>
      <c r="M151" s="18">
        <f>K151/$D151</f>
        <v>0.57894736842105265</v>
      </c>
      <c r="N151" s="19">
        <f>K151/J151</f>
        <v>0.30555555555555558</v>
      </c>
      <c r="O151" s="14" t="s">
        <v>203</v>
      </c>
      <c r="P151" s="15" t="s">
        <v>193</v>
      </c>
      <c r="Q151" s="18">
        <f>O151/$D151</f>
        <v>0.47368421052631576</v>
      </c>
      <c r="R151" s="18">
        <f>P151/$D151</f>
        <v>0.15789473684210525</v>
      </c>
      <c r="S151" s="19">
        <f>P151/O151</f>
        <v>0.33333333333333331</v>
      </c>
      <c r="T151" s="15" t="s">
        <v>182</v>
      </c>
      <c r="U151" s="15" t="s">
        <v>189</v>
      </c>
      <c r="V151" s="18">
        <f>T151/$D151</f>
        <v>1.4210526315789473</v>
      </c>
      <c r="W151" s="18">
        <f>U151/$D151</f>
        <v>0.42105263157894735</v>
      </c>
      <c r="X151" s="19">
        <f>U151/T151</f>
        <v>0.29629629629629628</v>
      </c>
      <c r="Y151" s="15" t="s">
        <v>203</v>
      </c>
      <c r="Z151" s="15" t="s">
        <v>189</v>
      </c>
      <c r="AA151" s="18">
        <f>Y151/$D151</f>
        <v>0.47368421052631576</v>
      </c>
      <c r="AB151" s="18">
        <f>Z151/$D151</f>
        <v>0.42105263157894735</v>
      </c>
      <c r="AC151" s="19">
        <f>Z151/Y151</f>
        <v>0.88888888888888884</v>
      </c>
      <c r="AD151" s="15" t="s">
        <v>181</v>
      </c>
      <c r="AE151" s="18">
        <f>AD151/$D151</f>
        <v>0.78947368421052633</v>
      </c>
      <c r="AF151" s="15" t="s">
        <v>194</v>
      </c>
      <c r="AG151" s="18">
        <f>AF151/$D151</f>
        <v>0.10526315789473684</v>
      </c>
      <c r="AH151" s="15" t="s">
        <v>207</v>
      </c>
      <c r="AI151" s="18">
        <f>AH151/$D151</f>
        <v>0.68421052631578949</v>
      </c>
      <c r="AJ151" s="15" t="s">
        <v>226</v>
      </c>
      <c r="AK151" s="18">
        <f>AJ151/$D151</f>
        <v>0.31578947368421051</v>
      </c>
      <c r="AL151" s="15" t="s">
        <v>226</v>
      </c>
      <c r="AM151" s="18">
        <f>AL151/$D151</f>
        <v>0.31578947368421051</v>
      </c>
      <c r="AN151" s="15" t="s">
        <v>192</v>
      </c>
      <c r="AO151" s="18">
        <f>AN151/$D151</f>
        <v>0</v>
      </c>
      <c r="AP151" s="15" t="s">
        <v>187</v>
      </c>
      <c r="AQ151" s="18">
        <f>AP151/$D151</f>
        <v>0.36842105263157893</v>
      </c>
      <c r="AR151" s="15" t="s">
        <v>202</v>
      </c>
      <c r="AS151" s="18">
        <f>AR151/$D151</f>
        <v>1.5789473684210527</v>
      </c>
      <c r="AT151" s="20">
        <v>-7.4837633072051601E-2</v>
      </c>
      <c r="AU151" s="20">
        <v>-1.7002112776687225E-2</v>
      </c>
      <c r="AV151" s="20">
        <v>-9.0384480479006116E-2</v>
      </c>
      <c r="AW151" s="20">
        <v>1.5546847406954514E-2</v>
      </c>
      <c r="AX151" s="20">
        <v>89.75354096514782</v>
      </c>
      <c r="AY151" s="20">
        <v>113.26589048959384</v>
      </c>
      <c r="AZ151" s="20">
        <v>0.21305092099283768</v>
      </c>
      <c r="BA151" s="20">
        <v>1.6842105263157894</v>
      </c>
      <c r="BB151" s="20">
        <v>7.2699734948882995</v>
      </c>
      <c r="BC151" s="21">
        <v>0.47547547547547547</v>
      </c>
      <c r="BD151" s="21">
        <v>0.41666666666666669</v>
      </c>
      <c r="BE151" s="20">
        <v>4.526929446223626</v>
      </c>
      <c r="BF151" s="21">
        <v>0.75</v>
      </c>
      <c r="BG151" s="21">
        <v>0.25</v>
      </c>
      <c r="BH151" s="20">
        <v>0.45871910335705934</v>
      </c>
      <c r="BI151" s="20">
        <v>2.9816741718208855</v>
      </c>
      <c r="BJ151" s="20">
        <v>1.6070538952307998</v>
      </c>
      <c r="BK151" s="20">
        <v>1.6899821612994086</v>
      </c>
      <c r="BL151" s="20">
        <v>1.9202026202108549</v>
      </c>
      <c r="BM151" s="20">
        <v>0</v>
      </c>
      <c r="BN151" s="20">
        <v>14.906303236797275</v>
      </c>
      <c r="BO151" s="22" t="s">
        <v>263</v>
      </c>
      <c r="BP151" s="22">
        <v>210000</v>
      </c>
    </row>
    <row r="152" spans="1:68" x14ac:dyDescent="0.3">
      <c r="A152" s="16" t="s">
        <v>162</v>
      </c>
      <c r="B152" s="16" t="s">
        <v>272</v>
      </c>
      <c r="C152" s="4" t="s">
        <v>147</v>
      </c>
      <c r="D152" s="5" t="s">
        <v>176</v>
      </c>
      <c r="E152" s="7">
        <v>8</v>
      </c>
      <c r="F152" s="7">
        <v>31</v>
      </c>
      <c r="G152" s="14">
        <v>5109</v>
      </c>
      <c r="H152" s="5" t="s">
        <v>199</v>
      </c>
      <c r="I152" s="18">
        <f>H152/$D152</f>
        <v>3.3</v>
      </c>
      <c r="J152" s="6" t="s">
        <v>245</v>
      </c>
      <c r="K152" s="6" t="s">
        <v>181</v>
      </c>
      <c r="L152" s="18">
        <f>J152/$D152</f>
        <v>3.5</v>
      </c>
      <c r="M152" s="18">
        <f>K152/$D152</f>
        <v>1.5</v>
      </c>
      <c r="N152" s="19">
        <f>K152/J152</f>
        <v>0.42857142857142855</v>
      </c>
      <c r="O152" s="14" t="s">
        <v>213</v>
      </c>
      <c r="P152" s="15" t="s">
        <v>181</v>
      </c>
      <c r="Q152" s="18">
        <f>O152/$D152</f>
        <v>3.4</v>
      </c>
      <c r="R152" s="18">
        <f>P152/$D152</f>
        <v>1.5</v>
      </c>
      <c r="S152" s="19">
        <f>P152/O152</f>
        <v>0.44117647058823528</v>
      </c>
      <c r="T152" s="15" t="s">
        <v>231</v>
      </c>
      <c r="U152" s="15" t="s">
        <v>192</v>
      </c>
      <c r="V152" s="18">
        <f>T152/$D152</f>
        <v>0.1</v>
      </c>
      <c r="W152" s="18">
        <f>U152/$D152</f>
        <v>0</v>
      </c>
      <c r="X152" s="19">
        <f>U152/T152</f>
        <v>0</v>
      </c>
      <c r="Y152" s="15" t="s">
        <v>184</v>
      </c>
      <c r="Z152" s="15" t="s">
        <v>193</v>
      </c>
      <c r="AA152" s="18">
        <f>Y152/$D152</f>
        <v>0.4</v>
      </c>
      <c r="AB152" s="18">
        <f>Z152/$D152</f>
        <v>0.3</v>
      </c>
      <c r="AC152" s="19">
        <f>Z152/Y152</f>
        <v>0.75</v>
      </c>
      <c r="AD152" s="15" t="s">
        <v>178</v>
      </c>
      <c r="AE152" s="18">
        <f>AD152/$D152</f>
        <v>1.4</v>
      </c>
      <c r="AF152" s="15" t="s">
        <v>226</v>
      </c>
      <c r="AG152" s="18">
        <f>AF152/$D152</f>
        <v>0.6</v>
      </c>
      <c r="AH152" s="15" t="s">
        <v>189</v>
      </c>
      <c r="AI152" s="18">
        <f>AH152/$D152</f>
        <v>0.8</v>
      </c>
      <c r="AJ152" s="15" t="s">
        <v>194</v>
      </c>
      <c r="AK152" s="18">
        <f>AJ152/$D152</f>
        <v>0.2</v>
      </c>
      <c r="AL152" s="15" t="s">
        <v>193</v>
      </c>
      <c r="AM152" s="18">
        <f>AL152/$D152</f>
        <v>0.3</v>
      </c>
      <c r="AN152" s="15" t="s">
        <v>192</v>
      </c>
      <c r="AO152" s="18">
        <f>AN152/$D152</f>
        <v>0</v>
      </c>
      <c r="AP152" s="15" t="s">
        <v>229</v>
      </c>
      <c r="AQ152" s="18">
        <f>AP152/$D152</f>
        <v>0.5</v>
      </c>
      <c r="AR152" s="15" t="s">
        <v>189</v>
      </c>
      <c r="AS152" s="18">
        <f>AR152/$D152</f>
        <v>0.8</v>
      </c>
      <c r="AT152" s="20">
        <v>-0.10310917585083271</v>
      </c>
      <c r="AU152" s="20">
        <v>-4.8427010184344123E-2</v>
      </c>
      <c r="AV152" s="20">
        <v>-0.11801435417943171</v>
      </c>
      <c r="AW152" s="20">
        <v>1.4905178328598993E-2</v>
      </c>
      <c r="AX152" s="20">
        <v>86.149786852921096</v>
      </c>
      <c r="AY152" s="20">
        <v>112.48016232638756</v>
      </c>
      <c r="AZ152" s="20">
        <v>1.0690785331531809</v>
      </c>
      <c r="BA152" s="20">
        <v>2.6</v>
      </c>
      <c r="BB152" s="20">
        <v>12.211350293542074</v>
      </c>
      <c r="BC152" s="21">
        <v>0.44885745375408054</v>
      </c>
      <c r="BD152" s="21">
        <v>0.42857142857142855</v>
      </c>
      <c r="BE152" s="20">
        <v>4.3801604464519084</v>
      </c>
      <c r="BF152" s="21">
        <v>2.8571428571428571E-2</v>
      </c>
      <c r="BG152" s="21">
        <v>0.11428571428571428</v>
      </c>
      <c r="BH152" s="20">
        <v>1.4973453315060175</v>
      </c>
      <c r="BI152" s="20">
        <v>1.9964604420080232</v>
      </c>
      <c r="BJ152" s="20">
        <v>1.6320035904078989</v>
      </c>
      <c r="BK152" s="20">
        <v>0.62226140164380717</v>
      </c>
      <c r="BL152" s="20">
        <v>1.9848356633960345</v>
      </c>
      <c r="BM152" s="20">
        <v>0</v>
      </c>
      <c r="BN152" s="20">
        <v>11.973180076628353</v>
      </c>
      <c r="BO152" s="22" t="s">
        <v>263</v>
      </c>
      <c r="BP152" s="22"/>
    </row>
    <row r="153" spans="1:68" x14ac:dyDescent="0.3">
      <c r="A153" s="16" t="s">
        <v>162</v>
      </c>
      <c r="B153" s="16" t="s">
        <v>272</v>
      </c>
      <c r="C153" s="4" t="s">
        <v>141</v>
      </c>
      <c r="D153" s="5" t="s">
        <v>207</v>
      </c>
      <c r="E153" s="7">
        <v>4</v>
      </c>
      <c r="F153" s="7">
        <v>52</v>
      </c>
      <c r="G153" s="14">
        <v>3792</v>
      </c>
      <c r="H153" s="5" t="s">
        <v>208</v>
      </c>
      <c r="I153" s="18">
        <f>H153/$D153</f>
        <v>1.5384615384615385</v>
      </c>
      <c r="J153" s="6" t="s">
        <v>200</v>
      </c>
      <c r="K153" s="6" t="s">
        <v>187</v>
      </c>
      <c r="L153" s="18">
        <f>J153/$D153</f>
        <v>1.7692307692307692</v>
      </c>
      <c r="M153" s="18">
        <f>K153/$D153</f>
        <v>0.53846153846153844</v>
      </c>
      <c r="N153" s="19">
        <f>K153/J153</f>
        <v>0.30434782608695654</v>
      </c>
      <c r="O153" s="14" t="s">
        <v>189</v>
      </c>
      <c r="P153" s="15" t="s">
        <v>184</v>
      </c>
      <c r="Q153" s="18">
        <f>O153/$D153</f>
        <v>0.61538461538461542</v>
      </c>
      <c r="R153" s="18">
        <f>P153/$D153</f>
        <v>0.30769230769230771</v>
      </c>
      <c r="S153" s="19">
        <f>P153/O153</f>
        <v>0.5</v>
      </c>
      <c r="T153" s="15" t="s">
        <v>181</v>
      </c>
      <c r="U153" s="15" t="s">
        <v>193</v>
      </c>
      <c r="V153" s="18">
        <f>T153/$D153</f>
        <v>1.1538461538461537</v>
      </c>
      <c r="W153" s="18">
        <f>U153/$D153</f>
        <v>0.23076923076923078</v>
      </c>
      <c r="X153" s="19">
        <f>U153/T153</f>
        <v>0.2</v>
      </c>
      <c r="Y153" s="15" t="s">
        <v>226</v>
      </c>
      <c r="Z153" s="15" t="s">
        <v>193</v>
      </c>
      <c r="AA153" s="18">
        <f>Y153/$D153</f>
        <v>0.46153846153846156</v>
      </c>
      <c r="AB153" s="18">
        <f>Z153/$D153</f>
        <v>0.23076923076923078</v>
      </c>
      <c r="AC153" s="19">
        <f>Z153/Y153</f>
        <v>0.5</v>
      </c>
      <c r="AD153" s="15" t="s">
        <v>176</v>
      </c>
      <c r="AE153" s="18">
        <f>AD153/$D153</f>
        <v>0.76923076923076927</v>
      </c>
      <c r="AF153" s="15" t="s">
        <v>184</v>
      </c>
      <c r="AG153" s="18">
        <f>AF153/$D153</f>
        <v>0.30769230769230771</v>
      </c>
      <c r="AH153" s="15" t="s">
        <v>226</v>
      </c>
      <c r="AI153" s="18">
        <f>AH153/$D153</f>
        <v>0.46153846153846156</v>
      </c>
      <c r="AJ153" s="15" t="s">
        <v>193</v>
      </c>
      <c r="AK153" s="18">
        <f>AJ153/$D153</f>
        <v>0.23076923076923078</v>
      </c>
      <c r="AL153" s="15" t="s">
        <v>231</v>
      </c>
      <c r="AM153" s="18">
        <f>AL153/$D153</f>
        <v>7.6923076923076927E-2</v>
      </c>
      <c r="AN153" s="15" t="s">
        <v>231</v>
      </c>
      <c r="AO153" s="18">
        <f>AN153/$D153</f>
        <v>7.6923076923076927E-2</v>
      </c>
      <c r="AP153" s="15" t="s">
        <v>194</v>
      </c>
      <c r="AQ153" s="18">
        <f>AP153/$D153</f>
        <v>0.15384615384615385</v>
      </c>
      <c r="AR153" s="15" t="s">
        <v>226</v>
      </c>
      <c r="AS153" s="18">
        <f>AR153/$D153</f>
        <v>0.46153846153846156</v>
      </c>
      <c r="AT153" s="20">
        <v>-7.7531727133913736E-2</v>
      </c>
      <c r="AU153" s="20">
        <v>-4.901900556411827E-2</v>
      </c>
      <c r="AV153" s="20">
        <v>-7.8197764591313793E-2</v>
      </c>
      <c r="AW153" s="20">
        <v>6.6603745740006267E-4</v>
      </c>
      <c r="AX153" s="20">
        <v>86.389093030663801</v>
      </c>
      <c r="AY153" s="20">
        <v>113.97063169441267</v>
      </c>
      <c r="AZ153" s="20">
        <v>0.94657802220001186</v>
      </c>
      <c r="BA153" s="20">
        <v>1.0769230769230769</v>
      </c>
      <c r="BB153" s="20">
        <v>8.8514225500526873</v>
      </c>
      <c r="BC153" s="21">
        <v>0.39001560062402496</v>
      </c>
      <c r="BD153" s="21">
        <v>0.36956521739130432</v>
      </c>
      <c r="BE153" s="20">
        <v>5.0734760726743007</v>
      </c>
      <c r="BF153" s="21">
        <v>0.65217391304347827</v>
      </c>
      <c r="BG153" s="21">
        <v>0.2608695652173913</v>
      </c>
      <c r="BH153" s="20">
        <v>1.7469028867570204</v>
      </c>
      <c r="BI153" s="20">
        <v>2.6203543301355303</v>
      </c>
      <c r="BJ153" s="20">
        <v>2.0400044880098736</v>
      </c>
      <c r="BK153" s="20">
        <v>1.6195789094835342</v>
      </c>
      <c r="BL153" s="20">
        <v>0.89063138742129755</v>
      </c>
      <c r="BM153" s="20">
        <v>0.42214576693332212</v>
      </c>
      <c r="BN153" s="20">
        <v>7.2358900144717797</v>
      </c>
      <c r="BO153" s="22" t="s">
        <v>263</v>
      </c>
      <c r="BP153" s="22"/>
    </row>
    <row r="154" spans="1:68" x14ac:dyDescent="0.3">
      <c r="A154" s="16" t="s">
        <v>162</v>
      </c>
      <c r="B154" s="16" t="s">
        <v>272</v>
      </c>
      <c r="C154" s="4" t="s">
        <v>422</v>
      </c>
      <c r="D154" s="5" t="s">
        <v>226</v>
      </c>
      <c r="E154" s="7">
        <v>7</v>
      </c>
      <c r="F154" s="7">
        <v>53</v>
      </c>
      <c r="G154" s="14">
        <v>2837</v>
      </c>
      <c r="H154" s="5" t="s">
        <v>183</v>
      </c>
      <c r="I154" s="18">
        <f>H154/$D154</f>
        <v>2.6666666666666665</v>
      </c>
      <c r="J154" s="6" t="s">
        <v>173</v>
      </c>
      <c r="K154" s="6" t="s">
        <v>226</v>
      </c>
      <c r="L154" s="18">
        <f>J154/$D154</f>
        <v>2.8333333333333335</v>
      </c>
      <c r="M154" s="18">
        <f>K154/$D154</f>
        <v>1</v>
      </c>
      <c r="N154" s="19">
        <f>K154/J154</f>
        <v>0.35294117647058826</v>
      </c>
      <c r="O154" s="14" t="s">
        <v>207</v>
      </c>
      <c r="P154" s="15" t="s">
        <v>184</v>
      </c>
      <c r="Q154" s="18">
        <f>O154/$D154</f>
        <v>2.1666666666666665</v>
      </c>
      <c r="R154" s="18">
        <f>P154/$D154</f>
        <v>0.66666666666666663</v>
      </c>
      <c r="S154" s="19">
        <f>P154/O154</f>
        <v>0.30769230769230771</v>
      </c>
      <c r="T154" s="15" t="s">
        <v>184</v>
      </c>
      <c r="U154" s="15" t="s">
        <v>194</v>
      </c>
      <c r="V154" s="18">
        <f>T154/$D154</f>
        <v>0.66666666666666663</v>
      </c>
      <c r="W154" s="18">
        <f>U154/$D154</f>
        <v>0.33333333333333331</v>
      </c>
      <c r="X154" s="19">
        <f>U154/T154</f>
        <v>0.5</v>
      </c>
      <c r="Y154" s="15" t="s">
        <v>194</v>
      </c>
      <c r="Z154" s="15" t="s">
        <v>194</v>
      </c>
      <c r="AA154" s="18">
        <f>Y154/$D154</f>
        <v>0.33333333333333331</v>
      </c>
      <c r="AB154" s="18">
        <f>Z154/$D154</f>
        <v>0.33333333333333331</v>
      </c>
      <c r="AC154" s="19">
        <f>Z154/Y154</f>
        <v>1</v>
      </c>
      <c r="AD154" s="15" t="s">
        <v>194</v>
      </c>
      <c r="AE154" s="18">
        <f>AD154/$D154</f>
        <v>0.33333333333333331</v>
      </c>
      <c r="AF154" s="15" t="s">
        <v>192</v>
      </c>
      <c r="AG154" s="18">
        <f>AF154/$D154</f>
        <v>0</v>
      </c>
      <c r="AH154" s="15" t="s">
        <v>194</v>
      </c>
      <c r="AI154" s="18">
        <f>AH154/$D154</f>
        <v>0.33333333333333331</v>
      </c>
      <c r="AJ154" s="15" t="s">
        <v>176</v>
      </c>
      <c r="AK154" s="18">
        <f>AJ154/$D154</f>
        <v>1.6666666666666667</v>
      </c>
      <c r="AL154" s="15" t="s">
        <v>193</v>
      </c>
      <c r="AM154" s="18">
        <f>AL154/$D154</f>
        <v>0.5</v>
      </c>
      <c r="AN154" s="15" t="s">
        <v>192</v>
      </c>
      <c r="AO154" s="18">
        <f>AN154/$D154</f>
        <v>0</v>
      </c>
      <c r="AP154" s="15" t="s">
        <v>187</v>
      </c>
      <c r="AQ154" s="18">
        <f>AP154/$D154</f>
        <v>1.1666666666666667</v>
      </c>
      <c r="AR154" s="15" t="s">
        <v>211</v>
      </c>
      <c r="AS154" s="18">
        <f>AR154/$D154</f>
        <v>1.8333333333333333</v>
      </c>
      <c r="AT154" s="20">
        <v>-0.1002097878501918</v>
      </c>
      <c r="AU154" s="20">
        <v>-8.4744006638639999E-2</v>
      </c>
      <c r="AV154" s="20">
        <v>-0.11731928936905148</v>
      </c>
      <c r="AW154" s="20">
        <v>1.7109501518859677E-2</v>
      </c>
      <c r="AX154" s="20">
        <v>80.82697697357932</v>
      </c>
      <c r="AY154" s="20">
        <v>110.78828580937102</v>
      </c>
      <c r="AZ154" s="20">
        <v>0.12578443883724374</v>
      </c>
      <c r="BA154" s="20">
        <v>2.1666666666666665</v>
      </c>
      <c r="BB154" s="20">
        <v>10.993657505285412</v>
      </c>
      <c r="BC154" s="21">
        <v>0.447427293064877</v>
      </c>
      <c r="BD154" s="21">
        <v>0.41176470588235292</v>
      </c>
      <c r="BE154" s="20">
        <v>2.8192894393436525</v>
      </c>
      <c r="BF154" s="21">
        <v>0.23529411764705882</v>
      </c>
      <c r="BG154" s="21">
        <v>0.11764705882352941</v>
      </c>
      <c r="BH154" s="20">
        <v>0</v>
      </c>
      <c r="BI154" s="20">
        <v>0.5392131532061839</v>
      </c>
      <c r="BJ154" s="20">
        <v>0.25187370422785754</v>
      </c>
      <c r="BK154" s="20">
        <v>3.274483586651022</v>
      </c>
      <c r="BL154" s="20">
        <v>3.573823199419921</v>
      </c>
      <c r="BM154" s="20">
        <v>0</v>
      </c>
      <c r="BN154" s="20">
        <v>28.135048231511256</v>
      </c>
      <c r="BO154" s="22" t="s">
        <v>263</v>
      </c>
      <c r="BP154" s="22">
        <v>45000</v>
      </c>
    </row>
    <row r="155" spans="1:68" x14ac:dyDescent="0.3">
      <c r="A155" s="16" t="s">
        <v>266</v>
      </c>
      <c r="B155" s="23" t="s">
        <v>272</v>
      </c>
      <c r="C155" s="4" t="s">
        <v>424</v>
      </c>
      <c r="D155" s="6" t="s">
        <v>229</v>
      </c>
      <c r="E155" s="8">
        <v>6</v>
      </c>
      <c r="F155" s="8">
        <v>40</v>
      </c>
      <c r="G155" s="14">
        <v>1998</v>
      </c>
      <c r="H155" s="14" t="s">
        <v>211</v>
      </c>
      <c r="I155" s="24">
        <v>6.0882352941176467</v>
      </c>
      <c r="J155" s="14" t="s">
        <v>211</v>
      </c>
      <c r="K155" s="14" t="s">
        <v>184</v>
      </c>
      <c r="L155" s="24">
        <v>5.382352941176471</v>
      </c>
      <c r="M155" s="24">
        <v>2.5294117647058822</v>
      </c>
      <c r="N155" s="19">
        <f>K155/J155</f>
        <v>0.36363636363636365</v>
      </c>
      <c r="O155" s="14" t="s">
        <v>231</v>
      </c>
      <c r="P155" s="14" t="s">
        <v>231</v>
      </c>
      <c r="Q155" s="24">
        <v>5.117647058823529</v>
      </c>
      <c r="R155" s="24">
        <v>2.5</v>
      </c>
      <c r="S155" s="19">
        <f>P155/O155</f>
        <v>1</v>
      </c>
      <c r="T155" s="14" t="s">
        <v>176</v>
      </c>
      <c r="U155" s="14" t="s">
        <v>193</v>
      </c>
      <c r="V155" s="24">
        <v>0.26470588235294118</v>
      </c>
      <c r="W155" s="24">
        <v>2.9411764705882353E-2</v>
      </c>
      <c r="X155" s="19">
        <f>U155/T155</f>
        <v>0.3</v>
      </c>
      <c r="Y155" s="14" t="s">
        <v>192</v>
      </c>
      <c r="Z155" s="14" t="s">
        <v>192</v>
      </c>
      <c r="AA155" s="24">
        <v>1.2941176470588236</v>
      </c>
      <c r="AB155" s="24">
        <v>1</v>
      </c>
      <c r="AC155" s="19" t="e">
        <f>Z155/Y155</f>
        <v>#DIV/0!</v>
      </c>
      <c r="AD155" s="14" t="s">
        <v>193</v>
      </c>
      <c r="AE155" s="24">
        <v>4.6470588235294121</v>
      </c>
      <c r="AF155" s="14" t="s">
        <v>194</v>
      </c>
      <c r="AG155" s="24">
        <v>1.911764705882353</v>
      </c>
      <c r="AH155" s="14" t="s">
        <v>231</v>
      </c>
      <c r="AI155" s="24">
        <v>2.7352941176470589</v>
      </c>
      <c r="AJ155" s="14" t="s">
        <v>192</v>
      </c>
      <c r="AK155" s="24">
        <v>2.0294117647058822</v>
      </c>
      <c r="AL155" s="14" t="s">
        <v>192</v>
      </c>
      <c r="AM155" s="24">
        <v>0.52941176470588236</v>
      </c>
      <c r="AN155" s="14" t="s">
        <v>192</v>
      </c>
      <c r="AO155" s="24">
        <v>0.73529411764705888</v>
      </c>
      <c r="AP155" s="14" t="s">
        <v>231</v>
      </c>
      <c r="AQ155" s="24">
        <v>1.6764705882352942</v>
      </c>
      <c r="AR155" s="14" t="s">
        <v>184</v>
      </c>
      <c r="AS155" s="24">
        <v>2.0588235294117645</v>
      </c>
      <c r="AT155" s="25">
        <v>-2.5310304651833385E-2</v>
      </c>
      <c r="AU155" s="20">
        <v>-3.0372365582200057E-2</v>
      </c>
      <c r="AV155" s="20">
        <v>-5.2054486905084123E-3</v>
      </c>
      <c r="AW155" s="20">
        <v>-2.0104855961324972E-2</v>
      </c>
      <c r="AX155" s="20">
        <v>95.419719027489208</v>
      </c>
      <c r="AY155" s="20">
        <v>119.53140784801386</v>
      </c>
      <c r="AZ155" s="20">
        <v>0.30107049681947312</v>
      </c>
      <c r="BA155" s="20">
        <v>1.2</v>
      </c>
      <c r="BB155" s="20">
        <v>7.1999999999999993</v>
      </c>
      <c r="BC155" s="21">
        <v>0.5</v>
      </c>
      <c r="BD155" s="21">
        <v>0.5</v>
      </c>
      <c r="BE155" s="20">
        <v>1.6079468305581361</v>
      </c>
      <c r="BF155" s="21">
        <v>0.90909090909090906</v>
      </c>
      <c r="BG155" s="21">
        <v>0</v>
      </c>
      <c r="BH155" s="20">
        <v>0.6376195536663124</v>
      </c>
      <c r="BI155" s="20">
        <v>0.3188097768331562</v>
      </c>
      <c r="BJ155" s="20">
        <v>0.44676098287416233</v>
      </c>
      <c r="BK155" s="20">
        <v>0</v>
      </c>
      <c r="BL155" s="20">
        <v>0</v>
      </c>
      <c r="BM155" s="20">
        <v>0</v>
      </c>
      <c r="BN155" s="20">
        <v>8.3333333333333339</v>
      </c>
      <c r="BO155" s="22" t="s">
        <v>263</v>
      </c>
      <c r="BP155" s="22">
        <v>370000</v>
      </c>
    </row>
    <row r="156" spans="1:68" x14ac:dyDescent="0.3">
      <c r="A156" s="16" t="s">
        <v>162</v>
      </c>
      <c r="B156" s="16" t="s">
        <v>272</v>
      </c>
      <c r="C156" s="4" t="s">
        <v>196</v>
      </c>
      <c r="D156" s="5" t="s">
        <v>189</v>
      </c>
      <c r="E156" s="7">
        <v>1</v>
      </c>
      <c r="F156" s="7">
        <v>49</v>
      </c>
      <c r="G156" s="14">
        <v>868</v>
      </c>
      <c r="H156" s="5" t="s">
        <v>176</v>
      </c>
      <c r="I156" s="18">
        <f>H156/$D156</f>
        <v>1.25</v>
      </c>
      <c r="J156" s="6" t="s">
        <v>203</v>
      </c>
      <c r="K156" s="6" t="s">
        <v>193</v>
      </c>
      <c r="L156" s="18">
        <f>J156/$D156</f>
        <v>1.125</v>
      </c>
      <c r="M156" s="18">
        <f>K156/$D156</f>
        <v>0.375</v>
      </c>
      <c r="N156" s="19">
        <f>K156/J156</f>
        <v>0.33333333333333331</v>
      </c>
      <c r="O156" s="14" t="s">
        <v>226</v>
      </c>
      <c r="P156" s="15" t="s">
        <v>194</v>
      </c>
      <c r="Q156" s="18">
        <f>O156/$D156</f>
        <v>0.75</v>
      </c>
      <c r="R156" s="18">
        <f>P156/$D156</f>
        <v>0.25</v>
      </c>
      <c r="S156" s="19">
        <f>P156/O156</f>
        <v>0.33333333333333331</v>
      </c>
      <c r="T156" s="15" t="s">
        <v>193</v>
      </c>
      <c r="U156" s="15" t="s">
        <v>231</v>
      </c>
      <c r="V156" s="18">
        <f>T156/$D156</f>
        <v>0.375</v>
      </c>
      <c r="W156" s="18">
        <f>U156/$D156</f>
        <v>0.125</v>
      </c>
      <c r="X156" s="19">
        <f>U156/T156</f>
        <v>0.33333333333333331</v>
      </c>
      <c r="Y156" s="15" t="s">
        <v>193</v>
      </c>
      <c r="Z156" s="15" t="s">
        <v>193</v>
      </c>
      <c r="AA156" s="18">
        <f>Y156/$D156</f>
        <v>0.375</v>
      </c>
      <c r="AB156" s="18">
        <f>Z156/$D156</f>
        <v>0.375</v>
      </c>
      <c r="AC156" s="19">
        <f>Z156/Y156</f>
        <v>1</v>
      </c>
      <c r="AD156" s="15" t="s">
        <v>194</v>
      </c>
      <c r="AE156" s="18">
        <f>AD156/$D156</f>
        <v>0.25</v>
      </c>
      <c r="AF156" s="15" t="s">
        <v>231</v>
      </c>
      <c r="AG156" s="18">
        <f>AF156/$D156</f>
        <v>0.125</v>
      </c>
      <c r="AH156" s="15" t="s">
        <v>231</v>
      </c>
      <c r="AI156" s="18">
        <f>AH156/$D156</f>
        <v>0.125</v>
      </c>
      <c r="AJ156" s="15" t="s">
        <v>194</v>
      </c>
      <c r="AK156" s="18">
        <f>AJ156/$D156</f>
        <v>0.25</v>
      </c>
      <c r="AL156" s="15" t="s">
        <v>192</v>
      </c>
      <c r="AM156" s="18">
        <f>AL156/$D156</f>
        <v>0</v>
      </c>
      <c r="AN156" s="15" t="s">
        <v>192</v>
      </c>
      <c r="AO156" s="18">
        <f>AN156/$D156</f>
        <v>0</v>
      </c>
      <c r="AP156" s="15" t="s">
        <v>192</v>
      </c>
      <c r="AQ156" s="18">
        <f>AP156/$D156</f>
        <v>0</v>
      </c>
      <c r="AR156" s="15" t="s">
        <v>192</v>
      </c>
      <c r="AS156" s="18">
        <f>AR156/$D156</f>
        <v>0</v>
      </c>
      <c r="AT156" s="20">
        <v>4.2587724609572788E-2</v>
      </c>
      <c r="AU156" s="20">
        <v>0.11721392094377833</v>
      </c>
      <c r="AV156" s="20">
        <v>4.923536499576326E-2</v>
      </c>
      <c r="AW156" s="20">
        <v>-6.6476403861904744E-3</v>
      </c>
      <c r="AX156" s="20">
        <v>115.55175161331694</v>
      </c>
      <c r="AY156" s="20">
        <v>118.21079727914763</v>
      </c>
      <c r="AZ156" s="20">
        <v>2.4108548639170975</v>
      </c>
      <c r="BA156" s="20">
        <v>1</v>
      </c>
      <c r="BB156" s="20">
        <v>22.018348623853214</v>
      </c>
      <c r="BC156" s="21">
        <v>0.48449612403100772</v>
      </c>
      <c r="BD156" s="21">
        <v>0.3888888888888889</v>
      </c>
      <c r="BE156" s="20">
        <v>5.0746211900183376</v>
      </c>
      <c r="BF156" s="21">
        <v>0.33333333333333331</v>
      </c>
      <c r="BG156" s="21">
        <v>0.33333333333333331</v>
      </c>
      <c r="BH156" s="20">
        <v>1.1699441351675457</v>
      </c>
      <c r="BI156" s="20">
        <v>1.1699441351675457</v>
      </c>
      <c r="BJ156" s="20">
        <v>1.09299323027318</v>
      </c>
      <c r="BK156" s="20">
        <v>2.9087383347473033</v>
      </c>
      <c r="BL156" s="20">
        <v>0</v>
      </c>
      <c r="BM156" s="20">
        <v>0</v>
      </c>
      <c r="BN156" s="20">
        <v>0</v>
      </c>
      <c r="BO156" s="22" t="s">
        <v>263</v>
      </c>
      <c r="BP156" s="22">
        <v>85000</v>
      </c>
    </row>
    <row r="157" spans="1:68" x14ac:dyDescent="0.3">
      <c r="A157" s="16" t="s">
        <v>162</v>
      </c>
      <c r="B157" s="16" t="s">
        <v>272</v>
      </c>
      <c r="C157" s="4" t="s">
        <v>439</v>
      </c>
      <c r="D157" s="5" t="s">
        <v>231</v>
      </c>
      <c r="E157" s="7">
        <v>3</v>
      </c>
      <c r="F157" s="7">
        <v>0</v>
      </c>
      <c r="G157" s="14">
        <v>180</v>
      </c>
      <c r="H157" s="5" t="s">
        <v>192</v>
      </c>
      <c r="I157" s="18">
        <f>H157/$D157</f>
        <v>0</v>
      </c>
      <c r="J157" s="6" t="s">
        <v>231</v>
      </c>
      <c r="K157" s="6" t="s">
        <v>192</v>
      </c>
      <c r="L157" s="18">
        <f>J157/$D157</f>
        <v>1</v>
      </c>
      <c r="M157" s="18">
        <f>K157/$D157</f>
        <v>0</v>
      </c>
      <c r="N157" s="19">
        <f>K157/J157</f>
        <v>0</v>
      </c>
      <c r="O157" s="14" t="s">
        <v>192</v>
      </c>
      <c r="P157" s="15" t="s">
        <v>192</v>
      </c>
      <c r="Q157" s="18">
        <f>O157/$D157</f>
        <v>0</v>
      </c>
      <c r="R157" s="18">
        <f>P157/$D157</f>
        <v>0</v>
      </c>
      <c r="S157" s="19" t="e">
        <f>P157/O157</f>
        <v>#DIV/0!</v>
      </c>
      <c r="T157" s="15" t="s">
        <v>231</v>
      </c>
      <c r="U157" s="15" t="s">
        <v>192</v>
      </c>
      <c r="V157" s="18">
        <f>T157/$D157</f>
        <v>1</v>
      </c>
      <c r="W157" s="18">
        <f>U157/$D157</f>
        <v>0</v>
      </c>
      <c r="X157" s="19">
        <f>U157/T157</f>
        <v>0</v>
      </c>
      <c r="Y157" s="15" t="s">
        <v>192</v>
      </c>
      <c r="Z157" s="15" t="s">
        <v>192</v>
      </c>
      <c r="AA157" s="18">
        <f>Y157/$D157</f>
        <v>0</v>
      </c>
      <c r="AB157" s="18">
        <f>Z157/$D157</f>
        <v>0</v>
      </c>
      <c r="AC157" s="19" t="e">
        <f>Z157/Y157</f>
        <v>#DIV/0!</v>
      </c>
      <c r="AD157" s="15" t="s">
        <v>192</v>
      </c>
      <c r="AE157" s="18">
        <f>AD157/$D157</f>
        <v>0</v>
      </c>
      <c r="AF157" s="15" t="s">
        <v>192</v>
      </c>
      <c r="AG157" s="18">
        <f>AF157/$D157</f>
        <v>0</v>
      </c>
      <c r="AH157" s="15" t="s">
        <v>192</v>
      </c>
      <c r="AI157" s="18">
        <f>AH157/$D157</f>
        <v>0</v>
      </c>
      <c r="AJ157" s="15" t="s">
        <v>192</v>
      </c>
      <c r="AK157" s="18">
        <f>AJ157/$D157</f>
        <v>0</v>
      </c>
      <c r="AL157" s="15" t="s">
        <v>231</v>
      </c>
      <c r="AM157" s="18">
        <f>AL157/$D157</f>
        <v>1</v>
      </c>
      <c r="AN157" s="15" t="s">
        <v>192</v>
      </c>
      <c r="AO157" s="18">
        <f>AN157/$D157</f>
        <v>0</v>
      </c>
      <c r="AP157" s="15" t="s">
        <v>231</v>
      </c>
      <c r="AQ157" s="18">
        <f>AP157/$D157</f>
        <v>1</v>
      </c>
      <c r="AR157" s="15" t="s">
        <v>231</v>
      </c>
      <c r="AS157" s="18">
        <f>AR157/$D157</f>
        <v>1</v>
      </c>
      <c r="AT157" s="20">
        <v>-4.0788863286978679E-2</v>
      </c>
      <c r="AU157" s="20">
        <v>-0.54385151049304903</v>
      </c>
      <c r="AV157" s="20">
        <v>-5.2491324236688078E-2</v>
      </c>
      <c r="AW157" s="20">
        <v>1.1702460949709401E-2</v>
      </c>
      <c r="AX157" s="20">
        <v>0</v>
      </c>
      <c r="AY157" s="20">
        <v>78.718888904394731</v>
      </c>
      <c r="AZ157" s="20">
        <v>-0.31486072229234779</v>
      </c>
      <c r="BA157" s="20">
        <v>-1</v>
      </c>
      <c r="BB157" s="20">
        <v>-13.333333333333332</v>
      </c>
      <c r="BC157" s="21">
        <v>0</v>
      </c>
      <c r="BD157" s="21">
        <v>0</v>
      </c>
      <c r="BE157" s="20">
        <v>0.5955358631696801</v>
      </c>
      <c r="BF157" s="21">
        <v>1</v>
      </c>
      <c r="BG157" s="21">
        <v>0</v>
      </c>
      <c r="BH157" s="20">
        <v>0</v>
      </c>
      <c r="BI157" s="20">
        <v>0</v>
      </c>
      <c r="BJ157" s="20">
        <v>0</v>
      </c>
      <c r="BK157" s="20">
        <v>0</v>
      </c>
      <c r="BL157" s="20">
        <v>18.782426370284696</v>
      </c>
      <c r="BM157" s="20">
        <v>0</v>
      </c>
      <c r="BN157" s="20">
        <v>50</v>
      </c>
      <c r="BO157" s="22" t="s">
        <v>263</v>
      </c>
      <c r="BP157" s="22">
        <v>50000</v>
      </c>
    </row>
    <row r="158" spans="1:68" x14ac:dyDescent="0.3">
      <c r="A158" s="16" t="s">
        <v>162</v>
      </c>
      <c r="B158" s="16" t="s">
        <v>257</v>
      </c>
      <c r="C158" s="16" t="s">
        <v>270</v>
      </c>
      <c r="D158" s="15" t="s">
        <v>230</v>
      </c>
      <c r="E158" s="15">
        <v>29</v>
      </c>
      <c r="F158" s="15">
        <v>30</v>
      </c>
      <c r="G158" s="14">
        <v>93829</v>
      </c>
      <c r="H158" s="8" t="s">
        <v>271</v>
      </c>
      <c r="I158" s="18">
        <f>H158/$D158</f>
        <v>21.811320754716981</v>
      </c>
      <c r="J158" s="6" t="s">
        <v>445</v>
      </c>
      <c r="K158" s="6" t="s">
        <v>446</v>
      </c>
      <c r="L158" s="18">
        <f>J158/$D158</f>
        <v>17.018867924528301</v>
      </c>
      <c r="M158" s="18">
        <f>K158/$D158</f>
        <v>7.9056603773584904</v>
      </c>
      <c r="N158" s="19">
        <f>K158/J158</f>
        <v>0.46452328159645234</v>
      </c>
      <c r="O158" s="12" t="s">
        <v>575</v>
      </c>
      <c r="P158" s="5" t="s">
        <v>576</v>
      </c>
      <c r="Q158" s="18">
        <f>O158/$D158</f>
        <v>11.735849056603774</v>
      </c>
      <c r="R158" s="18">
        <f>P158/$D158</f>
        <v>6.283018867924528</v>
      </c>
      <c r="S158" s="19">
        <f>P158/O158</f>
        <v>0.53536977491961413</v>
      </c>
      <c r="T158" s="12" t="s">
        <v>618</v>
      </c>
      <c r="U158" s="6" t="s">
        <v>399</v>
      </c>
      <c r="V158" s="18">
        <f>T158/$D158</f>
        <v>5.283018867924528</v>
      </c>
      <c r="W158" s="18">
        <f>U158/$D158</f>
        <v>1.6226415094339623</v>
      </c>
      <c r="X158" s="19">
        <f>U158/T158</f>
        <v>0.30714285714285716</v>
      </c>
      <c r="Y158" s="5" t="s">
        <v>636</v>
      </c>
      <c r="Z158" s="5" t="s">
        <v>352</v>
      </c>
      <c r="AA158" s="18">
        <f>Y158/$D158</f>
        <v>5.6226415094339623</v>
      </c>
      <c r="AB158" s="18">
        <f>Z158/$D158</f>
        <v>4.3773584905660377</v>
      </c>
      <c r="AC158" s="19">
        <f>Z158/Y158</f>
        <v>0.77852348993288589</v>
      </c>
      <c r="AD158" s="15" t="s">
        <v>643</v>
      </c>
      <c r="AE158" s="18">
        <f>AD158/$D158</f>
        <v>9.1886792452830193</v>
      </c>
      <c r="AF158" s="15" t="s">
        <v>530</v>
      </c>
      <c r="AG158" s="18">
        <f>AF158/$D158</f>
        <v>1.8113207547169812</v>
      </c>
      <c r="AH158" s="8" t="s">
        <v>661</v>
      </c>
      <c r="AI158" s="18">
        <f>AH158/$D158</f>
        <v>7.3773584905660377</v>
      </c>
      <c r="AJ158" s="8" t="s">
        <v>652</v>
      </c>
      <c r="AK158" s="18">
        <f>AJ158/$D158</f>
        <v>2.4339622641509435</v>
      </c>
      <c r="AL158" s="8" t="s">
        <v>213</v>
      </c>
      <c r="AM158" s="18">
        <f>AL158/$D158</f>
        <v>0.64150943396226412</v>
      </c>
      <c r="AN158" s="8" t="s">
        <v>186</v>
      </c>
      <c r="AO158" s="18">
        <f>AN158/$D158</f>
        <v>0.73584905660377353</v>
      </c>
      <c r="AP158" s="12" t="s">
        <v>387</v>
      </c>
      <c r="AQ158" s="18">
        <f>AP158/$D158</f>
        <v>2.4528301886792452</v>
      </c>
      <c r="AR158" s="12" t="s">
        <v>567</v>
      </c>
      <c r="AS158" s="18">
        <f>AR158/$D158</f>
        <v>1.9245283018867925</v>
      </c>
      <c r="AT158" s="20">
        <v>5.5715809823903006</v>
      </c>
      <c r="AU158" s="20">
        <v>0.14254124675127089</v>
      </c>
      <c r="AV158" s="20">
        <v>3.8226734161438567</v>
      </c>
      <c r="AW158" s="20">
        <v>1.7489075662464439</v>
      </c>
      <c r="AX158" s="20">
        <v>108.34282879311507</v>
      </c>
      <c r="AY158" s="20">
        <v>105.38045721692548</v>
      </c>
      <c r="AZ158" s="20">
        <v>20.590240982537246</v>
      </c>
      <c r="BA158" s="20">
        <v>22</v>
      </c>
      <c r="BB158" s="20">
        <v>29.83050847457627</v>
      </c>
      <c r="BC158" s="21">
        <v>0.55947034226420944</v>
      </c>
      <c r="BD158" s="21">
        <v>0.51219512195121952</v>
      </c>
      <c r="BE158" s="20">
        <v>35.22100033067381</v>
      </c>
      <c r="BF158" s="21">
        <v>0.31042128603104213</v>
      </c>
      <c r="BG158" s="21">
        <v>0.3303769401330377</v>
      </c>
      <c r="BH158" s="20">
        <v>6.9165510906176255</v>
      </c>
      <c r="BI158" s="20">
        <v>28.17053621282804</v>
      </c>
      <c r="BJ158" s="20">
        <v>16.389649616551189</v>
      </c>
      <c r="BK158" s="20">
        <v>17.286432160804019</v>
      </c>
      <c r="BL158" s="20">
        <v>1.2253325806006006</v>
      </c>
      <c r="BM158" s="20">
        <v>2.7160429343710013</v>
      </c>
      <c r="BN158" s="20">
        <v>11.176834720407182</v>
      </c>
      <c r="BO158" s="22" t="s">
        <v>265</v>
      </c>
      <c r="BP158" s="22">
        <v>600000</v>
      </c>
    </row>
    <row r="159" spans="1:68" x14ac:dyDescent="0.3">
      <c r="A159" s="16" t="s">
        <v>162</v>
      </c>
      <c r="B159" s="16" t="s">
        <v>257</v>
      </c>
      <c r="C159" s="16" t="s">
        <v>112</v>
      </c>
      <c r="D159" s="15" t="s">
        <v>201</v>
      </c>
      <c r="E159" s="15">
        <v>34</v>
      </c>
      <c r="F159" s="15">
        <v>37</v>
      </c>
      <c r="G159" s="14">
        <v>112143</v>
      </c>
      <c r="H159" s="8" t="s">
        <v>279</v>
      </c>
      <c r="I159" s="18">
        <f>H159/$D159</f>
        <v>17.62962962962963</v>
      </c>
      <c r="J159" s="6" t="s">
        <v>455</v>
      </c>
      <c r="K159" s="6" t="s">
        <v>456</v>
      </c>
      <c r="L159" s="18">
        <f>J159/$D159</f>
        <v>14.111111111111111</v>
      </c>
      <c r="M159" s="18">
        <f>K159/$D159</f>
        <v>6.2592592592592595</v>
      </c>
      <c r="N159" s="19">
        <f>K159/J159</f>
        <v>0.44356955380577429</v>
      </c>
      <c r="O159" s="12" t="s">
        <v>310</v>
      </c>
      <c r="P159" s="5" t="s">
        <v>362</v>
      </c>
      <c r="Q159" s="18">
        <f>O159/$D159</f>
        <v>7.8888888888888893</v>
      </c>
      <c r="R159" s="18">
        <f>P159/$D159</f>
        <v>3.9814814814814814</v>
      </c>
      <c r="S159" s="19">
        <f>P159/O159</f>
        <v>0.50469483568075113</v>
      </c>
      <c r="T159" s="12" t="s">
        <v>622</v>
      </c>
      <c r="U159" s="6" t="s">
        <v>389</v>
      </c>
      <c r="V159" s="18">
        <f>T159/$D159</f>
        <v>6.2222222222222223</v>
      </c>
      <c r="W159" s="18">
        <f>U159/$D159</f>
        <v>2.2777777777777777</v>
      </c>
      <c r="X159" s="19">
        <f>U159/T159</f>
        <v>0.36607142857142855</v>
      </c>
      <c r="Y159" s="5" t="s">
        <v>365</v>
      </c>
      <c r="Z159" s="5" t="s">
        <v>506</v>
      </c>
      <c r="AA159" s="18">
        <f>Y159/$D159</f>
        <v>3.8703703703703702</v>
      </c>
      <c r="AB159" s="18">
        <f>Z159/$D159</f>
        <v>2.8333333333333335</v>
      </c>
      <c r="AC159" s="19">
        <f>Z159/Y159</f>
        <v>0.73205741626794263</v>
      </c>
      <c r="AD159" s="15" t="s">
        <v>633</v>
      </c>
      <c r="AE159" s="18">
        <f>AD159/$D159</f>
        <v>4.2407407407407405</v>
      </c>
      <c r="AF159" s="15" t="s">
        <v>186</v>
      </c>
      <c r="AG159" s="18">
        <f>AF159/$D159</f>
        <v>0.72222222222222221</v>
      </c>
      <c r="AH159" s="8" t="s">
        <v>542</v>
      </c>
      <c r="AI159" s="18">
        <f>AH159/$D159</f>
        <v>3.5185185185185186</v>
      </c>
      <c r="AJ159" s="8" t="s">
        <v>320</v>
      </c>
      <c r="AK159" s="18">
        <f>AJ159/$D159</f>
        <v>6.7222222222222223</v>
      </c>
      <c r="AL159" s="8" t="s">
        <v>601</v>
      </c>
      <c r="AM159" s="18">
        <f>AL159/$D159</f>
        <v>1.9074074074074074</v>
      </c>
      <c r="AN159" s="8" t="s">
        <v>211</v>
      </c>
      <c r="AO159" s="18">
        <f>AN159/$D159</f>
        <v>0.20370370370370369</v>
      </c>
      <c r="AP159" s="12" t="s">
        <v>508</v>
      </c>
      <c r="AQ159" s="18">
        <f>AP159/$D159</f>
        <v>2.6666666666666665</v>
      </c>
      <c r="AR159" s="12" t="s">
        <v>387</v>
      </c>
      <c r="AS159" s="18">
        <f>AR159/$D159</f>
        <v>2.4074074074074074</v>
      </c>
      <c r="AT159" s="20">
        <v>6.0703069755892001</v>
      </c>
      <c r="AU159" s="20">
        <v>0.12989476222306104</v>
      </c>
      <c r="AV159" s="20">
        <v>4.7294391413740371</v>
      </c>
      <c r="AW159" s="20">
        <v>1.3408678342151632</v>
      </c>
      <c r="AX159" s="20">
        <v>112.05850259396671</v>
      </c>
      <c r="AY159" s="20">
        <v>108.49626881533224</v>
      </c>
      <c r="AZ159" s="20">
        <v>16.803275162399668</v>
      </c>
      <c r="BA159" s="20">
        <v>19.148148148148149</v>
      </c>
      <c r="BB159" s="20">
        <v>22.12592949232333</v>
      </c>
      <c r="BC159" s="21">
        <v>0.55740315705653654</v>
      </c>
      <c r="BD159" s="21">
        <v>0.52427821522309714</v>
      </c>
      <c r="BE159" s="20">
        <v>25.752954887237966</v>
      </c>
      <c r="BF159" s="21">
        <v>0.44094488188976377</v>
      </c>
      <c r="BG159" s="21">
        <v>0.27427821522309709</v>
      </c>
      <c r="BH159" s="20">
        <v>2.3945269709182653</v>
      </c>
      <c r="BI159" s="20">
        <v>11.665644217294114</v>
      </c>
      <c r="BJ159" s="20">
        <v>6.5676947570652011</v>
      </c>
      <c r="BK159" s="20">
        <v>35.264687548067968</v>
      </c>
      <c r="BL159" s="20">
        <v>3.104782404332088</v>
      </c>
      <c r="BM159" s="20">
        <v>0.65283206711113662</v>
      </c>
      <c r="BN159" s="20">
        <v>14.429436049541064</v>
      </c>
      <c r="BO159" s="22" t="s">
        <v>264</v>
      </c>
      <c r="BP159" s="22">
        <v>45000</v>
      </c>
    </row>
    <row r="160" spans="1:68" x14ac:dyDescent="0.3">
      <c r="A160" s="16" t="s">
        <v>162</v>
      </c>
      <c r="B160" s="16" t="s">
        <v>257</v>
      </c>
      <c r="C160" s="4" t="s">
        <v>156</v>
      </c>
      <c r="D160" s="5" t="s">
        <v>206</v>
      </c>
      <c r="E160" s="7">
        <v>25</v>
      </c>
      <c r="F160" s="7">
        <v>50</v>
      </c>
      <c r="G160" s="14">
        <v>58884</v>
      </c>
      <c r="H160" s="5" t="s">
        <v>321</v>
      </c>
      <c r="I160" s="18">
        <f>H160/$D160</f>
        <v>9.5</v>
      </c>
      <c r="J160" s="6" t="s">
        <v>511</v>
      </c>
      <c r="K160" s="6" t="s">
        <v>384</v>
      </c>
      <c r="L160" s="18">
        <f>J160/$D160</f>
        <v>7.7368421052631575</v>
      </c>
      <c r="M160" s="18">
        <f>K160/$D160</f>
        <v>3.5</v>
      </c>
      <c r="N160" s="19">
        <f>K160/J160</f>
        <v>0.45238095238095238</v>
      </c>
      <c r="O160" s="14" t="s">
        <v>374</v>
      </c>
      <c r="P160" s="15" t="s">
        <v>569</v>
      </c>
      <c r="Q160" s="18">
        <f>O160/$D160</f>
        <v>4.5</v>
      </c>
      <c r="R160" s="18">
        <f>P160/$D160</f>
        <v>2.4473684210526314</v>
      </c>
      <c r="S160" s="19">
        <f>P160/O160</f>
        <v>0.54385964912280704</v>
      </c>
      <c r="T160" s="15" t="s">
        <v>389</v>
      </c>
      <c r="U160" s="15" t="s">
        <v>301</v>
      </c>
      <c r="V160" s="18">
        <f>T160/$D160</f>
        <v>3.236842105263158</v>
      </c>
      <c r="W160" s="18">
        <f>U160/$D160</f>
        <v>1.0526315789473684</v>
      </c>
      <c r="X160" s="19">
        <f>U160/T160</f>
        <v>0.32520325203252032</v>
      </c>
      <c r="Y160" s="15" t="s">
        <v>541</v>
      </c>
      <c r="Z160" s="15" t="s">
        <v>224</v>
      </c>
      <c r="AA160" s="18">
        <f>Y160/$D160</f>
        <v>2.3421052631578947</v>
      </c>
      <c r="AB160" s="18">
        <f>Z160/$D160</f>
        <v>1.4473684210526316</v>
      </c>
      <c r="AC160" s="19">
        <f>Z160/Y160</f>
        <v>0.6179775280898876</v>
      </c>
      <c r="AD160" s="15" t="s">
        <v>656</v>
      </c>
      <c r="AE160" s="18">
        <f>AD160/$D160</f>
        <v>5.4736842105263159</v>
      </c>
      <c r="AF160" s="15" t="s">
        <v>412</v>
      </c>
      <c r="AG160" s="18">
        <f>AF160/$D160</f>
        <v>1.8157894736842106</v>
      </c>
      <c r="AH160" s="15" t="s">
        <v>598</v>
      </c>
      <c r="AI160" s="18">
        <f>AH160/$D160</f>
        <v>3.6578947368421053</v>
      </c>
      <c r="AJ160" s="15" t="s">
        <v>539</v>
      </c>
      <c r="AK160" s="18">
        <f>AJ160/$D160</f>
        <v>2.1842105263157894</v>
      </c>
      <c r="AL160" s="15" t="s">
        <v>174</v>
      </c>
      <c r="AM160" s="18">
        <f>AL160/$D160</f>
        <v>0.63157894736842102</v>
      </c>
      <c r="AN160" s="15" t="s">
        <v>371</v>
      </c>
      <c r="AO160" s="18">
        <f>AN160/$D160</f>
        <v>0.94736842105263153</v>
      </c>
      <c r="AP160" s="15" t="s">
        <v>247</v>
      </c>
      <c r="AQ160" s="18">
        <f>AP160/$D160</f>
        <v>1.1842105263157894</v>
      </c>
      <c r="AR160" s="15" t="s">
        <v>568</v>
      </c>
      <c r="AS160" s="18">
        <f>AR160/$D160</f>
        <v>2.6315789473684212</v>
      </c>
      <c r="AT160" s="20">
        <v>2.2861079077037827</v>
      </c>
      <c r="AU160" s="20">
        <v>9.3152104897947008E-2</v>
      </c>
      <c r="AV160" s="20">
        <v>1.6205073374125674</v>
      </c>
      <c r="AW160" s="20">
        <v>0.66560057029121511</v>
      </c>
      <c r="AX160" s="20">
        <v>110.79443685643744</v>
      </c>
      <c r="AY160" s="20">
        <v>108.80126164905289</v>
      </c>
      <c r="AZ160" s="20">
        <v>8.80396899786302</v>
      </c>
      <c r="BA160" s="20">
        <v>12.421052631578947</v>
      </c>
      <c r="BB160" s="20">
        <v>19.232597623089983</v>
      </c>
      <c r="BC160" s="21">
        <v>0.54178172649777878</v>
      </c>
      <c r="BD160" s="21">
        <v>0.52040816326530615</v>
      </c>
      <c r="BE160" s="20">
        <v>13.076584375136878</v>
      </c>
      <c r="BF160" s="21">
        <v>0.41836734693877553</v>
      </c>
      <c r="BG160" s="21">
        <v>0.30272108843537415</v>
      </c>
      <c r="BH160" s="20">
        <v>5.6768708649000725</v>
      </c>
      <c r="BI160" s="20">
        <v>11.436015220595797</v>
      </c>
      <c r="BJ160" s="20">
        <v>7.993658876372109</v>
      </c>
      <c r="BK160" s="20">
        <v>9.352990891163488</v>
      </c>
      <c r="BL160" s="20">
        <v>1.3775905249512714</v>
      </c>
      <c r="BM160" s="20">
        <v>2.8629653561310207</v>
      </c>
      <c r="BN160" s="20">
        <v>11.8997249841337</v>
      </c>
      <c r="BO160" s="22" t="s">
        <v>263</v>
      </c>
      <c r="BP160" s="22">
        <v>58000</v>
      </c>
    </row>
    <row r="161" spans="1:68" x14ac:dyDescent="0.3">
      <c r="A161" s="16" t="s">
        <v>162</v>
      </c>
      <c r="B161" s="16" t="s">
        <v>257</v>
      </c>
      <c r="C161" s="4" t="s">
        <v>325</v>
      </c>
      <c r="D161" s="5" t="s">
        <v>233</v>
      </c>
      <c r="E161" s="7">
        <v>11</v>
      </c>
      <c r="F161" s="7">
        <v>28</v>
      </c>
      <c r="G161" s="14">
        <v>35103</v>
      </c>
      <c r="H161" s="5" t="s">
        <v>326</v>
      </c>
      <c r="I161" s="18">
        <f>H161/$D161</f>
        <v>6.117647058823529</v>
      </c>
      <c r="J161" s="6" t="s">
        <v>342</v>
      </c>
      <c r="K161" s="6" t="s">
        <v>388</v>
      </c>
      <c r="L161" s="18">
        <f>J161/$D161</f>
        <v>4.9607843137254903</v>
      </c>
      <c r="M161" s="18">
        <f>K161/$D161</f>
        <v>2.4901960784313726</v>
      </c>
      <c r="N161" s="19">
        <f>K161/J161</f>
        <v>0.50197628458498023</v>
      </c>
      <c r="O161" s="14" t="s">
        <v>540</v>
      </c>
      <c r="P161" s="15" t="s">
        <v>611</v>
      </c>
      <c r="Q161" s="18">
        <f>O161/$D161</f>
        <v>4.6274509803921573</v>
      </c>
      <c r="R161" s="18">
        <f>P161/$D161</f>
        <v>2.4509803921568629</v>
      </c>
      <c r="S161" s="19">
        <f>P161/O161</f>
        <v>0.52966101694915257</v>
      </c>
      <c r="T161" s="15" t="s">
        <v>173</v>
      </c>
      <c r="U161" s="15" t="s">
        <v>194</v>
      </c>
      <c r="V161" s="18">
        <f>T161/$D161</f>
        <v>0.33333333333333331</v>
      </c>
      <c r="W161" s="18">
        <f>U161/$D161</f>
        <v>3.9215686274509803E-2</v>
      </c>
      <c r="X161" s="19">
        <f>U161/T161</f>
        <v>0.11764705882352941</v>
      </c>
      <c r="Y161" s="15" t="s">
        <v>396</v>
      </c>
      <c r="Z161" s="15" t="s">
        <v>205</v>
      </c>
      <c r="AA161" s="18">
        <f>Y161/$D161</f>
        <v>1.9019607843137254</v>
      </c>
      <c r="AB161" s="18">
        <f>Z161/$D161</f>
        <v>1.0980392156862746</v>
      </c>
      <c r="AC161" s="19">
        <f>Z161/Y161</f>
        <v>0.57731958762886593</v>
      </c>
      <c r="AD161" s="15" t="s">
        <v>479</v>
      </c>
      <c r="AE161" s="18">
        <f>AD161/$D161</f>
        <v>3.9607843137254903</v>
      </c>
      <c r="AF161" s="15" t="s">
        <v>411</v>
      </c>
      <c r="AG161" s="18">
        <f>AF161/$D161</f>
        <v>1.3725490196078431</v>
      </c>
      <c r="AH161" s="15" t="s">
        <v>557</v>
      </c>
      <c r="AI161" s="18">
        <f>AH161/$D161</f>
        <v>2.5882352941176472</v>
      </c>
      <c r="AJ161" s="15" t="s">
        <v>188</v>
      </c>
      <c r="AK161" s="18">
        <f>AJ161/$D161</f>
        <v>0.80392156862745101</v>
      </c>
      <c r="AL161" s="15" t="s">
        <v>176</v>
      </c>
      <c r="AM161" s="18">
        <f>AL161/$D161</f>
        <v>0.19607843137254902</v>
      </c>
      <c r="AN161" s="15" t="s">
        <v>180</v>
      </c>
      <c r="AO161" s="18">
        <f>AN161/$D161</f>
        <v>0.35294117647058826</v>
      </c>
      <c r="AP161" s="15" t="s">
        <v>199</v>
      </c>
      <c r="AQ161" s="18">
        <f>AP161/$D161</f>
        <v>0.6470588235294118</v>
      </c>
      <c r="AR161" s="15" t="s">
        <v>571</v>
      </c>
      <c r="AS161" s="18">
        <f>AR161/$D161</f>
        <v>1.5098039215686274</v>
      </c>
      <c r="AT161" s="20">
        <v>1.6785037120357142</v>
      </c>
      <c r="AU161" s="20">
        <v>0.1148087354333594</v>
      </c>
      <c r="AV161" s="20">
        <v>1.1037114338899099</v>
      </c>
      <c r="AW161" s="20">
        <v>0.57479227814580436</v>
      </c>
      <c r="AX161" s="20">
        <v>108.09138904661937</v>
      </c>
      <c r="AY161" s="20">
        <v>106.4341227752751</v>
      </c>
      <c r="AZ161" s="20">
        <v>15.581866056384204</v>
      </c>
      <c r="BA161" s="20">
        <v>7.5098039215686274</v>
      </c>
      <c r="BB161" s="20">
        <v>26.19699042407661</v>
      </c>
      <c r="BC161" s="21">
        <v>0.52759740259740262</v>
      </c>
      <c r="BD161" s="21">
        <v>0.50592885375494068</v>
      </c>
      <c r="BE161" s="20">
        <v>25.605618423829853</v>
      </c>
      <c r="BF161" s="21">
        <v>6.7193675889328064E-2</v>
      </c>
      <c r="BG161" s="21">
        <v>0.38339920948616601</v>
      </c>
      <c r="BH161" s="20">
        <v>12.974816499023801</v>
      </c>
      <c r="BI161" s="20">
        <v>24.466796826730594</v>
      </c>
      <c r="BJ161" s="20">
        <v>17.489480337321858</v>
      </c>
      <c r="BK161" s="20">
        <v>12.579259562282676</v>
      </c>
      <c r="BL161" s="20">
        <v>0.96353076454948838</v>
      </c>
      <c r="BM161" s="20">
        <v>3.2249973125022398</v>
      </c>
      <c r="BN161" s="20">
        <v>10.040160642570282</v>
      </c>
      <c r="BO161" s="22" t="s">
        <v>265</v>
      </c>
      <c r="BP161" s="22"/>
    </row>
    <row r="162" spans="1:68" x14ac:dyDescent="0.3">
      <c r="A162" s="16" t="s">
        <v>162</v>
      </c>
      <c r="B162" s="16" t="s">
        <v>257</v>
      </c>
      <c r="C162" s="4" t="s">
        <v>110</v>
      </c>
      <c r="D162" s="5" t="s">
        <v>233</v>
      </c>
      <c r="E162" s="7">
        <v>22</v>
      </c>
      <c r="F162" s="7">
        <v>20</v>
      </c>
      <c r="G162" s="14">
        <v>68320</v>
      </c>
      <c r="H162" s="5" t="s">
        <v>328</v>
      </c>
      <c r="I162" s="18">
        <f>H162/$D162</f>
        <v>5.8039215686274508</v>
      </c>
      <c r="J162" s="6" t="s">
        <v>473</v>
      </c>
      <c r="K162" s="6" t="s">
        <v>517</v>
      </c>
      <c r="L162" s="18">
        <f>J162/$D162</f>
        <v>5.2352941176470589</v>
      </c>
      <c r="M162" s="18">
        <f>K162/$D162</f>
        <v>2.1764705882352939</v>
      </c>
      <c r="N162" s="19">
        <f>K162/J162</f>
        <v>0.4157303370786517</v>
      </c>
      <c r="O162" s="14" t="s">
        <v>389</v>
      </c>
      <c r="P162" s="15" t="s">
        <v>412</v>
      </c>
      <c r="Q162" s="18">
        <f>O162/$D162</f>
        <v>2.4117647058823528</v>
      </c>
      <c r="R162" s="18">
        <f>P162/$D162</f>
        <v>1.3529411764705883</v>
      </c>
      <c r="S162" s="19">
        <f>P162/O162</f>
        <v>0.56097560975609762</v>
      </c>
      <c r="T162" s="15" t="s">
        <v>508</v>
      </c>
      <c r="U162" s="15" t="s">
        <v>220</v>
      </c>
      <c r="V162" s="18">
        <f>T162/$D162</f>
        <v>2.8235294117647061</v>
      </c>
      <c r="W162" s="18">
        <f>U162/$D162</f>
        <v>0.82352941176470584</v>
      </c>
      <c r="X162" s="19">
        <f>U162/T162</f>
        <v>0.29166666666666669</v>
      </c>
      <c r="Y162" s="15" t="s">
        <v>188</v>
      </c>
      <c r="Z162" s="15" t="s">
        <v>234</v>
      </c>
      <c r="AA162" s="18">
        <f>Y162/$D162</f>
        <v>0.80392156862745101</v>
      </c>
      <c r="AB162" s="18">
        <f>Z162/$D162</f>
        <v>0.62745098039215685</v>
      </c>
      <c r="AC162" s="19">
        <f>Z162/Y162</f>
        <v>0.78048780487804881</v>
      </c>
      <c r="AD162" s="15" t="s">
        <v>629</v>
      </c>
      <c r="AE162" s="18">
        <f>AD162/$D162</f>
        <v>3.0392156862745097</v>
      </c>
      <c r="AF162" s="15" t="s">
        <v>205</v>
      </c>
      <c r="AG162" s="18">
        <f>AF162/$D162</f>
        <v>1.0980392156862746</v>
      </c>
      <c r="AH162" s="15" t="s">
        <v>392</v>
      </c>
      <c r="AI162" s="18">
        <f>AH162/$D162</f>
        <v>1.9411764705882353</v>
      </c>
      <c r="AJ162" s="15" t="s">
        <v>245</v>
      </c>
      <c r="AK162" s="18">
        <f>AJ162/$D162</f>
        <v>0.68627450980392157</v>
      </c>
      <c r="AL162" s="15" t="s">
        <v>174</v>
      </c>
      <c r="AM162" s="18">
        <f>AL162/$D162</f>
        <v>0.47058823529411764</v>
      </c>
      <c r="AN162" s="15" t="s">
        <v>226</v>
      </c>
      <c r="AO162" s="18">
        <f>AN162/$D162</f>
        <v>0.11764705882352941</v>
      </c>
      <c r="AP162" s="15" t="s">
        <v>245</v>
      </c>
      <c r="AQ162" s="18">
        <f>AP162/$D162</f>
        <v>0.68627450980392157</v>
      </c>
      <c r="AR162" s="15" t="s">
        <v>529</v>
      </c>
      <c r="AS162" s="18">
        <f>AR162/$D162</f>
        <v>1.8627450980392157</v>
      </c>
      <c r="AT162" s="20">
        <v>0.81991524542278793</v>
      </c>
      <c r="AU162" s="20">
        <v>2.8794214062257698E-2</v>
      </c>
      <c r="AV162" s="20">
        <v>0.70534124277249088</v>
      </c>
      <c r="AW162" s="20">
        <v>0.11457400265029702</v>
      </c>
      <c r="AX162" s="20">
        <v>104.48620996137474</v>
      </c>
      <c r="AY162" s="20">
        <v>113.2849528576667</v>
      </c>
      <c r="AZ162" s="20">
        <v>6.2654162671960929</v>
      </c>
      <c r="BA162" s="20">
        <v>6.1960784313725492</v>
      </c>
      <c r="BB162" s="20">
        <v>11.097453906935907</v>
      </c>
      <c r="BC162" s="21">
        <v>0.51922537187763118</v>
      </c>
      <c r="BD162" s="21">
        <v>0.4943820224719101</v>
      </c>
      <c r="BE162" s="20">
        <v>12.801176707756861</v>
      </c>
      <c r="BF162" s="21">
        <v>0.5393258426966292</v>
      </c>
      <c r="BG162" s="21">
        <v>0.15355805243445692</v>
      </c>
      <c r="BH162" s="20">
        <v>5.3293574634796261</v>
      </c>
      <c r="BI162" s="20">
        <v>9.4215426586514823</v>
      </c>
      <c r="BJ162" s="20">
        <v>6.8903435169646929</v>
      </c>
      <c r="BK162" s="20">
        <v>4.5385779122541603</v>
      </c>
      <c r="BL162" s="20">
        <v>1.187299998823967</v>
      </c>
      <c r="BM162" s="20">
        <v>0.55193983855759721</v>
      </c>
      <c r="BN162" s="20">
        <v>10.936132983377076</v>
      </c>
      <c r="BO162" s="22" t="s">
        <v>263</v>
      </c>
      <c r="BP162" s="22"/>
    </row>
    <row r="163" spans="1:68" x14ac:dyDescent="0.3">
      <c r="A163" s="16" t="s">
        <v>162</v>
      </c>
      <c r="B163" s="16" t="s">
        <v>257</v>
      </c>
      <c r="C163" s="9" t="s">
        <v>109</v>
      </c>
      <c r="D163" s="5" t="s">
        <v>199</v>
      </c>
      <c r="E163" s="7">
        <v>30</v>
      </c>
      <c r="F163" s="7">
        <v>27</v>
      </c>
      <c r="G163" s="14">
        <v>60301</v>
      </c>
      <c r="H163" s="5" t="s">
        <v>336</v>
      </c>
      <c r="I163" s="18">
        <v>5.2777777777777777</v>
      </c>
      <c r="J163" s="6" t="s">
        <v>354</v>
      </c>
      <c r="K163" s="6" t="s">
        <v>525</v>
      </c>
      <c r="L163" s="18">
        <v>4.3888888888888893</v>
      </c>
      <c r="M163" s="18">
        <v>1.8888888888888888</v>
      </c>
      <c r="N163" s="19">
        <f>K163/J163</f>
        <v>0.48888888888888887</v>
      </c>
      <c r="O163" s="14" t="s">
        <v>502</v>
      </c>
      <c r="P163" s="15" t="s">
        <v>613</v>
      </c>
      <c r="Q163" s="18">
        <v>1.6666666666666667</v>
      </c>
      <c r="R163" s="18">
        <v>0.72222222222222221</v>
      </c>
      <c r="S163" s="19">
        <f>P163/O163</f>
        <v>0.56716417910447758</v>
      </c>
      <c r="T163" s="15" t="s">
        <v>546</v>
      </c>
      <c r="U163" s="15" t="s">
        <v>213</v>
      </c>
      <c r="V163" s="18">
        <v>2.7222222222222223</v>
      </c>
      <c r="W163" s="18">
        <v>1.1666666666666667</v>
      </c>
      <c r="X163" s="19">
        <f>U163/T163</f>
        <v>0.37362637362637363</v>
      </c>
      <c r="Y163" s="15" t="s">
        <v>301</v>
      </c>
      <c r="Z163" s="15" t="s">
        <v>170</v>
      </c>
      <c r="AA163" s="18">
        <v>0.33333333333333331</v>
      </c>
      <c r="AB163" s="18">
        <v>0.33333333333333331</v>
      </c>
      <c r="AC163" s="19">
        <f>Z163/Y163</f>
        <v>0.7</v>
      </c>
      <c r="AD163" s="15" t="s">
        <v>657</v>
      </c>
      <c r="AE163" s="18">
        <v>2.1111111111111112</v>
      </c>
      <c r="AF163" s="15" t="s">
        <v>190</v>
      </c>
      <c r="AG163" s="18">
        <v>0.66666666666666663</v>
      </c>
      <c r="AH163" s="15" t="s">
        <v>609</v>
      </c>
      <c r="AI163" s="18">
        <v>1.4444444444444444</v>
      </c>
      <c r="AJ163" s="15" t="s">
        <v>556</v>
      </c>
      <c r="AK163" s="18">
        <v>1.3333333333333333</v>
      </c>
      <c r="AL163" s="15" t="s">
        <v>170</v>
      </c>
      <c r="AM163" s="18">
        <v>0.55555555555555558</v>
      </c>
      <c r="AN163" s="15" t="s">
        <v>180</v>
      </c>
      <c r="AO163" s="18">
        <v>0</v>
      </c>
      <c r="AP163" s="15" t="s">
        <v>220</v>
      </c>
      <c r="AQ163" s="18">
        <v>1.0555555555555556</v>
      </c>
      <c r="AR163" s="15" t="s">
        <v>215</v>
      </c>
      <c r="AS163" s="18">
        <v>1.8333333333333333</v>
      </c>
      <c r="AT163" s="20">
        <v>1.7502710868854536</v>
      </c>
      <c r="AU163" s="20">
        <v>6.9672929766052785E-2</v>
      </c>
      <c r="AV163" s="20">
        <v>1.2543438970563867</v>
      </c>
      <c r="AW163" s="20">
        <v>0.49592718982906686</v>
      </c>
      <c r="AX163" s="20">
        <v>111.29090322374222</v>
      </c>
      <c r="AY163" s="20">
        <v>110.23384527626203</v>
      </c>
      <c r="AZ163" s="20">
        <v>6.4714820559094486</v>
      </c>
      <c r="BA163" s="20">
        <v>11.969696969696969</v>
      </c>
      <c r="BB163" s="20">
        <v>15.723739861670897</v>
      </c>
      <c r="BC163" s="21">
        <v>0.58120362737015663</v>
      </c>
      <c r="BD163" s="21">
        <v>0.56444444444444442</v>
      </c>
      <c r="BE163" s="20">
        <v>8.3492367811867467</v>
      </c>
      <c r="BF163" s="21">
        <v>0.40444444444444444</v>
      </c>
      <c r="BG163" s="21">
        <v>0.17777777777777778</v>
      </c>
      <c r="BH163" s="20">
        <v>3.280582268452839</v>
      </c>
      <c r="BI163" s="20">
        <v>8.7947524643629293</v>
      </c>
      <c r="BJ163" s="20">
        <v>5.6405509970611263</v>
      </c>
      <c r="BK163" s="20">
        <v>5.7651392098098881</v>
      </c>
      <c r="BL163" s="20">
        <v>1.5701087874846142</v>
      </c>
      <c r="BM163" s="20">
        <v>1.2144489058574388</v>
      </c>
      <c r="BN163" s="20">
        <v>14.757554462403371</v>
      </c>
      <c r="BO163" s="22" t="s">
        <v>263</v>
      </c>
      <c r="BP163" s="22">
        <v>400000</v>
      </c>
    </row>
    <row r="164" spans="1:68" x14ac:dyDescent="0.3">
      <c r="A164" s="16" t="s">
        <v>162</v>
      </c>
      <c r="B164" s="16" t="s">
        <v>257</v>
      </c>
      <c r="C164" s="4" t="s">
        <v>210</v>
      </c>
      <c r="D164" s="5" t="s">
        <v>247</v>
      </c>
      <c r="E164" s="5">
        <v>14</v>
      </c>
      <c r="F164" s="5">
        <v>54</v>
      </c>
      <c r="G164" s="14">
        <v>40250</v>
      </c>
      <c r="H164" s="5" t="s">
        <v>363</v>
      </c>
      <c r="I164" s="18">
        <f>H164/$D164</f>
        <v>4.7111111111111112</v>
      </c>
      <c r="J164" s="6" t="s">
        <v>381</v>
      </c>
      <c r="K164" s="6" t="s">
        <v>396</v>
      </c>
      <c r="L164" s="18">
        <f>J164/$D164</f>
        <v>3.4888888888888889</v>
      </c>
      <c r="M164" s="18">
        <f>K164/$D164</f>
        <v>2.1555555555555554</v>
      </c>
      <c r="N164" s="19">
        <f>K164/J164</f>
        <v>0.61783439490445857</v>
      </c>
      <c r="O164" s="14" t="s">
        <v>506</v>
      </c>
      <c r="P164" s="15" t="s">
        <v>530</v>
      </c>
      <c r="Q164" s="18">
        <f>O164/$D164</f>
        <v>3.4</v>
      </c>
      <c r="R164" s="18">
        <f>P164/$D164</f>
        <v>2.1333333333333333</v>
      </c>
      <c r="S164" s="19">
        <f>P164/O164</f>
        <v>0.62745098039215685</v>
      </c>
      <c r="T164" s="15" t="s">
        <v>184</v>
      </c>
      <c r="U164" s="15" t="s">
        <v>231</v>
      </c>
      <c r="V164" s="18">
        <f>T164/$D164</f>
        <v>8.8888888888888892E-2</v>
      </c>
      <c r="W164" s="18">
        <f>U164/$D164</f>
        <v>2.2222222222222223E-2</v>
      </c>
      <c r="X164" s="19">
        <f>U164/T164</f>
        <v>0.25</v>
      </c>
      <c r="Y164" s="15" t="s">
        <v>172</v>
      </c>
      <c r="Z164" s="15" t="s">
        <v>173</v>
      </c>
      <c r="AA164" s="18">
        <f>Y164/$D164</f>
        <v>0.64444444444444449</v>
      </c>
      <c r="AB164" s="18">
        <f>Z164/$D164</f>
        <v>0.37777777777777777</v>
      </c>
      <c r="AC164" s="19">
        <f>Z164/Y164</f>
        <v>0.58620689655172409</v>
      </c>
      <c r="AD164" s="15" t="s">
        <v>383</v>
      </c>
      <c r="AE164" s="18">
        <f>AD164/$D164</f>
        <v>3.3111111111111109</v>
      </c>
      <c r="AF164" s="15" t="s">
        <v>610</v>
      </c>
      <c r="AG164" s="18">
        <f>AF164/$D164</f>
        <v>1.4444444444444444</v>
      </c>
      <c r="AH164" s="15" t="s">
        <v>400</v>
      </c>
      <c r="AI164" s="18">
        <f>AH164/$D164</f>
        <v>1.8666666666666667</v>
      </c>
      <c r="AJ164" s="15" t="s">
        <v>215</v>
      </c>
      <c r="AK164" s="18">
        <f>AJ164/$D164</f>
        <v>1.2666666666666666</v>
      </c>
      <c r="AL164" s="15" t="s">
        <v>211</v>
      </c>
      <c r="AM164" s="18">
        <f>AL164/$D164</f>
        <v>0.24444444444444444</v>
      </c>
      <c r="AN164" s="15" t="s">
        <v>172</v>
      </c>
      <c r="AO164" s="18">
        <f>AN164/$D164</f>
        <v>0.64444444444444449</v>
      </c>
      <c r="AP164" s="15" t="s">
        <v>206</v>
      </c>
      <c r="AQ164" s="18">
        <f>AP164/$D164</f>
        <v>0.84444444444444444</v>
      </c>
      <c r="AR164" s="15" t="s">
        <v>394</v>
      </c>
      <c r="AS164" s="18">
        <f>AR164/$D164</f>
        <v>2.1777777777777776</v>
      </c>
      <c r="AT164" s="20">
        <v>1.7514173442465455</v>
      </c>
      <c r="AU164" s="20">
        <v>0.10448425618174767</v>
      </c>
      <c r="AV164" s="20">
        <v>1.3974267737948483</v>
      </c>
      <c r="AW164" s="20">
        <v>0.3539905704516973</v>
      </c>
      <c r="AX164" s="20">
        <v>117.34059719405971</v>
      </c>
      <c r="AY164" s="20">
        <v>109.96660794300095</v>
      </c>
      <c r="AZ164" s="20">
        <v>10.09229057047089</v>
      </c>
      <c r="BA164" s="20">
        <v>7.7333333333333334</v>
      </c>
      <c r="BB164" s="20">
        <v>20.760626398210288</v>
      </c>
      <c r="BC164" s="21">
        <v>0.62441093308199813</v>
      </c>
      <c r="BD164" s="21">
        <v>0.62101910828025475</v>
      </c>
      <c r="BE164" s="20">
        <v>12.455892375718058</v>
      </c>
      <c r="BF164" s="21">
        <v>2.5477707006369428E-2</v>
      </c>
      <c r="BG164" s="21">
        <v>0.18471337579617833</v>
      </c>
      <c r="BH164" s="20">
        <v>9.2718727043199785</v>
      </c>
      <c r="BI164" s="20">
        <v>11.982112417890436</v>
      </c>
      <c r="BJ164" s="20">
        <v>9.9280218416480519</v>
      </c>
      <c r="BK164" s="20">
        <v>11.595971925541654</v>
      </c>
      <c r="BL164" s="20">
        <v>0.92441472068515285</v>
      </c>
      <c r="BM164" s="20">
        <v>3.9985798147554492</v>
      </c>
      <c r="BN164" s="20">
        <v>18.2903350019253</v>
      </c>
      <c r="BO164" s="22" t="s">
        <v>263</v>
      </c>
      <c r="BP164" s="22">
        <v>390000</v>
      </c>
    </row>
    <row r="165" spans="1:68" x14ac:dyDescent="0.3">
      <c r="A165" s="16" t="s">
        <v>162</v>
      </c>
      <c r="B165" s="16" t="s">
        <v>257</v>
      </c>
      <c r="C165" s="9" t="s">
        <v>115</v>
      </c>
      <c r="D165" s="10" t="s">
        <v>232</v>
      </c>
      <c r="E165" s="11">
        <v>16</v>
      </c>
      <c r="F165" s="11">
        <v>14</v>
      </c>
      <c r="G165" s="14">
        <v>47749</v>
      </c>
      <c r="H165" s="5" t="s">
        <v>366</v>
      </c>
      <c r="I165" s="18">
        <v>3.4375</v>
      </c>
      <c r="J165" s="6" t="s">
        <v>483</v>
      </c>
      <c r="K165" s="6" t="s">
        <v>548</v>
      </c>
      <c r="L165" s="18">
        <v>3.3125</v>
      </c>
      <c r="M165" s="18">
        <v>1.125</v>
      </c>
      <c r="N165" s="19">
        <f>K165/J165</f>
        <v>0.3383838383838384</v>
      </c>
      <c r="O165" s="14" t="s">
        <v>219</v>
      </c>
      <c r="P165" s="15" t="s">
        <v>208</v>
      </c>
      <c r="Q165" s="18">
        <v>0.9375</v>
      </c>
      <c r="R165" s="18">
        <v>0.25</v>
      </c>
      <c r="S165" s="19">
        <f>P165/O165</f>
        <v>0.46511627906976744</v>
      </c>
      <c r="T165" s="15" t="s">
        <v>629</v>
      </c>
      <c r="U165" s="15" t="s">
        <v>190</v>
      </c>
      <c r="V165" s="18">
        <v>2.375</v>
      </c>
      <c r="W165" s="18">
        <v>0.875</v>
      </c>
      <c r="X165" s="19">
        <f>U165/T165</f>
        <v>0.3032258064516129</v>
      </c>
      <c r="Y165" s="15" t="s">
        <v>174</v>
      </c>
      <c r="Z165" s="15" t="s">
        <v>204</v>
      </c>
      <c r="AA165" s="18">
        <v>0.5</v>
      </c>
      <c r="AB165" s="18">
        <v>0.3125</v>
      </c>
      <c r="AC165" s="19">
        <f>Z165/Y165</f>
        <v>0.91666666666666663</v>
      </c>
      <c r="AD165" s="15" t="s">
        <v>613</v>
      </c>
      <c r="AE165" s="18">
        <v>2.125</v>
      </c>
      <c r="AF165" s="15" t="s">
        <v>171</v>
      </c>
      <c r="AG165" s="18">
        <v>1.25</v>
      </c>
      <c r="AH165" s="15" t="s">
        <v>247</v>
      </c>
      <c r="AI165" s="18">
        <v>0.875</v>
      </c>
      <c r="AJ165" s="15" t="s">
        <v>371</v>
      </c>
      <c r="AK165" s="18">
        <v>1</v>
      </c>
      <c r="AL165" s="15" t="s">
        <v>234</v>
      </c>
      <c r="AM165" s="18">
        <v>0.5</v>
      </c>
      <c r="AN165" s="15" t="s">
        <v>192</v>
      </c>
      <c r="AO165" s="18">
        <v>6.25E-2</v>
      </c>
      <c r="AP165" s="15" t="s">
        <v>207</v>
      </c>
      <c r="AQ165" s="18">
        <v>0.625</v>
      </c>
      <c r="AR165" s="15" t="s">
        <v>412</v>
      </c>
      <c r="AS165" s="18">
        <v>2.0625</v>
      </c>
      <c r="AT165" s="20">
        <v>0.83374340446248996</v>
      </c>
      <c r="AU165" s="20">
        <v>4.1926500664417221E-2</v>
      </c>
      <c r="AV165" s="20">
        <v>0.67046581093601976</v>
      </c>
      <c r="AW165" s="20">
        <v>0.1632775935264702</v>
      </c>
      <c r="AX165" s="20">
        <v>107.32788730022153</v>
      </c>
      <c r="AY165" s="20">
        <v>112.47215885162387</v>
      </c>
      <c r="AZ165" s="20">
        <v>6.1924825539232922</v>
      </c>
      <c r="BA165" s="20">
        <v>4.1020408163265305</v>
      </c>
      <c r="BB165" s="20">
        <v>10.10769811004484</v>
      </c>
      <c r="BC165" s="21">
        <v>0.4866705024932873</v>
      </c>
      <c r="BD165" s="21">
        <v>0.45707070707070707</v>
      </c>
      <c r="BE165" s="20">
        <v>12.192221073869289</v>
      </c>
      <c r="BF165" s="21">
        <v>0.78282828282828287</v>
      </c>
      <c r="BG165" s="21">
        <v>0.12121212121212122</v>
      </c>
      <c r="BH165" s="20">
        <v>4.0587692327835079</v>
      </c>
      <c r="BI165" s="20">
        <v>5.8917617895244474</v>
      </c>
      <c r="BJ165" s="20">
        <v>4.6480266527633587</v>
      </c>
      <c r="BK165" s="20">
        <v>6.2694105012625894</v>
      </c>
      <c r="BL165" s="20">
        <v>2.2668309913430806</v>
      </c>
      <c r="BM165" s="20">
        <v>0</v>
      </c>
      <c r="BN165" s="20">
        <v>5.8674851056147315</v>
      </c>
      <c r="BO165" s="22" t="s">
        <v>263</v>
      </c>
      <c r="BP165" s="22">
        <v>175000</v>
      </c>
    </row>
    <row r="166" spans="1:68" x14ac:dyDescent="0.3">
      <c r="A166" s="16" t="s">
        <v>162</v>
      </c>
      <c r="B166" s="16" t="s">
        <v>257</v>
      </c>
      <c r="C166" s="4" t="s">
        <v>122</v>
      </c>
      <c r="D166" s="10" t="s">
        <v>201</v>
      </c>
      <c r="E166" s="11">
        <v>12</v>
      </c>
      <c r="F166" s="11">
        <v>24</v>
      </c>
      <c r="G166" s="14">
        <v>40165</v>
      </c>
      <c r="H166" s="5" t="s">
        <v>382</v>
      </c>
      <c r="I166" s="18">
        <f>H166/$D166</f>
        <v>2.7777777777777777</v>
      </c>
      <c r="J166" s="6" t="s">
        <v>560</v>
      </c>
      <c r="K166" s="6" t="s">
        <v>233</v>
      </c>
      <c r="L166" s="18">
        <f>J166/$D166</f>
        <v>2.8518518518518516</v>
      </c>
      <c r="M166" s="18">
        <f>K166/$D166</f>
        <v>0.94444444444444442</v>
      </c>
      <c r="N166" s="19">
        <f>K166/J166</f>
        <v>0.33116883116883117</v>
      </c>
      <c r="O166" s="14" t="s">
        <v>233</v>
      </c>
      <c r="P166" s="15" t="s">
        <v>175</v>
      </c>
      <c r="Q166" s="18">
        <f>O166/$D166</f>
        <v>0.94444444444444442</v>
      </c>
      <c r="R166" s="18">
        <f>P166/$D166</f>
        <v>0.3888888888888889</v>
      </c>
      <c r="S166" s="19">
        <f>P166/O166</f>
        <v>0.41176470588235292</v>
      </c>
      <c r="T166" s="15" t="s">
        <v>601</v>
      </c>
      <c r="U166" s="15" t="s">
        <v>202</v>
      </c>
      <c r="V166" s="18">
        <f>T166/$D166</f>
        <v>1.9074074074074074</v>
      </c>
      <c r="W166" s="18">
        <f>U166/$D166</f>
        <v>0.55555555555555558</v>
      </c>
      <c r="X166" s="19">
        <f>U166/T166</f>
        <v>0.29126213592233008</v>
      </c>
      <c r="Y166" s="15" t="s">
        <v>171</v>
      </c>
      <c r="Z166" s="15" t="s">
        <v>180</v>
      </c>
      <c r="AA166" s="18">
        <f>Y166/$D166</f>
        <v>0.57407407407407407</v>
      </c>
      <c r="AB166" s="18">
        <f>Z166/$D166</f>
        <v>0.33333333333333331</v>
      </c>
      <c r="AC166" s="19">
        <f>Z166/Y166</f>
        <v>0.58064516129032262</v>
      </c>
      <c r="AD166" s="15" t="s">
        <v>613</v>
      </c>
      <c r="AE166" s="18">
        <f>AD166/$D166</f>
        <v>1.4074074074074074</v>
      </c>
      <c r="AF166" s="15" t="s">
        <v>184</v>
      </c>
      <c r="AG166" s="18">
        <f>AF166/$D166</f>
        <v>7.407407407407407E-2</v>
      </c>
      <c r="AH166" s="15" t="s">
        <v>552</v>
      </c>
      <c r="AI166" s="18">
        <f>AH166/$D166</f>
        <v>1.3333333333333333</v>
      </c>
      <c r="AJ166" s="15" t="s">
        <v>620</v>
      </c>
      <c r="AK166" s="18">
        <f>AJ166/$D166</f>
        <v>1.3888888888888888</v>
      </c>
      <c r="AL166" s="15" t="s">
        <v>243</v>
      </c>
      <c r="AM166" s="18">
        <f>AL166/$D166</f>
        <v>0.46296296296296297</v>
      </c>
      <c r="AN166" s="15" t="s">
        <v>187</v>
      </c>
      <c r="AO166" s="18">
        <f>AN166/$D166</f>
        <v>0.12962962962962962</v>
      </c>
      <c r="AP166" s="15" t="s">
        <v>190</v>
      </c>
      <c r="AQ166" s="18">
        <f>AP166/$D166</f>
        <v>0.87037037037037035</v>
      </c>
      <c r="AR166" s="15" t="s">
        <v>554</v>
      </c>
      <c r="AS166" s="18">
        <f>AR166/$D166</f>
        <v>1.1296296296296295</v>
      </c>
      <c r="AT166" s="20">
        <v>-0.40866021947835052</v>
      </c>
      <c r="AU166" s="20">
        <v>-2.4412199490940891E-2</v>
      </c>
      <c r="AV166" s="20">
        <v>-0.74929786924963371</v>
      </c>
      <c r="AW166" s="20">
        <v>0.34063764977128319</v>
      </c>
      <c r="AX166" s="20">
        <v>86.195290874787972</v>
      </c>
      <c r="AY166" s="20">
        <v>110.11594045035298</v>
      </c>
      <c r="AZ166" s="20">
        <v>4.6605174089506329</v>
      </c>
      <c r="BA166" s="20">
        <v>3.1481481481481484</v>
      </c>
      <c r="BB166" s="20">
        <v>10.15531660692951</v>
      </c>
      <c r="BC166" s="21">
        <v>0.44738725841088051</v>
      </c>
      <c r="BD166" s="21">
        <v>0.42857142857142855</v>
      </c>
      <c r="BE166" s="20">
        <v>15.462800524686305</v>
      </c>
      <c r="BF166" s="21">
        <v>0.66883116883116878</v>
      </c>
      <c r="BG166" s="21">
        <v>0.20129870129870131</v>
      </c>
      <c r="BH166" s="20">
        <v>0.68561242329711014</v>
      </c>
      <c r="BI166" s="20">
        <v>12.341023619347983</v>
      </c>
      <c r="BJ166" s="20">
        <v>6.0849166126229992</v>
      </c>
      <c r="BK166" s="20">
        <v>17.092069279854147</v>
      </c>
      <c r="BL166" s="20">
        <v>2.1037663945211351</v>
      </c>
      <c r="BM166" s="20">
        <v>1.1597660586178904</v>
      </c>
      <c r="BN166" s="20">
        <v>21.897130078270592</v>
      </c>
      <c r="BO166" s="22" t="s">
        <v>263</v>
      </c>
      <c r="BP166" s="22">
        <v>90000</v>
      </c>
    </row>
    <row r="167" spans="1:68" x14ac:dyDescent="0.3">
      <c r="A167" s="16" t="s">
        <v>162</v>
      </c>
      <c r="B167" s="16" t="s">
        <v>257</v>
      </c>
      <c r="C167" s="4" t="s">
        <v>158</v>
      </c>
      <c r="D167" s="5" t="s">
        <v>177</v>
      </c>
      <c r="E167" s="5">
        <v>16</v>
      </c>
      <c r="F167" s="5">
        <v>41</v>
      </c>
      <c r="G167" s="14">
        <v>26033</v>
      </c>
      <c r="H167" s="5" t="s">
        <v>389</v>
      </c>
      <c r="I167" s="18">
        <f>H167/$D167</f>
        <v>4.7307692307692308</v>
      </c>
      <c r="J167" s="6" t="s">
        <v>566</v>
      </c>
      <c r="K167" s="6" t="s">
        <v>219</v>
      </c>
      <c r="L167" s="18">
        <f>J167/$D167</f>
        <v>3.2692307692307692</v>
      </c>
      <c r="M167" s="18">
        <f>K167/$D167</f>
        <v>1.6538461538461537</v>
      </c>
      <c r="N167" s="19">
        <f>K167/J167</f>
        <v>0.50588235294117645</v>
      </c>
      <c r="O167" s="14" t="s">
        <v>170</v>
      </c>
      <c r="P167" s="15" t="s">
        <v>183</v>
      </c>
      <c r="Q167" s="18">
        <f>O167/$D167</f>
        <v>1.0769230769230769</v>
      </c>
      <c r="R167" s="18">
        <f>P167/$D167</f>
        <v>0.61538461538461542</v>
      </c>
      <c r="S167" s="19">
        <f>P167/O167</f>
        <v>0.5714285714285714</v>
      </c>
      <c r="T167" s="15" t="s">
        <v>215</v>
      </c>
      <c r="U167" s="15" t="s">
        <v>182</v>
      </c>
      <c r="V167" s="18">
        <f>T167/$D167</f>
        <v>2.1923076923076925</v>
      </c>
      <c r="W167" s="18">
        <f>U167/$D167</f>
        <v>1.0384615384615385</v>
      </c>
      <c r="X167" s="19">
        <f>U167/T167</f>
        <v>0.47368421052631576</v>
      </c>
      <c r="Y167" s="15" t="s">
        <v>178</v>
      </c>
      <c r="Z167" s="15" t="s">
        <v>176</v>
      </c>
      <c r="AA167" s="18">
        <f>Y167/$D167</f>
        <v>0.53846153846153844</v>
      </c>
      <c r="AB167" s="18">
        <f>Z167/$D167</f>
        <v>0.38461538461538464</v>
      </c>
      <c r="AC167" s="19">
        <f>Z167/Y167</f>
        <v>0.7142857142857143</v>
      </c>
      <c r="AD167" s="15" t="s">
        <v>177</v>
      </c>
      <c r="AE167" s="18">
        <f>AD167/$D167</f>
        <v>1</v>
      </c>
      <c r="AF167" s="15" t="s">
        <v>189</v>
      </c>
      <c r="AG167" s="18">
        <f>AF167/$D167</f>
        <v>0.30769230769230771</v>
      </c>
      <c r="AH167" s="15" t="s">
        <v>180</v>
      </c>
      <c r="AI167" s="18">
        <f>AH167/$D167</f>
        <v>0.69230769230769229</v>
      </c>
      <c r="AJ167" s="15" t="s">
        <v>172</v>
      </c>
      <c r="AK167" s="18">
        <f>AJ167/$D167</f>
        <v>1.1153846153846154</v>
      </c>
      <c r="AL167" s="15" t="s">
        <v>176</v>
      </c>
      <c r="AM167" s="18">
        <f>AL167/$D167</f>
        <v>0.38461538461538464</v>
      </c>
      <c r="AN167" s="15" t="s">
        <v>192</v>
      </c>
      <c r="AO167" s="18">
        <f>AN167/$D167</f>
        <v>0</v>
      </c>
      <c r="AP167" s="15" t="s">
        <v>178</v>
      </c>
      <c r="AQ167" s="18">
        <f>AP167/$D167</f>
        <v>0.53846153846153844</v>
      </c>
      <c r="AR167" s="15" t="s">
        <v>213</v>
      </c>
      <c r="AS167" s="18">
        <f>AR167/$D167</f>
        <v>1.3076923076923077</v>
      </c>
      <c r="AT167" s="20">
        <v>0.80401953719692121</v>
      </c>
      <c r="AU167" s="20">
        <v>7.4143045003942629E-2</v>
      </c>
      <c r="AV167" s="20">
        <v>0.86952986648716224</v>
      </c>
      <c r="AW167" s="20">
        <v>-6.5510329290241032E-2</v>
      </c>
      <c r="AX167" s="20">
        <v>124.48483599770199</v>
      </c>
      <c r="AY167" s="20">
        <v>115.23871501889948</v>
      </c>
      <c r="AZ167" s="20">
        <v>4.1253174417843876</v>
      </c>
      <c r="BA167" s="20">
        <v>4.9230769230769234</v>
      </c>
      <c r="BB167" s="20">
        <v>11.803581034350266</v>
      </c>
      <c r="BC167" s="21">
        <v>0.67463799912242217</v>
      </c>
      <c r="BD167" s="21">
        <v>0.66470588235294115</v>
      </c>
      <c r="BE167" s="20">
        <v>5.6307588645186017</v>
      </c>
      <c r="BF167" s="21">
        <v>0.6705882352941176</v>
      </c>
      <c r="BG167" s="21">
        <v>0.16470588235294117</v>
      </c>
      <c r="BH167" s="20">
        <v>1.0191721137523475</v>
      </c>
      <c r="BI167" s="20">
        <v>2.2931372559427818</v>
      </c>
      <c r="BJ167" s="20">
        <v>1.5472241831139821</v>
      </c>
      <c r="BK167" s="20">
        <v>4.7078558963189439</v>
      </c>
      <c r="BL167" s="20">
        <v>1.2990228028322619</v>
      </c>
      <c r="BM167" s="20">
        <v>0</v>
      </c>
      <c r="BN167" s="20">
        <v>13.313046785850133</v>
      </c>
      <c r="BO167" s="22" t="s">
        <v>263</v>
      </c>
      <c r="BP167" s="22">
        <v>50000</v>
      </c>
    </row>
    <row r="168" spans="1:68" x14ac:dyDescent="0.3">
      <c r="A168" s="16" t="s">
        <v>162</v>
      </c>
      <c r="B168" s="16" t="s">
        <v>257</v>
      </c>
      <c r="C168" s="4" t="s">
        <v>214</v>
      </c>
      <c r="D168" s="5" t="s">
        <v>219</v>
      </c>
      <c r="E168" s="5">
        <v>7</v>
      </c>
      <c r="F168" s="5">
        <v>39</v>
      </c>
      <c r="G168" s="14">
        <v>19722</v>
      </c>
      <c r="H168" s="5" t="s">
        <v>394</v>
      </c>
      <c r="I168" s="18">
        <f>H168/$D168</f>
        <v>2.2790697674418605</v>
      </c>
      <c r="J168" s="6" t="s">
        <v>569</v>
      </c>
      <c r="K168" s="6" t="s">
        <v>206</v>
      </c>
      <c r="L168" s="18">
        <f>J168/$D168</f>
        <v>2.1627906976744184</v>
      </c>
      <c r="M168" s="18">
        <f>K168/$D168</f>
        <v>0.88372093023255816</v>
      </c>
      <c r="N168" s="19">
        <f>K168/J168</f>
        <v>0.40860215053763443</v>
      </c>
      <c r="O168" s="14" t="s">
        <v>212</v>
      </c>
      <c r="P168" s="15" t="s">
        <v>172</v>
      </c>
      <c r="Q168" s="18">
        <f>O168/$D168</f>
        <v>1.3720930232558139</v>
      </c>
      <c r="R168" s="18">
        <f>P168/$D168</f>
        <v>0.67441860465116277</v>
      </c>
      <c r="S168" s="19">
        <f>P168/O168</f>
        <v>0.49152542372881358</v>
      </c>
      <c r="T168" s="15" t="s">
        <v>213</v>
      </c>
      <c r="U168" s="15" t="s">
        <v>203</v>
      </c>
      <c r="V168" s="18">
        <f>T168/$D168</f>
        <v>0.79069767441860461</v>
      </c>
      <c r="W168" s="18">
        <f>U168/$D168</f>
        <v>0.20930232558139536</v>
      </c>
      <c r="X168" s="19">
        <f>U168/T168</f>
        <v>0.26470588235294118</v>
      </c>
      <c r="Y168" s="15" t="s">
        <v>191</v>
      </c>
      <c r="Z168" s="15" t="s">
        <v>207</v>
      </c>
      <c r="AA168" s="18">
        <f>Y168/$D168</f>
        <v>0.44186046511627908</v>
      </c>
      <c r="AB168" s="18">
        <f>Z168/$D168</f>
        <v>0.30232558139534882</v>
      </c>
      <c r="AC168" s="19">
        <f>Z168/Y168</f>
        <v>0.68421052631578949</v>
      </c>
      <c r="AD168" s="15" t="s">
        <v>172</v>
      </c>
      <c r="AE168" s="18">
        <f>AD168/$D168</f>
        <v>0.67441860465116277</v>
      </c>
      <c r="AF168" s="15" t="s">
        <v>189</v>
      </c>
      <c r="AG168" s="18">
        <f>AF168/$D168</f>
        <v>0.18604651162790697</v>
      </c>
      <c r="AH168" s="15" t="s">
        <v>175</v>
      </c>
      <c r="AI168" s="18">
        <f>AH168/$D168</f>
        <v>0.48837209302325579</v>
      </c>
      <c r="AJ168" s="15" t="s">
        <v>171</v>
      </c>
      <c r="AK168" s="18">
        <f>AJ168/$D168</f>
        <v>0.72093023255813948</v>
      </c>
      <c r="AL168" s="15" t="s">
        <v>211</v>
      </c>
      <c r="AM168" s="18">
        <f>AL168/$D168</f>
        <v>0.2558139534883721</v>
      </c>
      <c r="AN168" s="15" t="s">
        <v>193</v>
      </c>
      <c r="AO168" s="18">
        <f>AN168/$D168</f>
        <v>6.9767441860465115E-2</v>
      </c>
      <c r="AP168" s="15" t="s">
        <v>174</v>
      </c>
      <c r="AQ168" s="18">
        <f>AP168/$D168</f>
        <v>0.55813953488372092</v>
      </c>
      <c r="AR168" s="15" t="s">
        <v>245</v>
      </c>
      <c r="AS168" s="18">
        <f>AR168/$D168</f>
        <v>0.81395348837209303</v>
      </c>
      <c r="AT168" s="20">
        <v>-0.15394622842408462</v>
      </c>
      <c r="AU168" s="20">
        <v>-1.8719711618675743E-2</v>
      </c>
      <c r="AV168" s="20">
        <v>-0.22286549542877596</v>
      </c>
      <c r="AW168" s="20">
        <v>6.8919267004691323E-2</v>
      </c>
      <c r="AX168" s="20">
        <v>91.467430939630319</v>
      </c>
      <c r="AY168" s="20">
        <v>112.43920386259363</v>
      </c>
      <c r="AZ168" s="20">
        <v>4.3785837656103661</v>
      </c>
      <c r="BA168" s="20">
        <v>2.0232558139534884</v>
      </c>
      <c r="BB168" s="20">
        <v>10.579115367077064</v>
      </c>
      <c r="BC168" s="21">
        <v>0.48342541436464087</v>
      </c>
      <c r="BD168" s="21">
        <v>0.45698924731182794</v>
      </c>
      <c r="BE168" s="20">
        <v>14.638505060186487</v>
      </c>
      <c r="BF168" s="21">
        <v>0.36559139784946237</v>
      </c>
      <c r="BG168" s="21">
        <v>0.20430107526881722</v>
      </c>
      <c r="BH168" s="20">
        <v>2.2226389670285398</v>
      </c>
      <c r="BI168" s="20">
        <v>5.834427288449918</v>
      </c>
      <c r="BJ168" s="20">
        <v>3.7635638353959933</v>
      </c>
      <c r="BK168" s="20">
        <v>11.73464559477619</v>
      </c>
      <c r="BL168" s="20">
        <v>1.8842379395634445</v>
      </c>
      <c r="BM168" s="20">
        <v>0.80566381663091535</v>
      </c>
      <c r="BN168" s="20">
        <v>19.144862795149969</v>
      </c>
      <c r="BO168" s="22" t="s">
        <v>263</v>
      </c>
      <c r="BP168" s="22">
        <v>140000</v>
      </c>
    </row>
    <row r="169" spans="1:68" x14ac:dyDescent="0.3">
      <c r="A169" s="16" t="s">
        <v>162</v>
      </c>
      <c r="B169" s="16" t="s">
        <v>257</v>
      </c>
      <c r="C169" s="4" t="s">
        <v>395</v>
      </c>
      <c r="D169" s="5" t="s">
        <v>177</v>
      </c>
      <c r="E169" s="5">
        <v>13</v>
      </c>
      <c r="F169" s="5">
        <v>47</v>
      </c>
      <c r="G169" s="14">
        <v>21510</v>
      </c>
      <c r="H169" s="5" t="s">
        <v>396</v>
      </c>
      <c r="I169" s="18">
        <f>H169/$D169</f>
        <v>3.7307692307692308</v>
      </c>
      <c r="J169" s="6" t="s">
        <v>518</v>
      </c>
      <c r="K169" s="6" t="s">
        <v>235</v>
      </c>
      <c r="L169" s="18">
        <f>J169/$D169</f>
        <v>4.0384615384615383</v>
      </c>
      <c r="M169" s="18">
        <f>K169/$D169</f>
        <v>1.4230769230769231</v>
      </c>
      <c r="N169" s="19">
        <f>K169/J169</f>
        <v>0.35238095238095241</v>
      </c>
      <c r="O169" s="14" t="s">
        <v>218</v>
      </c>
      <c r="P169" s="15" t="s">
        <v>175</v>
      </c>
      <c r="Q169" s="18">
        <f>O169/$D169</f>
        <v>1.8461538461538463</v>
      </c>
      <c r="R169" s="18">
        <f>P169/$D169</f>
        <v>0.80769230769230771</v>
      </c>
      <c r="S169" s="19">
        <f>P169/O169</f>
        <v>0.4375</v>
      </c>
      <c r="T169" s="15" t="s">
        <v>215</v>
      </c>
      <c r="U169" s="15" t="s">
        <v>183</v>
      </c>
      <c r="V169" s="18">
        <f>T169/$D169</f>
        <v>2.1923076923076925</v>
      </c>
      <c r="W169" s="18">
        <f>U169/$D169</f>
        <v>0.61538461538461542</v>
      </c>
      <c r="X169" s="19">
        <f>U169/T169</f>
        <v>0.2807017543859649</v>
      </c>
      <c r="Y169" s="15" t="s">
        <v>189</v>
      </c>
      <c r="Z169" s="15" t="s">
        <v>187</v>
      </c>
      <c r="AA169" s="18">
        <f>Y169/$D169</f>
        <v>0.30769230769230771</v>
      </c>
      <c r="AB169" s="18">
        <f>Z169/$D169</f>
        <v>0.26923076923076922</v>
      </c>
      <c r="AC169" s="19">
        <f>Z169/Y169</f>
        <v>0.875</v>
      </c>
      <c r="AD169" s="15" t="s">
        <v>553</v>
      </c>
      <c r="AE169" s="18">
        <f>AD169/$D169</f>
        <v>2.3076923076923075</v>
      </c>
      <c r="AF169" s="15" t="s">
        <v>181</v>
      </c>
      <c r="AG169" s="18">
        <f>AF169/$D169</f>
        <v>0.57692307692307687</v>
      </c>
      <c r="AH169" s="15" t="s">
        <v>247</v>
      </c>
      <c r="AI169" s="18">
        <f>AH169/$D169</f>
        <v>1.7307692307692308</v>
      </c>
      <c r="AJ169" s="15" t="s">
        <v>207</v>
      </c>
      <c r="AK169" s="18">
        <f>AJ169/$D169</f>
        <v>0.5</v>
      </c>
      <c r="AL169" s="15" t="s">
        <v>203</v>
      </c>
      <c r="AM169" s="18">
        <f>AL169/$D169</f>
        <v>0.34615384615384615</v>
      </c>
      <c r="AN169" s="15" t="s">
        <v>193</v>
      </c>
      <c r="AO169" s="18">
        <f>AN169/$D169</f>
        <v>0.11538461538461539</v>
      </c>
      <c r="AP169" s="15" t="s">
        <v>207</v>
      </c>
      <c r="AQ169" s="18">
        <f>AP169/$D169</f>
        <v>0.5</v>
      </c>
      <c r="AR169" s="15" t="s">
        <v>301</v>
      </c>
      <c r="AS169" s="18">
        <f>AR169/$D169</f>
        <v>1.5384615384615385</v>
      </c>
      <c r="AT169" s="20">
        <v>-4.2250871082099128E-2</v>
      </c>
      <c r="AU169" s="20">
        <v>-4.7159376149678127E-3</v>
      </c>
      <c r="AV169" s="20">
        <v>-0.18753362794425585</v>
      </c>
      <c r="AW169" s="20">
        <v>0.14528275686215672</v>
      </c>
      <c r="AX169" s="20">
        <v>91.952361448725</v>
      </c>
      <c r="AY169" s="20">
        <v>110.91816340646987</v>
      </c>
      <c r="AZ169" s="20">
        <v>2.4727528145560269</v>
      </c>
      <c r="BA169" s="20">
        <v>3.8461538461538463</v>
      </c>
      <c r="BB169" s="20">
        <v>11.161752395126035</v>
      </c>
      <c r="BC169" s="21">
        <v>0.44692222631772949</v>
      </c>
      <c r="BD169" s="21">
        <v>0.42857142857142855</v>
      </c>
      <c r="BE169" s="20">
        <v>7.8757637585419067</v>
      </c>
      <c r="BF169" s="21">
        <v>0.54285714285714282</v>
      </c>
      <c r="BG169" s="21">
        <v>7.6190476190476197E-2</v>
      </c>
      <c r="BH169" s="20">
        <v>2.3130092636021007</v>
      </c>
      <c r="BI169" s="20">
        <v>6.9390277908063025</v>
      </c>
      <c r="BJ169" s="20">
        <v>4.3217507412252703</v>
      </c>
      <c r="BK169" s="20">
        <v>2.5618708225904454</v>
      </c>
      <c r="BL169" s="20">
        <v>1.4151023495424244</v>
      </c>
      <c r="BM169" s="20">
        <v>0.4471580312377148</v>
      </c>
      <c r="BN169" s="20">
        <v>10.697827518104017</v>
      </c>
      <c r="BO169" s="22" t="s">
        <v>263</v>
      </c>
      <c r="BP169" s="22">
        <v>41000</v>
      </c>
    </row>
    <row r="170" spans="1:68" x14ac:dyDescent="0.3">
      <c r="A170" s="16" t="s">
        <v>162</v>
      </c>
      <c r="B170" s="16" t="s">
        <v>257</v>
      </c>
      <c r="C170" s="4" t="s">
        <v>113</v>
      </c>
      <c r="D170" s="5" t="s">
        <v>235</v>
      </c>
      <c r="E170" s="5">
        <v>11</v>
      </c>
      <c r="F170" s="5">
        <v>12</v>
      </c>
      <c r="G170" s="14">
        <v>24862</v>
      </c>
      <c r="H170" s="5" t="s">
        <v>400</v>
      </c>
      <c r="I170" s="18">
        <f>H170/$D170</f>
        <v>2.2702702702702702</v>
      </c>
      <c r="J170" s="6" t="s">
        <v>571</v>
      </c>
      <c r="K170" s="6" t="s">
        <v>171</v>
      </c>
      <c r="L170" s="18">
        <f>J170/$D170</f>
        <v>2.0810810810810811</v>
      </c>
      <c r="M170" s="18">
        <f>K170/$D170</f>
        <v>0.83783783783783783</v>
      </c>
      <c r="N170" s="19">
        <f>K170/J170</f>
        <v>0.40259740259740262</v>
      </c>
      <c r="O170" s="14" t="s">
        <v>200</v>
      </c>
      <c r="P170" s="15" t="s">
        <v>185</v>
      </c>
      <c r="Q170" s="18">
        <f>O170/$D170</f>
        <v>0.6216216216216216</v>
      </c>
      <c r="R170" s="18">
        <f>P170/$D170</f>
        <v>0.32432432432432434</v>
      </c>
      <c r="S170" s="19">
        <f>P170/O170</f>
        <v>0.52173913043478259</v>
      </c>
      <c r="T170" s="15" t="s">
        <v>201</v>
      </c>
      <c r="U170" s="15" t="s">
        <v>191</v>
      </c>
      <c r="V170" s="18">
        <f>T170/$D170</f>
        <v>1.4594594594594594</v>
      </c>
      <c r="W170" s="18">
        <f>U170/$D170</f>
        <v>0.51351351351351349</v>
      </c>
      <c r="X170" s="19">
        <f>U170/T170</f>
        <v>0.35185185185185186</v>
      </c>
      <c r="Y170" s="15" t="s">
        <v>229</v>
      </c>
      <c r="Z170" s="15" t="s">
        <v>193</v>
      </c>
      <c r="AA170" s="18">
        <f>Y170/$D170</f>
        <v>0.13513513513513514</v>
      </c>
      <c r="AB170" s="18">
        <f>Z170/$D170</f>
        <v>8.1081081081081086E-2</v>
      </c>
      <c r="AC170" s="19">
        <f>Z170/Y170</f>
        <v>0.6</v>
      </c>
      <c r="AD170" s="15" t="s">
        <v>217</v>
      </c>
      <c r="AE170" s="18">
        <f>AD170/$D170</f>
        <v>1.5675675675675675</v>
      </c>
      <c r="AF170" s="15" t="s">
        <v>180</v>
      </c>
      <c r="AG170" s="18">
        <f>AF170/$D170</f>
        <v>0.48648648648648651</v>
      </c>
      <c r="AH170" s="15" t="s">
        <v>301</v>
      </c>
      <c r="AI170" s="18">
        <f>AH170/$D170</f>
        <v>1.0810810810810811</v>
      </c>
      <c r="AJ170" s="15" t="s">
        <v>173</v>
      </c>
      <c r="AK170" s="18">
        <f>AJ170/$D170</f>
        <v>0.45945945945945948</v>
      </c>
      <c r="AL170" s="15" t="s">
        <v>203</v>
      </c>
      <c r="AM170" s="18">
        <f>AL170/$D170</f>
        <v>0.24324324324324326</v>
      </c>
      <c r="AN170" s="15" t="s">
        <v>187</v>
      </c>
      <c r="AO170" s="18">
        <f>AN170/$D170</f>
        <v>0.1891891891891892</v>
      </c>
      <c r="AP170" s="15" t="s">
        <v>181</v>
      </c>
      <c r="AQ170" s="18">
        <f>AP170/$D170</f>
        <v>0.40540540540540543</v>
      </c>
      <c r="AR170" s="15" t="s">
        <v>224</v>
      </c>
      <c r="AS170" s="18">
        <f>AR170/$D170</f>
        <v>1.4864864864864864</v>
      </c>
      <c r="AT170" s="20">
        <v>0.25655345135699426</v>
      </c>
      <c r="AU170" s="20">
        <v>2.4763846656080529E-2</v>
      </c>
      <c r="AV170" s="20">
        <v>0.14671501530986192</v>
      </c>
      <c r="AW170" s="20">
        <v>0.10983843604713231</v>
      </c>
      <c r="AX170" s="20">
        <v>102.16310518161052</v>
      </c>
      <c r="AY170" s="20">
        <v>112.00793817913203</v>
      </c>
      <c r="AZ170" s="20">
        <v>3.2155707209038988</v>
      </c>
      <c r="BA170" s="20">
        <v>3.0270270270270272</v>
      </c>
      <c r="BB170" s="20">
        <v>10.810810810810811</v>
      </c>
      <c r="BC170" s="21">
        <v>0.53030303030303028</v>
      </c>
      <c r="BD170" s="21">
        <v>0.52597402597402598</v>
      </c>
      <c r="BE170" s="20">
        <v>7.5133229880246244</v>
      </c>
      <c r="BF170" s="21">
        <v>0.70129870129870131</v>
      </c>
      <c r="BG170" s="21">
        <v>6.4935064935064929E-2</v>
      </c>
      <c r="BH170" s="20">
        <v>3.4158190374981023</v>
      </c>
      <c r="BI170" s="20">
        <v>7.590708972218005</v>
      </c>
      <c r="BJ170" s="20">
        <v>5.1412970251391696</v>
      </c>
      <c r="BK170" s="20">
        <v>4.1322314049586772</v>
      </c>
      <c r="BL170" s="20">
        <v>1.2237584748978931</v>
      </c>
      <c r="BM170" s="20">
        <v>1.2840267077555214</v>
      </c>
      <c r="BN170" s="20">
        <v>15.923566878980891</v>
      </c>
      <c r="BO170" s="22" t="s">
        <v>263</v>
      </c>
      <c r="BP170" s="22">
        <v>45000</v>
      </c>
    </row>
    <row r="171" spans="1:68" x14ac:dyDescent="0.3">
      <c r="A171" s="16" t="s">
        <v>162</v>
      </c>
      <c r="B171" s="16" t="s">
        <v>257</v>
      </c>
      <c r="C171" s="4" t="s">
        <v>430</v>
      </c>
      <c r="D171" s="5" t="s">
        <v>207</v>
      </c>
      <c r="E171" s="7">
        <v>3</v>
      </c>
      <c r="F171" s="7">
        <v>0</v>
      </c>
      <c r="G171" s="14">
        <v>2345</v>
      </c>
      <c r="H171" s="5" t="s">
        <v>184</v>
      </c>
      <c r="I171" s="18">
        <f>H171/$D171</f>
        <v>0.30769230769230771</v>
      </c>
      <c r="J171" s="6" t="s">
        <v>189</v>
      </c>
      <c r="K171" s="6" t="s">
        <v>231</v>
      </c>
      <c r="L171" s="18">
        <f>J171/$D171</f>
        <v>0.61538461538461542</v>
      </c>
      <c r="M171" s="18">
        <f>K171/$D171</f>
        <v>7.6923076923076927E-2</v>
      </c>
      <c r="N171" s="19">
        <f>K171/J171</f>
        <v>0.125</v>
      </c>
      <c r="O171" s="14" t="s">
        <v>229</v>
      </c>
      <c r="P171" s="15" t="s">
        <v>192</v>
      </c>
      <c r="Q171" s="18">
        <f>O171/$D171</f>
        <v>0.38461538461538464</v>
      </c>
      <c r="R171" s="18">
        <f>P171/$D171</f>
        <v>0</v>
      </c>
      <c r="S171" s="19">
        <f>P171/O171</f>
        <v>0</v>
      </c>
      <c r="T171" s="15" t="s">
        <v>193</v>
      </c>
      <c r="U171" s="15" t="s">
        <v>231</v>
      </c>
      <c r="V171" s="18">
        <f>T171/$D171</f>
        <v>0.23076923076923078</v>
      </c>
      <c r="W171" s="18">
        <f>U171/$D171</f>
        <v>7.6923076923076927E-2</v>
      </c>
      <c r="X171" s="19">
        <f>U171/T171</f>
        <v>0.33333333333333331</v>
      </c>
      <c r="Y171" s="15" t="s">
        <v>194</v>
      </c>
      <c r="Z171" s="15" t="s">
        <v>231</v>
      </c>
      <c r="AA171" s="18">
        <f>Y171/$D171</f>
        <v>0.15384615384615385</v>
      </c>
      <c r="AB171" s="18">
        <f>Z171/$D171</f>
        <v>7.6923076923076927E-2</v>
      </c>
      <c r="AC171" s="19">
        <f>Z171/Y171</f>
        <v>0.5</v>
      </c>
      <c r="AD171" s="15" t="s">
        <v>193</v>
      </c>
      <c r="AE171" s="18">
        <f>AD171/$D171</f>
        <v>0.23076923076923078</v>
      </c>
      <c r="AF171" s="15" t="s">
        <v>231</v>
      </c>
      <c r="AG171" s="18">
        <f>AF171/$D171</f>
        <v>7.6923076923076927E-2</v>
      </c>
      <c r="AH171" s="15" t="s">
        <v>194</v>
      </c>
      <c r="AI171" s="18">
        <f>AH171/$D171</f>
        <v>0.15384615384615385</v>
      </c>
      <c r="AJ171" s="15" t="s">
        <v>184</v>
      </c>
      <c r="AK171" s="18">
        <f>AJ171/$D171</f>
        <v>0.30769230769230771</v>
      </c>
      <c r="AL171" s="15" t="s">
        <v>192</v>
      </c>
      <c r="AM171" s="18">
        <f>AL171/$D171</f>
        <v>0</v>
      </c>
      <c r="AN171" s="15" t="s">
        <v>192</v>
      </c>
      <c r="AO171" s="18">
        <f>AN171/$D171</f>
        <v>0</v>
      </c>
      <c r="AP171" s="15" t="s">
        <v>187</v>
      </c>
      <c r="AQ171" s="18">
        <f>AP171/$D171</f>
        <v>0.53846153846153844</v>
      </c>
      <c r="AR171" s="15" t="s">
        <v>184</v>
      </c>
      <c r="AS171" s="18">
        <f>AR171/$D171</f>
        <v>0.30769230769230771</v>
      </c>
      <c r="AT171" s="20">
        <v>-0.30617442611355911</v>
      </c>
      <c r="AU171" s="20">
        <v>-0.31402505242416323</v>
      </c>
      <c r="AV171" s="20">
        <v>-0.28847237526177533</v>
      </c>
      <c r="AW171" s="20">
        <v>-1.7702050851783783E-2</v>
      </c>
      <c r="AX171" s="20">
        <v>42.404047730197654</v>
      </c>
      <c r="AY171" s="20">
        <v>117.59045083291939</v>
      </c>
      <c r="AZ171" s="20">
        <v>-2.323740656367125</v>
      </c>
      <c r="BA171" s="20">
        <v>-0.30769230769230771</v>
      </c>
      <c r="BB171" s="20">
        <v>-4.1025641025641022</v>
      </c>
      <c r="BC171" s="21">
        <v>0.2252252252252252</v>
      </c>
      <c r="BD171" s="21">
        <v>0.1875</v>
      </c>
      <c r="BE171" s="20">
        <v>4.7285547535672592</v>
      </c>
      <c r="BF171" s="21">
        <v>0.375</v>
      </c>
      <c r="BG171" s="21">
        <v>0.25</v>
      </c>
      <c r="BH171" s="20">
        <v>0.70846617074034712</v>
      </c>
      <c r="BI171" s="20">
        <v>1.4169323414806942</v>
      </c>
      <c r="BJ171" s="20">
        <v>0.99280218416480515</v>
      </c>
      <c r="BK171" s="20">
        <v>3.4042553191489362</v>
      </c>
      <c r="BL171" s="20">
        <v>0</v>
      </c>
      <c r="BM171" s="20">
        <v>0</v>
      </c>
      <c r="BN171" s="20">
        <v>44.080604534005033</v>
      </c>
      <c r="BO171" s="22" t="s">
        <v>263</v>
      </c>
      <c r="BP171" s="22">
        <v>45000</v>
      </c>
    </row>
    <row r="172" spans="1:68" x14ac:dyDescent="0.3">
      <c r="A172" s="16" t="s">
        <v>162</v>
      </c>
      <c r="B172" s="16" t="s">
        <v>257</v>
      </c>
      <c r="C172" s="4" t="s">
        <v>431</v>
      </c>
      <c r="D172" s="5" t="s">
        <v>193</v>
      </c>
      <c r="E172" s="7">
        <v>4</v>
      </c>
      <c r="F172" s="7">
        <v>52</v>
      </c>
      <c r="G172" s="14">
        <v>877</v>
      </c>
      <c r="H172" s="5" t="s">
        <v>193</v>
      </c>
      <c r="I172" s="18">
        <f>H172/$D172</f>
        <v>1</v>
      </c>
      <c r="J172" s="6" t="s">
        <v>193</v>
      </c>
      <c r="K172" s="6" t="s">
        <v>231</v>
      </c>
      <c r="L172" s="18">
        <f>J172/$D172</f>
        <v>1</v>
      </c>
      <c r="M172" s="18">
        <f>K172/$D172</f>
        <v>0.33333333333333331</v>
      </c>
      <c r="N172" s="19">
        <f>K172/J172</f>
        <v>0.33333333333333331</v>
      </c>
      <c r="O172" s="14" t="s">
        <v>192</v>
      </c>
      <c r="P172" s="15" t="s">
        <v>192</v>
      </c>
      <c r="Q172" s="18">
        <f>O172/$D172</f>
        <v>0</v>
      </c>
      <c r="R172" s="18">
        <f>P172/$D172</f>
        <v>0</v>
      </c>
      <c r="S172" s="19" t="e">
        <f>P172/O172</f>
        <v>#DIV/0!</v>
      </c>
      <c r="T172" s="15" t="s">
        <v>193</v>
      </c>
      <c r="U172" s="15" t="s">
        <v>231</v>
      </c>
      <c r="V172" s="18">
        <f>T172/$D172</f>
        <v>1</v>
      </c>
      <c r="W172" s="18">
        <f>U172/$D172</f>
        <v>0.33333333333333331</v>
      </c>
      <c r="X172" s="19">
        <f>U172/T172</f>
        <v>0.33333333333333331</v>
      </c>
      <c r="Y172" s="15" t="s">
        <v>192</v>
      </c>
      <c r="Z172" s="15" t="s">
        <v>192</v>
      </c>
      <c r="AA172" s="18">
        <f>Y172/$D172</f>
        <v>0</v>
      </c>
      <c r="AB172" s="18">
        <f>Z172/$D172</f>
        <v>0</v>
      </c>
      <c r="AC172" s="19" t="e">
        <f>Z172/Y172</f>
        <v>#DIV/0!</v>
      </c>
      <c r="AD172" s="15" t="s">
        <v>192</v>
      </c>
      <c r="AE172" s="18">
        <f>AD172/$D172</f>
        <v>0</v>
      </c>
      <c r="AF172" s="15" t="s">
        <v>192</v>
      </c>
      <c r="AG172" s="18">
        <f>AF172/$D172</f>
        <v>0</v>
      </c>
      <c r="AH172" s="15" t="s">
        <v>192</v>
      </c>
      <c r="AI172" s="18">
        <f>AH172/$D172</f>
        <v>0</v>
      </c>
      <c r="AJ172" s="15" t="s">
        <v>192</v>
      </c>
      <c r="AK172" s="18">
        <f>AJ172/$D172</f>
        <v>0</v>
      </c>
      <c r="AL172" s="15" t="s">
        <v>192</v>
      </c>
      <c r="AM172" s="18">
        <f>AL172/$D172</f>
        <v>0</v>
      </c>
      <c r="AN172" s="15" t="s">
        <v>192</v>
      </c>
      <c r="AO172" s="18">
        <f>AN172/$D172</f>
        <v>0</v>
      </c>
      <c r="AP172" s="15" t="s">
        <v>192</v>
      </c>
      <c r="AQ172" s="18">
        <f>AP172/$D172</f>
        <v>0</v>
      </c>
      <c r="AR172" s="15" t="s">
        <v>193</v>
      </c>
      <c r="AS172" s="18">
        <f>AR172/$D172</f>
        <v>1</v>
      </c>
      <c r="AT172" s="20">
        <v>-5.014959645060736E-3</v>
      </c>
      <c r="AU172" s="20">
        <v>-1.3739615465919825E-2</v>
      </c>
      <c r="AV172" s="20">
        <v>5.0150116257860538E-3</v>
      </c>
      <c r="AW172" s="20">
        <v>-1.002997127084679E-2</v>
      </c>
      <c r="AX172" s="20">
        <v>103.58226027831938</v>
      </c>
      <c r="AY172" s="20">
        <v>119.40030974254867</v>
      </c>
      <c r="AZ172" s="20">
        <v>-9.9372315455160135E-2</v>
      </c>
      <c r="BA172" s="20">
        <v>0.33333333333333331</v>
      </c>
      <c r="BB172" s="20">
        <v>2.7397260273972601</v>
      </c>
      <c r="BC172" s="21">
        <v>0.5</v>
      </c>
      <c r="BD172" s="21">
        <v>0.5</v>
      </c>
      <c r="BE172" s="20">
        <v>0.55066672279388218</v>
      </c>
      <c r="BF172" s="21">
        <v>1</v>
      </c>
      <c r="BG172" s="21">
        <v>0</v>
      </c>
      <c r="BH172" s="20">
        <v>0</v>
      </c>
      <c r="BI172" s="20">
        <v>0</v>
      </c>
      <c r="BJ172" s="20">
        <v>0</v>
      </c>
      <c r="BK172" s="20">
        <v>0</v>
      </c>
      <c r="BL172" s="20">
        <v>0</v>
      </c>
      <c r="BM172" s="20">
        <v>0</v>
      </c>
      <c r="BN172" s="20">
        <v>0</v>
      </c>
      <c r="BO172" s="22" t="s">
        <v>263</v>
      </c>
      <c r="BP172" s="22"/>
    </row>
    <row r="173" spans="1:68" x14ac:dyDescent="0.3">
      <c r="A173" s="16" t="s">
        <v>162</v>
      </c>
      <c r="B173" s="16" t="s">
        <v>257</v>
      </c>
      <c r="C173" s="4" t="s">
        <v>216</v>
      </c>
      <c r="D173" s="5" t="s">
        <v>194</v>
      </c>
      <c r="E173" s="7">
        <v>2</v>
      </c>
      <c r="F173" s="7">
        <v>7</v>
      </c>
      <c r="G173" s="14">
        <v>253</v>
      </c>
      <c r="H173" s="5" t="s">
        <v>192</v>
      </c>
      <c r="I173" s="18">
        <f>H173/$D173</f>
        <v>0</v>
      </c>
      <c r="J173" s="6" t="s">
        <v>231</v>
      </c>
      <c r="K173" s="6" t="s">
        <v>192</v>
      </c>
      <c r="L173" s="18">
        <f>J173/$D173</f>
        <v>0.5</v>
      </c>
      <c r="M173" s="18">
        <f>K173/$D173</f>
        <v>0</v>
      </c>
      <c r="N173" s="19">
        <f>K173/J173</f>
        <v>0</v>
      </c>
      <c r="O173" s="14" t="s">
        <v>192</v>
      </c>
      <c r="P173" s="15" t="s">
        <v>192</v>
      </c>
      <c r="Q173" s="18">
        <f>O173/$D173</f>
        <v>0</v>
      </c>
      <c r="R173" s="18">
        <f>P173/$D173</f>
        <v>0</v>
      </c>
      <c r="S173" s="19" t="e">
        <f>P173/O173</f>
        <v>#DIV/0!</v>
      </c>
      <c r="T173" s="15" t="s">
        <v>231</v>
      </c>
      <c r="U173" s="15" t="s">
        <v>192</v>
      </c>
      <c r="V173" s="18">
        <f>T173/$D173</f>
        <v>0.5</v>
      </c>
      <c r="W173" s="18">
        <f>U173/$D173</f>
        <v>0</v>
      </c>
      <c r="X173" s="19">
        <f>U173/T173</f>
        <v>0</v>
      </c>
      <c r="Y173" s="15" t="s">
        <v>192</v>
      </c>
      <c r="Z173" s="15" t="s">
        <v>192</v>
      </c>
      <c r="AA173" s="18">
        <f>Y173/$D173</f>
        <v>0</v>
      </c>
      <c r="AB173" s="18">
        <f>Z173/$D173</f>
        <v>0</v>
      </c>
      <c r="AC173" s="19" t="e">
        <f>Z173/Y173</f>
        <v>#DIV/0!</v>
      </c>
      <c r="AD173" s="15" t="s">
        <v>192</v>
      </c>
      <c r="AE173" s="18">
        <f>AD173/$D173</f>
        <v>0</v>
      </c>
      <c r="AF173" s="15" t="s">
        <v>192</v>
      </c>
      <c r="AG173" s="18">
        <f>AF173/$D173</f>
        <v>0</v>
      </c>
      <c r="AH173" s="15" t="s">
        <v>192</v>
      </c>
      <c r="AI173" s="18">
        <f>AH173/$D173</f>
        <v>0</v>
      </c>
      <c r="AJ173" s="15" t="s">
        <v>192</v>
      </c>
      <c r="AK173" s="18">
        <f>AJ173/$D173</f>
        <v>0</v>
      </c>
      <c r="AL173" s="15" t="s">
        <v>192</v>
      </c>
      <c r="AM173" s="18">
        <f>AL173/$D173</f>
        <v>0</v>
      </c>
      <c r="AN173" s="15" t="s">
        <v>192</v>
      </c>
      <c r="AO173" s="18">
        <f>AN173/$D173</f>
        <v>0</v>
      </c>
      <c r="AP173" s="15" t="s">
        <v>192</v>
      </c>
      <c r="AQ173" s="18">
        <f>AP173/$D173</f>
        <v>0</v>
      </c>
      <c r="AR173" s="15" t="s">
        <v>194</v>
      </c>
      <c r="AS173" s="18">
        <f>AR173/$D173</f>
        <v>1</v>
      </c>
      <c r="AT173" s="20">
        <v>-2.7315967905889305E-2</v>
      </c>
      <c r="AU173" s="20">
        <v>-0.25810363375643436</v>
      </c>
      <c r="AV173" s="20">
        <v>-2.486746780694982E-2</v>
      </c>
      <c r="AW173" s="20">
        <v>-2.4485000989394861E-3</v>
      </c>
      <c r="AX173" s="20">
        <v>0</v>
      </c>
      <c r="AY173" s="20">
        <v>118.55706615266307</v>
      </c>
      <c r="AZ173" s="20">
        <v>-0.77222814463319522</v>
      </c>
      <c r="BA173" s="20">
        <v>-0.5</v>
      </c>
      <c r="BB173" s="20">
        <v>-9.4488188976377945</v>
      </c>
      <c r="BC173" s="21">
        <v>0</v>
      </c>
      <c r="BD173" s="21">
        <v>0</v>
      </c>
      <c r="BE173" s="20">
        <v>0.4220332888604032</v>
      </c>
      <c r="BF173" s="21">
        <v>1</v>
      </c>
      <c r="BG173" s="21">
        <v>0</v>
      </c>
      <c r="BH173" s="20">
        <v>0</v>
      </c>
      <c r="BI173" s="20">
        <v>0</v>
      </c>
      <c r="BJ173" s="20">
        <v>0</v>
      </c>
      <c r="BK173" s="20">
        <v>0</v>
      </c>
      <c r="BL173" s="20">
        <v>0</v>
      </c>
      <c r="BM173" s="20">
        <v>0</v>
      </c>
      <c r="BN173" s="20">
        <v>0</v>
      </c>
      <c r="BO173" s="22" t="s">
        <v>263</v>
      </c>
      <c r="BP173" s="22"/>
    </row>
    <row r="174" spans="1:68" x14ac:dyDescent="0.3">
      <c r="A174" s="16" t="s">
        <v>162</v>
      </c>
      <c r="B174" s="16" t="s">
        <v>257</v>
      </c>
      <c r="C174" s="4" t="s">
        <v>118</v>
      </c>
      <c r="D174" s="5" t="s">
        <v>231</v>
      </c>
      <c r="E174" s="7">
        <v>1</v>
      </c>
      <c r="F174" s="7">
        <v>47</v>
      </c>
      <c r="G174" s="14">
        <v>107</v>
      </c>
      <c r="H174" s="5" t="s">
        <v>192</v>
      </c>
      <c r="I174" s="18">
        <f>H174/$D174</f>
        <v>0</v>
      </c>
      <c r="J174" s="6" t="s">
        <v>231</v>
      </c>
      <c r="K174" s="6" t="s">
        <v>192</v>
      </c>
      <c r="L174" s="18">
        <f>J174/$D174</f>
        <v>1</v>
      </c>
      <c r="M174" s="18">
        <f>K174/$D174</f>
        <v>0</v>
      </c>
      <c r="N174" s="19">
        <f>K174/J174</f>
        <v>0</v>
      </c>
      <c r="O174" s="14" t="s">
        <v>231</v>
      </c>
      <c r="P174" s="15" t="s">
        <v>192</v>
      </c>
      <c r="Q174" s="18">
        <f>O174/$D174</f>
        <v>1</v>
      </c>
      <c r="R174" s="18">
        <f>P174/$D174</f>
        <v>0</v>
      </c>
      <c r="S174" s="19">
        <f>P174/O174</f>
        <v>0</v>
      </c>
      <c r="T174" s="15" t="s">
        <v>192</v>
      </c>
      <c r="U174" s="15" t="s">
        <v>192</v>
      </c>
      <c r="V174" s="18">
        <f>T174/$D174</f>
        <v>0</v>
      </c>
      <c r="W174" s="18">
        <f>U174/$D174</f>
        <v>0</v>
      </c>
      <c r="X174" s="19" t="e">
        <f>U174/T174</f>
        <v>#DIV/0!</v>
      </c>
      <c r="Y174" s="15" t="s">
        <v>192</v>
      </c>
      <c r="Z174" s="15" t="s">
        <v>192</v>
      </c>
      <c r="AA174" s="18">
        <f>Y174/$D174</f>
        <v>0</v>
      </c>
      <c r="AB174" s="18">
        <f>Z174/$D174</f>
        <v>0</v>
      </c>
      <c r="AC174" s="19" t="e">
        <f>Z174/Y174</f>
        <v>#DIV/0!</v>
      </c>
      <c r="AD174" s="15" t="s">
        <v>192</v>
      </c>
      <c r="AE174" s="18">
        <f>AD174/$D174</f>
        <v>0</v>
      </c>
      <c r="AF174" s="15" t="s">
        <v>192</v>
      </c>
      <c r="AG174" s="18">
        <f>AF174/$D174</f>
        <v>0</v>
      </c>
      <c r="AH174" s="15" t="s">
        <v>192</v>
      </c>
      <c r="AI174" s="18">
        <f>AH174/$D174</f>
        <v>0</v>
      </c>
      <c r="AJ174" s="15" t="s">
        <v>192</v>
      </c>
      <c r="AK174" s="18">
        <f>AJ174/$D174</f>
        <v>0</v>
      </c>
      <c r="AL174" s="15" t="s">
        <v>192</v>
      </c>
      <c r="AM174" s="18">
        <f>AL174/$D174</f>
        <v>0</v>
      </c>
      <c r="AN174" s="15" t="s">
        <v>192</v>
      </c>
      <c r="AO174" s="18">
        <f>AN174/$D174</f>
        <v>0</v>
      </c>
      <c r="AP174" s="15" t="s">
        <v>192</v>
      </c>
      <c r="AQ174" s="18">
        <f>AP174/$D174</f>
        <v>0</v>
      </c>
      <c r="AR174" s="15" t="s">
        <v>192</v>
      </c>
      <c r="AS174" s="18">
        <f>AR174/$D174</f>
        <v>0</v>
      </c>
      <c r="AT174" s="20">
        <v>-2.6241654999072685E-2</v>
      </c>
      <c r="AU174" s="20">
        <v>-0.58859786913807888</v>
      </c>
      <c r="AV174" s="20">
        <v>-2.486746780694982E-2</v>
      </c>
      <c r="AW174" s="20">
        <v>-1.3741871921228654E-3</v>
      </c>
      <c r="AX174" s="20">
        <v>0</v>
      </c>
      <c r="AY174" s="20">
        <v>120.04935177840001</v>
      </c>
      <c r="AZ174" s="20">
        <v>-0.35148296345405872</v>
      </c>
      <c r="BA174" s="20">
        <v>-1</v>
      </c>
      <c r="BB174" s="20">
        <v>-22.429906542056074</v>
      </c>
      <c r="BC174" s="21">
        <v>0</v>
      </c>
      <c r="BD174" s="21">
        <v>0</v>
      </c>
      <c r="BE174" s="20">
        <v>0.50091801575019823</v>
      </c>
      <c r="BF174" s="21">
        <v>0</v>
      </c>
      <c r="BG174" s="21">
        <v>0</v>
      </c>
      <c r="BH174" s="20">
        <v>0</v>
      </c>
      <c r="BI174" s="20">
        <v>0</v>
      </c>
      <c r="BJ174" s="20">
        <v>0</v>
      </c>
      <c r="BK174" s="20">
        <v>0</v>
      </c>
      <c r="BL174" s="20">
        <v>0</v>
      </c>
      <c r="BM174" s="20">
        <v>0</v>
      </c>
      <c r="BN174" s="20">
        <v>0</v>
      </c>
      <c r="BO174" s="22" t="s">
        <v>263</v>
      </c>
      <c r="BP174" s="22"/>
    </row>
    <row r="175" spans="1:68" x14ac:dyDescent="0.3">
      <c r="A175" s="16" t="s">
        <v>162</v>
      </c>
      <c r="B175" s="16" t="s">
        <v>257</v>
      </c>
      <c r="C175" s="4" t="s">
        <v>119</v>
      </c>
      <c r="D175" s="5" t="s">
        <v>231</v>
      </c>
      <c r="E175" s="7">
        <v>0</v>
      </c>
      <c r="F175" s="7">
        <v>47</v>
      </c>
      <c r="G175" s="14">
        <v>47</v>
      </c>
      <c r="H175" s="5" t="s">
        <v>192</v>
      </c>
      <c r="I175" s="18">
        <f>H175/$D175</f>
        <v>0</v>
      </c>
      <c r="J175" s="6" t="s">
        <v>192</v>
      </c>
      <c r="K175" s="6" t="s">
        <v>192</v>
      </c>
      <c r="L175" s="18">
        <f>J175/$D175</f>
        <v>0</v>
      </c>
      <c r="M175" s="18">
        <f>K175/$D175</f>
        <v>0</v>
      </c>
      <c r="N175" s="19" t="e">
        <f>K175/J175</f>
        <v>#DIV/0!</v>
      </c>
      <c r="O175" s="14" t="s">
        <v>192</v>
      </c>
      <c r="P175" s="15" t="s">
        <v>192</v>
      </c>
      <c r="Q175" s="18">
        <f>O175/$D175</f>
        <v>0</v>
      </c>
      <c r="R175" s="18">
        <f>P175/$D175</f>
        <v>0</v>
      </c>
      <c r="S175" s="19" t="e">
        <f>P175/O175</f>
        <v>#DIV/0!</v>
      </c>
      <c r="T175" s="15" t="s">
        <v>192</v>
      </c>
      <c r="U175" s="15" t="s">
        <v>192</v>
      </c>
      <c r="V175" s="18">
        <f>T175/$D175</f>
        <v>0</v>
      </c>
      <c r="W175" s="18">
        <f>U175/$D175</f>
        <v>0</v>
      </c>
      <c r="X175" s="19" t="e">
        <f>U175/T175</f>
        <v>#DIV/0!</v>
      </c>
      <c r="Y175" s="15" t="s">
        <v>192</v>
      </c>
      <c r="Z175" s="15" t="s">
        <v>192</v>
      </c>
      <c r="AA175" s="18">
        <f>Y175/$D175</f>
        <v>0</v>
      </c>
      <c r="AB175" s="18">
        <f>Z175/$D175</f>
        <v>0</v>
      </c>
      <c r="AC175" s="19" t="e">
        <f>Z175/Y175</f>
        <v>#DIV/0!</v>
      </c>
      <c r="AD175" s="15" t="s">
        <v>192</v>
      </c>
      <c r="AE175" s="18">
        <f>AD175/$D175</f>
        <v>0</v>
      </c>
      <c r="AF175" s="15" t="s">
        <v>192</v>
      </c>
      <c r="AG175" s="18">
        <f>AF175/$D175</f>
        <v>0</v>
      </c>
      <c r="AH175" s="15" t="s">
        <v>192</v>
      </c>
      <c r="AI175" s="18">
        <f>AH175/$D175</f>
        <v>0</v>
      </c>
      <c r="AJ175" s="15" t="s">
        <v>192</v>
      </c>
      <c r="AK175" s="18">
        <f>AJ175/$D175</f>
        <v>0</v>
      </c>
      <c r="AL175" s="15" t="s">
        <v>192</v>
      </c>
      <c r="AM175" s="18">
        <f>AL175/$D175</f>
        <v>0</v>
      </c>
      <c r="AN175" s="15" t="s">
        <v>192</v>
      </c>
      <c r="AO175" s="18">
        <f>AN175/$D175</f>
        <v>0</v>
      </c>
      <c r="AP175" s="15" t="s">
        <v>192</v>
      </c>
      <c r="AQ175" s="18">
        <f>AP175/$D175</f>
        <v>0</v>
      </c>
      <c r="AR175" s="15" t="s">
        <v>194</v>
      </c>
      <c r="AS175" s="18">
        <f>AR175/$D175</f>
        <v>2</v>
      </c>
      <c r="AT175" s="20">
        <v>2.0997418862530744E-4</v>
      </c>
      <c r="AU175" s="20">
        <v>1.0722086227675273E-2</v>
      </c>
      <c r="AV175" s="20">
        <v>0</v>
      </c>
      <c r="AW175" s="20">
        <v>2.0997418862530744E-4</v>
      </c>
      <c r="AX175" s="20">
        <v>0</v>
      </c>
      <c r="AY175" s="20">
        <v>111.9846592478216</v>
      </c>
      <c r="AZ175" s="20">
        <v>-1.2455062703663375</v>
      </c>
      <c r="BA175" s="20">
        <v>0</v>
      </c>
      <c r="BB175" s="20">
        <v>0</v>
      </c>
      <c r="BC175" s="21"/>
      <c r="BD175" s="21"/>
      <c r="BE175" s="20">
        <v>0</v>
      </c>
      <c r="BF175" s="21"/>
      <c r="BG175" s="21"/>
      <c r="BH175" s="20">
        <v>0</v>
      </c>
      <c r="BI175" s="20">
        <v>0</v>
      </c>
      <c r="BJ175" s="20">
        <v>0</v>
      </c>
      <c r="BK175" s="20">
        <v>0</v>
      </c>
      <c r="BL175" s="20">
        <v>0</v>
      </c>
      <c r="BM175" s="20">
        <v>0</v>
      </c>
      <c r="BN175" s="20"/>
      <c r="BO175" s="22" t="s">
        <v>263</v>
      </c>
      <c r="BP175" s="22">
        <v>150000</v>
      </c>
    </row>
    <row r="176" spans="1:68" x14ac:dyDescent="0.3">
      <c r="A176" s="16" t="s">
        <v>162</v>
      </c>
      <c r="B176" s="16" t="s">
        <v>260</v>
      </c>
      <c r="C176" s="16" t="s">
        <v>132</v>
      </c>
      <c r="D176" s="15" t="s">
        <v>209</v>
      </c>
      <c r="E176" s="15">
        <v>29</v>
      </c>
      <c r="F176" s="15">
        <v>23</v>
      </c>
      <c r="G176" s="14">
        <v>91672</v>
      </c>
      <c r="H176" s="8" t="s">
        <v>285</v>
      </c>
      <c r="I176" s="18">
        <f>H176/$D176</f>
        <v>16.365384615384617</v>
      </c>
      <c r="J176" s="6" t="s">
        <v>463</v>
      </c>
      <c r="K176" s="6" t="s">
        <v>464</v>
      </c>
      <c r="L176" s="18">
        <f>J176/$D176</f>
        <v>12.942307692307692</v>
      </c>
      <c r="M176" s="18">
        <f>K176/$D176</f>
        <v>6.7884615384615383</v>
      </c>
      <c r="N176" s="19">
        <f>K176/J176</f>
        <v>0.52451708766716199</v>
      </c>
      <c r="O176" s="12" t="s">
        <v>587</v>
      </c>
      <c r="P176" s="5" t="s">
        <v>588</v>
      </c>
      <c r="Q176" s="18">
        <f>O176/$D176</f>
        <v>12.788461538461538</v>
      </c>
      <c r="R176" s="18">
        <f>P176/$D176</f>
        <v>6.7115384615384617</v>
      </c>
      <c r="S176" s="19">
        <f>P176/O176</f>
        <v>0.52481203007518795</v>
      </c>
      <c r="T176" s="12" t="s">
        <v>189</v>
      </c>
      <c r="U176" s="6" t="s">
        <v>184</v>
      </c>
      <c r="V176" s="18">
        <f>T176/$D176</f>
        <v>0.15384615384615385</v>
      </c>
      <c r="W176" s="18">
        <f>U176/$D176</f>
        <v>7.6923076923076927E-2</v>
      </c>
      <c r="X176" s="19">
        <f>U176/T176</f>
        <v>0.5</v>
      </c>
      <c r="Y176" s="5" t="s">
        <v>342</v>
      </c>
      <c r="Z176" s="5" t="s">
        <v>640</v>
      </c>
      <c r="AA176" s="18">
        <f>Y176/$D176</f>
        <v>4.865384615384615</v>
      </c>
      <c r="AB176" s="18">
        <f>Z176/$D176</f>
        <v>2.7115384615384617</v>
      </c>
      <c r="AC176" s="19">
        <f>Z176/Y176</f>
        <v>0.55731225296442688</v>
      </c>
      <c r="AD176" s="15" t="s">
        <v>291</v>
      </c>
      <c r="AE176" s="18">
        <f>AD176/$D176</f>
        <v>14.211538461538462</v>
      </c>
      <c r="AF176" s="15" t="s">
        <v>659</v>
      </c>
      <c r="AG176" s="18">
        <f>AF176/$D176</f>
        <v>4.9807692307692308</v>
      </c>
      <c r="AH176" s="8" t="s">
        <v>667</v>
      </c>
      <c r="AI176" s="18">
        <f>AH176/$D176</f>
        <v>9.2307692307692299</v>
      </c>
      <c r="AJ176" s="8" t="s">
        <v>672</v>
      </c>
      <c r="AK176" s="18">
        <f>AJ176/$D176</f>
        <v>5.365384615384615</v>
      </c>
      <c r="AL176" s="8" t="s">
        <v>669</v>
      </c>
      <c r="AM176" s="18">
        <f>AL176/$D176</f>
        <v>2.0576923076923075</v>
      </c>
      <c r="AN176" s="8" t="s">
        <v>200</v>
      </c>
      <c r="AO176" s="18">
        <f>AN176/$D176</f>
        <v>0.44230769230769229</v>
      </c>
      <c r="AP176" s="12" t="s">
        <v>382</v>
      </c>
      <c r="AQ176" s="18">
        <f>AP176/$D176</f>
        <v>2.8846153846153846</v>
      </c>
      <c r="AR176" s="12" t="s">
        <v>558</v>
      </c>
      <c r="AS176" s="18">
        <f>AR176/$D176</f>
        <v>3.1153846153846154</v>
      </c>
      <c r="AT176" s="20">
        <v>8.2282543519577498</v>
      </c>
      <c r="AU176" s="20">
        <v>0.21540872687179413</v>
      </c>
      <c r="AV176" s="20">
        <v>4.1195507510698137</v>
      </c>
      <c r="AW176" s="20">
        <v>0.78801007678278279</v>
      </c>
      <c r="AX176" s="20">
        <v>112.27585068021153</v>
      </c>
      <c r="AY176" s="20">
        <v>89.640876722044268</v>
      </c>
      <c r="AZ176" s="20">
        <v>20.889903863875269</v>
      </c>
      <c r="BA176" s="20">
        <v>27.25</v>
      </c>
      <c r="BB176" s="20">
        <v>37.095859330686324</v>
      </c>
      <c r="BC176" s="21">
        <v>0.54250815993472046</v>
      </c>
      <c r="BD176" s="21">
        <v>0.52748885586924221</v>
      </c>
      <c r="BE176" s="20">
        <v>28.404932552979346</v>
      </c>
      <c r="BF176" s="21">
        <v>1.188707280832095E-2</v>
      </c>
      <c r="BG176" s="21">
        <v>0.37592867756315007</v>
      </c>
      <c r="BH176" s="20">
        <v>18.734369188834364</v>
      </c>
      <c r="BI176" s="20">
        <v>34.7200664503494</v>
      </c>
      <c r="BJ176" s="20">
        <v>24.969284654490902</v>
      </c>
      <c r="BK176" s="20">
        <v>34.545023060969697</v>
      </c>
      <c r="BL176" s="20">
        <v>3.9459567595846594</v>
      </c>
      <c r="BM176" s="20">
        <v>1.6081287411935288</v>
      </c>
      <c r="BN176" s="20">
        <v>16.054456717184689</v>
      </c>
      <c r="BO176" s="22" t="s">
        <v>265</v>
      </c>
      <c r="BP176" s="22">
        <v>500000</v>
      </c>
    </row>
    <row r="177" spans="1:68" x14ac:dyDescent="0.3">
      <c r="A177" s="16" t="s">
        <v>162</v>
      </c>
      <c r="B177" s="16" t="s">
        <v>260</v>
      </c>
      <c r="C177" s="4" t="s">
        <v>238</v>
      </c>
      <c r="D177" s="5" t="s">
        <v>179</v>
      </c>
      <c r="E177" s="7">
        <v>29</v>
      </c>
      <c r="F177" s="7">
        <v>10</v>
      </c>
      <c r="G177" s="14">
        <v>77001</v>
      </c>
      <c r="H177" s="5" t="s">
        <v>294</v>
      </c>
      <c r="I177" s="18">
        <f>H177/$D177</f>
        <v>14.795454545454545</v>
      </c>
      <c r="J177" s="6" t="s">
        <v>475</v>
      </c>
      <c r="K177" s="6" t="s">
        <v>476</v>
      </c>
      <c r="L177" s="18">
        <f>J177/$D177</f>
        <v>14.204545454545455</v>
      </c>
      <c r="M177" s="18">
        <f>K177/$D177</f>
        <v>6.0454545454545459</v>
      </c>
      <c r="N177" s="19">
        <f>K177/J177</f>
        <v>0.42559999999999998</v>
      </c>
      <c r="O177" s="14" t="s">
        <v>597</v>
      </c>
      <c r="P177" s="15" t="s">
        <v>359</v>
      </c>
      <c r="Q177" s="18">
        <f>O177/$D177</f>
        <v>10.454545454545455</v>
      </c>
      <c r="R177" s="18">
        <f>P177/$D177</f>
        <v>4.9318181818181817</v>
      </c>
      <c r="S177" s="19">
        <f>P177/O177</f>
        <v>0.47173913043478261</v>
      </c>
      <c r="T177" s="15" t="s">
        <v>378</v>
      </c>
      <c r="U177" s="15" t="s">
        <v>232</v>
      </c>
      <c r="V177" s="18">
        <f>T177/$D177</f>
        <v>3.75</v>
      </c>
      <c r="W177" s="18">
        <f>U177/$D177</f>
        <v>1.1136363636363635</v>
      </c>
      <c r="X177" s="19">
        <f>U177/T177</f>
        <v>0.29696969696969699</v>
      </c>
      <c r="Y177" s="15" t="s">
        <v>527</v>
      </c>
      <c r="Z177" s="15" t="s">
        <v>411</v>
      </c>
      <c r="AA177" s="18">
        <f>Y177/$D177</f>
        <v>2.7727272727272729</v>
      </c>
      <c r="AB177" s="18">
        <f>Z177/$D177</f>
        <v>1.5909090909090908</v>
      </c>
      <c r="AC177" s="19">
        <f>Z177/Y177</f>
        <v>0.57377049180327866</v>
      </c>
      <c r="AD177" s="15" t="s">
        <v>342</v>
      </c>
      <c r="AE177" s="18">
        <f>AD177/$D177</f>
        <v>5.75</v>
      </c>
      <c r="AF177" s="15" t="s">
        <v>233</v>
      </c>
      <c r="AG177" s="18">
        <f>AF177/$D177</f>
        <v>1.1590909090909092</v>
      </c>
      <c r="AH177" s="15" t="s">
        <v>479</v>
      </c>
      <c r="AI177" s="18">
        <f>AH177/$D177</f>
        <v>4.5909090909090908</v>
      </c>
      <c r="AJ177" s="15" t="s">
        <v>520</v>
      </c>
      <c r="AK177" s="18">
        <f>AJ177/$D177</f>
        <v>2.5454545454545454</v>
      </c>
      <c r="AL177" s="15" t="s">
        <v>171</v>
      </c>
      <c r="AM177" s="18">
        <f>AL177/$D177</f>
        <v>0.70454545454545459</v>
      </c>
      <c r="AN177" s="15" t="s">
        <v>183</v>
      </c>
      <c r="AO177" s="18">
        <f>AN177/$D177</f>
        <v>0.36363636363636365</v>
      </c>
      <c r="AP177" s="15" t="s">
        <v>616</v>
      </c>
      <c r="AQ177" s="18">
        <f>AP177/$D177</f>
        <v>2</v>
      </c>
      <c r="AR177" s="15" t="s">
        <v>539</v>
      </c>
      <c r="AS177" s="18">
        <f>AR177/$D177</f>
        <v>1.8863636363636365</v>
      </c>
      <c r="AT177" s="20">
        <v>1.5456046806416528</v>
      </c>
      <c r="AU177" s="20">
        <v>4.8174691344674898E-2</v>
      </c>
      <c r="AV177" s="20">
        <v>1.7951062667246507</v>
      </c>
      <c r="AW177" s="20">
        <v>-3.1884782084148112E-3</v>
      </c>
      <c r="AX177" s="20">
        <v>95.887006956804939</v>
      </c>
      <c r="AY177" s="20">
        <v>101.39410477222472</v>
      </c>
      <c r="AZ177" s="20">
        <v>8.3643725273712821</v>
      </c>
      <c r="BA177" s="20">
        <v>12.818181818181818</v>
      </c>
      <c r="BB177" s="20">
        <v>17.57922077922078</v>
      </c>
      <c r="BC177" s="21">
        <v>0.47960747333058296</v>
      </c>
      <c r="BD177" s="21">
        <v>0.46479999999999999</v>
      </c>
      <c r="BE177" s="20">
        <v>23.481536686710701</v>
      </c>
      <c r="BF177" s="21">
        <v>0.26400000000000001</v>
      </c>
      <c r="BG177" s="21">
        <v>0.19520000000000001</v>
      </c>
      <c r="BH177" s="20">
        <v>3.7164111127979358</v>
      </c>
      <c r="BI177" s="20">
        <v>14.719902838925156</v>
      </c>
      <c r="BJ177" s="20">
        <v>8.611849803212424</v>
      </c>
      <c r="BK177" s="20">
        <v>12.639894667544437</v>
      </c>
      <c r="BL177" s="20">
        <v>1.3611160928076442</v>
      </c>
      <c r="BM177" s="20">
        <v>1.1270085846357032</v>
      </c>
      <c r="BN177" s="20">
        <v>11.478061251108677</v>
      </c>
      <c r="BO177" s="22" t="s">
        <v>677</v>
      </c>
      <c r="BP177" s="22">
        <v>16866</v>
      </c>
    </row>
    <row r="178" spans="1:68" x14ac:dyDescent="0.3">
      <c r="A178" s="16" t="s">
        <v>162</v>
      </c>
      <c r="B178" s="16" t="s">
        <v>260</v>
      </c>
      <c r="C178" s="4" t="s">
        <v>133</v>
      </c>
      <c r="D178" s="5" t="s">
        <v>223</v>
      </c>
      <c r="E178" s="7">
        <v>30</v>
      </c>
      <c r="F178" s="7">
        <v>11</v>
      </c>
      <c r="G178" s="14">
        <v>90569</v>
      </c>
      <c r="H178" s="5" t="s">
        <v>295</v>
      </c>
      <c r="I178" s="18">
        <f>H178/$D178</f>
        <v>12.36</v>
      </c>
      <c r="J178" s="6" t="s">
        <v>477</v>
      </c>
      <c r="K178" s="6" t="s">
        <v>366</v>
      </c>
      <c r="L178" s="18">
        <f>J178/$D178</f>
        <v>9.84</v>
      </c>
      <c r="M178" s="18">
        <f>K178/$D178</f>
        <v>4.0599999999999996</v>
      </c>
      <c r="N178" s="19">
        <f>K178/J178</f>
        <v>0.41260162601626016</v>
      </c>
      <c r="O178" s="14" t="s">
        <v>382</v>
      </c>
      <c r="P178" s="15" t="s">
        <v>409</v>
      </c>
      <c r="Q178" s="18">
        <f>O178/$D178</f>
        <v>3</v>
      </c>
      <c r="R178" s="18">
        <f>P178/$D178</f>
        <v>1.42</v>
      </c>
      <c r="S178" s="19">
        <f>P178/O178</f>
        <v>0.47333333333333333</v>
      </c>
      <c r="T178" s="15" t="s">
        <v>452</v>
      </c>
      <c r="U178" s="15" t="s">
        <v>557</v>
      </c>
      <c r="V178" s="18">
        <f>T178/$D178</f>
        <v>6.84</v>
      </c>
      <c r="W178" s="18">
        <f>U178/$D178</f>
        <v>2.64</v>
      </c>
      <c r="X178" s="19">
        <f>U178/T178</f>
        <v>0.38596491228070173</v>
      </c>
      <c r="Y178" s="15" t="s">
        <v>608</v>
      </c>
      <c r="Z178" s="15" t="s">
        <v>641</v>
      </c>
      <c r="AA178" s="18">
        <f>Y178/$D178</f>
        <v>1.84</v>
      </c>
      <c r="AB178" s="18">
        <f>Z178/$D178</f>
        <v>1.6</v>
      </c>
      <c r="AC178" s="19">
        <f>Z178/Y178</f>
        <v>0.86956521739130432</v>
      </c>
      <c r="AD178" s="15" t="s">
        <v>601</v>
      </c>
      <c r="AE178" s="18">
        <f>AD178/$D178</f>
        <v>2.06</v>
      </c>
      <c r="AF178" s="15" t="s">
        <v>177</v>
      </c>
      <c r="AG178" s="18">
        <f>AF178/$D178</f>
        <v>0.52</v>
      </c>
      <c r="AH178" s="15" t="s">
        <v>571</v>
      </c>
      <c r="AI178" s="18">
        <f>AH178/$D178</f>
        <v>1.54</v>
      </c>
      <c r="AJ178" s="15" t="s">
        <v>224</v>
      </c>
      <c r="AK178" s="18">
        <f>AJ178/$D178</f>
        <v>1.1000000000000001</v>
      </c>
      <c r="AL178" s="15" t="s">
        <v>371</v>
      </c>
      <c r="AM178" s="18">
        <f>AL178/$D178</f>
        <v>0.72</v>
      </c>
      <c r="AN178" s="15" t="s">
        <v>183</v>
      </c>
      <c r="AO178" s="18">
        <f>AN178/$D178</f>
        <v>0.32</v>
      </c>
      <c r="AP178" s="15" t="s">
        <v>188</v>
      </c>
      <c r="AQ178" s="18">
        <f>AP178/$D178</f>
        <v>0.82</v>
      </c>
      <c r="AR178" s="15" t="s">
        <v>394</v>
      </c>
      <c r="AS178" s="18">
        <f>AR178/$D178</f>
        <v>1.96</v>
      </c>
      <c r="AT178" s="20">
        <v>3.9744272536584386</v>
      </c>
      <c r="AU178" s="20">
        <v>0.10534097635317782</v>
      </c>
      <c r="AV178" s="20">
        <v>1.4338321853538143</v>
      </c>
      <c r="AW178" s="20">
        <v>1.4904862615218835</v>
      </c>
      <c r="AX178" s="20">
        <v>115.55101093357626</v>
      </c>
      <c r="AY178" s="20">
        <v>105.45900428930653</v>
      </c>
      <c r="AZ178" s="20">
        <v>8.2811294341862993</v>
      </c>
      <c r="BA178" s="20">
        <v>9.7200000000000006</v>
      </c>
      <c r="BB178" s="20">
        <v>12.881281060187742</v>
      </c>
      <c r="BC178" s="21">
        <v>0.58030348557692302</v>
      </c>
      <c r="BD178" s="21">
        <v>0.5467479674796748</v>
      </c>
      <c r="BE178" s="20">
        <v>16.972673447238726</v>
      </c>
      <c r="BF178" s="21">
        <v>0.69512195121951215</v>
      </c>
      <c r="BG178" s="21">
        <v>0.18699186991869918</v>
      </c>
      <c r="BH178" s="20">
        <v>1.8308236770098425</v>
      </c>
      <c r="BI178" s="20">
        <v>5.422054735759918</v>
      </c>
      <c r="BJ178" s="20">
        <v>3.3879168957142438</v>
      </c>
      <c r="BK178" s="20">
        <v>5.5598143358970251</v>
      </c>
      <c r="BL178" s="20">
        <v>1.3441206281551057</v>
      </c>
      <c r="BM178" s="20">
        <v>1.0890475003382003</v>
      </c>
      <c r="BN178" s="20">
        <v>7.1493338913301248</v>
      </c>
      <c r="BO178" s="22" t="s">
        <v>263</v>
      </c>
      <c r="BP178" s="22"/>
    </row>
    <row r="179" spans="1:68" x14ac:dyDescent="0.3">
      <c r="A179" s="16" t="s">
        <v>162</v>
      </c>
      <c r="B179" s="16" t="s">
        <v>260</v>
      </c>
      <c r="C179" s="4" t="s">
        <v>139</v>
      </c>
      <c r="D179" s="5" t="s">
        <v>232</v>
      </c>
      <c r="E179" s="7">
        <v>29</v>
      </c>
      <c r="F179" s="7">
        <v>5</v>
      </c>
      <c r="G179" s="14">
        <v>85496</v>
      </c>
      <c r="H179" s="5" t="s">
        <v>303</v>
      </c>
      <c r="I179" s="18">
        <f>H179/$D179</f>
        <v>9.7142857142857135</v>
      </c>
      <c r="J179" s="6" t="s">
        <v>487</v>
      </c>
      <c r="K179" s="6" t="s">
        <v>370</v>
      </c>
      <c r="L179" s="18">
        <f>J179/$D179</f>
        <v>8.591836734693878</v>
      </c>
      <c r="M179" s="18">
        <f>K179/$D179</f>
        <v>3.7551020408163267</v>
      </c>
      <c r="N179" s="19">
        <f>K179/J179</f>
        <v>0.43705463182897863</v>
      </c>
      <c r="O179" s="14" t="s">
        <v>349</v>
      </c>
      <c r="P179" s="15" t="s">
        <v>522</v>
      </c>
      <c r="Q179" s="18">
        <f>O179/$D179</f>
        <v>4.8571428571428568</v>
      </c>
      <c r="R179" s="18">
        <f>P179/$D179</f>
        <v>2.4489795918367347</v>
      </c>
      <c r="S179" s="19">
        <f>P179/O179</f>
        <v>0.50420168067226889</v>
      </c>
      <c r="T179" s="15" t="s">
        <v>538</v>
      </c>
      <c r="U179" s="15" t="s">
        <v>572</v>
      </c>
      <c r="V179" s="18">
        <f>T179/$D179</f>
        <v>3.7346938775510203</v>
      </c>
      <c r="W179" s="18">
        <f>U179/$D179</f>
        <v>1.3061224489795917</v>
      </c>
      <c r="X179" s="19">
        <f>U179/T179</f>
        <v>0.34972677595628415</v>
      </c>
      <c r="Y179" s="15" t="s">
        <v>201</v>
      </c>
      <c r="Z179" s="15" t="s">
        <v>179</v>
      </c>
      <c r="AA179" s="18">
        <f>Y179/$D179</f>
        <v>1.1020408163265305</v>
      </c>
      <c r="AB179" s="18">
        <f>Z179/$D179</f>
        <v>0.89795918367346939</v>
      </c>
      <c r="AC179" s="19">
        <f>Z179/Y179</f>
        <v>0.81481481481481477</v>
      </c>
      <c r="AD179" s="15" t="s">
        <v>652</v>
      </c>
      <c r="AE179" s="18">
        <f>AD179/$D179</f>
        <v>2.6326530612244898</v>
      </c>
      <c r="AF179" s="15" t="s">
        <v>199</v>
      </c>
      <c r="AG179" s="18">
        <f>AF179/$D179</f>
        <v>0.67346938775510201</v>
      </c>
      <c r="AH179" s="15" t="s">
        <v>530</v>
      </c>
      <c r="AI179" s="18">
        <f>AH179/$D179</f>
        <v>1.9591836734693877</v>
      </c>
      <c r="AJ179" s="15" t="s">
        <v>330</v>
      </c>
      <c r="AK179" s="18">
        <f>AJ179/$D179</f>
        <v>5.9795918367346941</v>
      </c>
      <c r="AL179" s="15" t="s">
        <v>206</v>
      </c>
      <c r="AM179" s="18">
        <f>AL179/$D179</f>
        <v>0.77551020408163263</v>
      </c>
      <c r="AN179" s="15" t="s">
        <v>194</v>
      </c>
      <c r="AO179" s="18">
        <f>AN179/$D179</f>
        <v>4.0816326530612242E-2</v>
      </c>
      <c r="AP179" s="15" t="s">
        <v>610</v>
      </c>
      <c r="AQ179" s="18">
        <f>AP179/$D179</f>
        <v>1.3265306122448979</v>
      </c>
      <c r="AR179" s="15" t="s">
        <v>517</v>
      </c>
      <c r="AS179" s="18">
        <f>AR179/$D179</f>
        <v>2.2653061224489797</v>
      </c>
      <c r="AT179" s="20">
        <v>4.5357048217076352</v>
      </c>
      <c r="AU179" s="20">
        <v>0.12731058501956991</v>
      </c>
      <c r="AV179" s="20">
        <v>1.4163460947988109</v>
      </c>
      <c r="AW179" s="20">
        <v>2.9064814008687473E-3</v>
      </c>
      <c r="AX179" s="20">
        <v>118.39721212852878</v>
      </c>
      <c r="AY179" s="20">
        <v>105.0623282773571</v>
      </c>
      <c r="AZ179" s="20">
        <v>9.8069486711785334</v>
      </c>
      <c r="BA179" s="20">
        <v>12.775510204081632</v>
      </c>
      <c r="BB179" s="20">
        <v>17.570902286416</v>
      </c>
      <c r="BC179" s="21">
        <v>0.53512006475402463</v>
      </c>
      <c r="BD179" s="21">
        <v>0.51306413301662712</v>
      </c>
      <c r="BE179" s="20">
        <v>15.65743985377871</v>
      </c>
      <c r="BF179" s="21">
        <v>0.43467933491686461</v>
      </c>
      <c r="BG179" s="21">
        <v>0.12826603325415678</v>
      </c>
      <c r="BH179" s="20">
        <v>2.4116269651562532</v>
      </c>
      <c r="BI179" s="20">
        <v>7.0156420804545556</v>
      </c>
      <c r="BJ179" s="20">
        <v>4.4036039572696799</v>
      </c>
      <c r="BK179" s="20">
        <v>30.369250701792275</v>
      </c>
      <c r="BL179" s="20">
        <v>1.5025062437605674</v>
      </c>
      <c r="BM179" s="20">
        <v>0.1412797294493181</v>
      </c>
      <c r="BN179" s="20">
        <v>12.751098556183303</v>
      </c>
      <c r="BO179" s="22" t="s">
        <v>263</v>
      </c>
      <c r="BP179" s="22">
        <v>40000</v>
      </c>
    </row>
    <row r="180" spans="1:68" x14ac:dyDescent="0.3">
      <c r="A180" s="16" t="s">
        <v>162</v>
      </c>
      <c r="B180" s="16" t="s">
        <v>260</v>
      </c>
      <c r="C180" s="4" t="s">
        <v>140</v>
      </c>
      <c r="D180" s="5" t="s">
        <v>201</v>
      </c>
      <c r="E180" s="7">
        <v>25</v>
      </c>
      <c r="F180" s="7">
        <v>28</v>
      </c>
      <c r="G180" s="14">
        <v>82525</v>
      </c>
      <c r="H180" s="5" t="s">
        <v>329</v>
      </c>
      <c r="I180" s="18">
        <f>H180/$D180</f>
        <v>5.4629629629629628</v>
      </c>
      <c r="J180" s="6" t="s">
        <v>345</v>
      </c>
      <c r="K180" s="6" t="s">
        <v>518</v>
      </c>
      <c r="L180" s="18">
        <f>J180/$D180</f>
        <v>4.4629629629629628</v>
      </c>
      <c r="M180" s="18">
        <f>K180/$D180</f>
        <v>1.9444444444444444</v>
      </c>
      <c r="N180" s="19">
        <f>K180/J180</f>
        <v>0.43568464730290457</v>
      </c>
      <c r="O180" s="14" t="s">
        <v>390</v>
      </c>
      <c r="P180" s="15" t="s">
        <v>240</v>
      </c>
      <c r="Q180" s="18">
        <f>O180/$D180</f>
        <v>2</v>
      </c>
      <c r="R180" s="18">
        <f>P180/$D180</f>
        <v>0.85185185185185186</v>
      </c>
      <c r="S180" s="19">
        <f>P180/O180</f>
        <v>0.42592592592592593</v>
      </c>
      <c r="T180" s="15" t="s">
        <v>384</v>
      </c>
      <c r="U180" s="15" t="s">
        <v>212</v>
      </c>
      <c r="V180" s="18">
        <f>T180/$D180</f>
        <v>2.4629629629629628</v>
      </c>
      <c r="W180" s="18">
        <f>U180/$D180</f>
        <v>1.0925925925925926</v>
      </c>
      <c r="X180" s="19">
        <f>U180/T180</f>
        <v>0.44360902255639095</v>
      </c>
      <c r="Y180" s="15" t="s">
        <v>245</v>
      </c>
      <c r="Z180" s="15" t="s">
        <v>177</v>
      </c>
      <c r="AA180" s="18">
        <f>Y180/$D180</f>
        <v>0.64814814814814814</v>
      </c>
      <c r="AB180" s="18">
        <f>Z180/$D180</f>
        <v>0.48148148148148145</v>
      </c>
      <c r="AC180" s="19">
        <f>Z180/Y180</f>
        <v>0.74285714285714288</v>
      </c>
      <c r="AD180" s="15" t="s">
        <v>557</v>
      </c>
      <c r="AE180" s="18">
        <f>AD180/$D180</f>
        <v>2.4444444444444446</v>
      </c>
      <c r="AF180" s="15" t="s">
        <v>188</v>
      </c>
      <c r="AG180" s="18">
        <f>AF180/$D180</f>
        <v>0.7592592592592593</v>
      </c>
      <c r="AH180" s="15" t="s">
        <v>546</v>
      </c>
      <c r="AI180" s="18">
        <f>AH180/$D180</f>
        <v>1.6851851851851851</v>
      </c>
      <c r="AJ180" s="15" t="s">
        <v>209</v>
      </c>
      <c r="AK180" s="18">
        <f>AJ180/$D180</f>
        <v>0.96296296296296291</v>
      </c>
      <c r="AL180" s="15" t="s">
        <v>172</v>
      </c>
      <c r="AM180" s="18">
        <f>AL180/$D180</f>
        <v>0.53703703703703709</v>
      </c>
      <c r="AN180" s="15" t="s">
        <v>211</v>
      </c>
      <c r="AO180" s="18">
        <f>AN180/$D180</f>
        <v>0.20370370370370369</v>
      </c>
      <c r="AP180" s="15" t="s">
        <v>199</v>
      </c>
      <c r="AQ180" s="18">
        <f>AP180/$D180</f>
        <v>0.61111111111111116</v>
      </c>
      <c r="AR180" s="15" t="s">
        <v>394</v>
      </c>
      <c r="AS180" s="18">
        <f>AR180/$D180</f>
        <v>1.8148148148148149</v>
      </c>
      <c r="AT180" s="20">
        <v>2.5381083422874862</v>
      </c>
      <c r="AU180" s="20">
        <v>7.3825140846058346E-2</v>
      </c>
      <c r="AV180" s="20">
        <v>1.3160265279673171</v>
      </c>
      <c r="AW180" s="20">
        <v>0.29262862604169559</v>
      </c>
      <c r="AX180" s="20">
        <v>113.50085688437316</v>
      </c>
      <c r="AY180" s="20">
        <v>105.39659572850009</v>
      </c>
      <c r="AZ180" s="20">
        <v>5.5301258891490628</v>
      </c>
      <c r="BA180" s="20">
        <v>6.3148148148148149</v>
      </c>
      <c r="BB180" s="20">
        <v>9.9185573007562535</v>
      </c>
      <c r="BC180" s="21">
        <v>0.57527301092043692</v>
      </c>
      <c r="BD180" s="21">
        <v>0.55809128630705396</v>
      </c>
      <c r="BE180" s="20">
        <v>10.151392075993119</v>
      </c>
      <c r="BF180" s="21">
        <v>0.55186721991701249</v>
      </c>
      <c r="BG180" s="21">
        <v>0.14522821576763487</v>
      </c>
      <c r="BH180" s="20">
        <v>3.4217803272668599</v>
      </c>
      <c r="BI180" s="20">
        <v>7.5946831653971776</v>
      </c>
      <c r="BJ180" s="20">
        <v>5.1459380226343301</v>
      </c>
      <c r="BK180" s="20">
        <v>5.7717922154802421</v>
      </c>
      <c r="BL180" s="20">
        <v>1.1882425059735084</v>
      </c>
      <c r="BM180" s="20">
        <v>0.88739018546454884</v>
      </c>
      <c r="BN180" s="20">
        <v>11.402902557014514</v>
      </c>
      <c r="BO180" s="22" t="s">
        <v>263</v>
      </c>
      <c r="BP180" s="22">
        <v>300000</v>
      </c>
    </row>
    <row r="181" spans="1:68" x14ac:dyDescent="0.3">
      <c r="A181" s="16" t="s">
        <v>162</v>
      </c>
      <c r="B181" s="16" t="s">
        <v>260</v>
      </c>
      <c r="C181" s="4" t="s">
        <v>338</v>
      </c>
      <c r="D181" s="5" t="s">
        <v>218</v>
      </c>
      <c r="E181" s="7">
        <v>11</v>
      </c>
      <c r="F181" s="7">
        <v>23</v>
      </c>
      <c r="G181" s="14">
        <v>32787</v>
      </c>
      <c r="H181" s="5" t="s">
        <v>339</v>
      </c>
      <c r="I181" s="18">
        <f>H181/$D181</f>
        <v>5.729166666666667</v>
      </c>
      <c r="J181" s="6" t="s">
        <v>526</v>
      </c>
      <c r="K181" s="6" t="s">
        <v>527</v>
      </c>
      <c r="L181" s="18">
        <f>J181/$D181</f>
        <v>4.166666666666667</v>
      </c>
      <c r="M181" s="18">
        <f>K181/$D181</f>
        <v>2.5416666666666665</v>
      </c>
      <c r="N181" s="19">
        <f>K181/J181</f>
        <v>0.61</v>
      </c>
      <c r="O181" s="14" t="s">
        <v>483</v>
      </c>
      <c r="P181" s="15" t="s">
        <v>561</v>
      </c>
      <c r="Q181" s="18">
        <f>O181/$D181</f>
        <v>4.125</v>
      </c>
      <c r="R181" s="18">
        <f>P181/$D181</f>
        <v>2.5208333333333335</v>
      </c>
      <c r="S181" s="19">
        <f>P181/O181</f>
        <v>0.61111111111111116</v>
      </c>
      <c r="T181" s="15" t="s">
        <v>194</v>
      </c>
      <c r="U181" s="15" t="s">
        <v>231</v>
      </c>
      <c r="V181" s="18">
        <f>T181/$D181</f>
        <v>4.1666666666666664E-2</v>
      </c>
      <c r="W181" s="18">
        <f>U181/$D181</f>
        <v>2.0833333333333332E-2</v>
      </c>
      <c r="X181" s="19">
        <f>U181/T181</f>
        <v>0.5</v>
      </c>
      <c r="Y181" s="15" t="s">
        <v>414</v>
      </c>
      <c r="Z181" s="15" t="s">
        <v>202</v>
      </c>
      <c r="AA181" s="18">
        <f>Y181/$D181</f>
        <v>1.2916666666666667</v>
      </c>
      <c r="AB181" s="18">
        <f>Z181/$D181</f>
        <v>0.625</v>
      </c>
      <c r="AC181" s="19">
        <f>Z181/Y181</f>
        <v>0.4838709677419355</v>
      </c>
      <c r="AD181" s="15" t="s">
        <v>632</v>
      </c>
      <c r="AE181" s="18">
        <f>AD181/$D181</f>
        <v>4.145833333333333</v>
      </c>
      <c r="AF181" s="15" t="s">
        <v>224</v>
      </c>
      <c r="AG181" s="18">
        <f>AF181/$D181</f>
        <v>1.1458333333333333</v>
      </c>
      <c r="AH181" s="15" t="s">
        <v>508</v>
      </c>
      <c r="AI181" s="18">
        <f>AH181/$D181</f>
        <v>3</v>
      </c>
      <c r="AJ181" s="15" t="s">
        <v>170</v>
      </c>
      <c r="AK181" s="18">
        <f>AJ181/$D181</f>
        <v>0.58333333333333337</v>
      </c>
      <c r="AL181" s="15" t="s">
        <v>203</v>
      </c>
      <c r="AM181" s="18">
        <f>AL181/$D181</f>
        <v>0.1875</v>
      </c>
      <c r="AN181" s="15" t="s">
        <v>200</v>
      </c>
      <c r="AO181" s="18">
        <f>AN181/$D181</f>
        <v>0.47916666666666669</v>
      </c>
      <c r="AP181" s="15" t="s">
        <v>212</v>
      </c>
      <c r="AQ181" s="18">
        <f>AP181/$D181</f>
        <v>1.2291666666666667</v>
      </c>
      <c r="AR181" s="15" t="s">
        <v>407</v>
      </c>
      <c r="AS181" s="18">
        <f>AR181/$D181</f>
        <v>1.5208333333333333</v>
      </c>
      <c r="AT181" s="20">
        <v>1.3064038355544874</v>
      </c>
      <c r="AU181" s="20">
        <v>9.5637176834149892E-2</v>
      </c>
      <c r="AV181" s="20">
        <v>1.0675487945002902</v>
      </c>
      <c r="AW181" s="20">
        <v>1.7965317845787898</v>
      </c>
      <c r="AX181" s="20">
        <v>100.34773491067861</v>
      </c>
      <c r="AY181" s="20">
        <v>96.366207249520002</v>
      </c>
      <c r="AZ181" s="20">
        <v>11.825954560232343</v>
      </c>
      <c r="BA181" s="20">
        <v>7.604166666666667</v>
      </c>
      <c r="BB181" s="20">
        <v>26.720351390922403</v>
      </c>
      <c r="BC181" s="21">
        <v>0.60498064061950019</v>
      </c>
      <c r="BD181" s="21">
        <v>0.61250000000000004</v>
      </c>
      <c r="BE181" s="20">
        <v>22.46574029537253</v>
      </c>
      <c r="BF181" s="21">
        <v>0.01</v>
      </c>
      <c r="BG181" s="21">
        <v>0.31</v>
      </c>
      <c r="BH181" s="20">
        <v>10.269128975592148</v>
      </c>
      <c r="BI181" s="20">
        <v>26.886446772459443</v>
      </c>
      <c r="BJ181" s="20">
        <v>17.355868343964531</v>
      </c>
      <c r="BK181" s="20">
        <v>8.5459216115166452</v>
      </c>
      <c r="BL181" s="20">
        <v>0.92812136163559089</v>
      </c>
      <c r="BM181" s="20">
        <v>4.1509970288787574</v>
      </c>
      <c r="BN181" s="20">
        <v>20.60919379628336</v>
      </c>
      <c r="BO181" s="22" t="s">
        <v>265</v>
      </c>
      <c r="BP181" s="22"/>
    </row>
    <row r="182" spans="1:68" x14ac:dyDescent="0.3">
      <c r="A182" s="16" t="s">
        <v>162</v>
      </c>
      <c r="B182" s="16" t="s">
        <v>260</v>
      </c>
      <c r="C182" s="4" t="s">
        <v>350</v>
      </c>
      <c r="D182" s="5" t="s">
        <v>202</v>
      </c>
      <c r="E182" s="5">
        <v>21</v>
      </c>
      <c r="F182" s="5">
        <v>8</v>
      </c>
      <c r="G182" s="14">
        <v>38052</v>
      </c>
      <c r="H182" s="5" t="s">
        <v>351</v>
      </c>
      <c r="I182" s="18">
        <f>H182/$D182</f>
        <v>7.833333333333333</v>
      </c>
      <c r="J182" s="6" t="s">
        <v>349</v>
      </c>
      <c r="K182" s="6" t="s">
        <v>400</v>
      </c>
      <c r="L182" s="18">
        <f>J182/$D182</f>
        <v>7.9333333333333336</v>
      </c>
      <c r="M182" s="18">
        <f>K182/$D182</f>
        <v>2.8</v>
      </c>
      <c r="N182" s="19">
        <f>K182/J182</f>
        <v>0.35294117647058826</v>
      </c>
      <c r="O182" s="14" t="s">
        <v>520</v>
      </c>
      <c r="P182" s="15" t="s">
        <v>215</v>
      </c>
      <c r="Q182" s="18">
        <f>O182/$D182</f>
        <v>3.7333333333333334</v>
      </c>
      <c r="R182" s="18">
        <f>P182/$D182</f>
        <v>1.9</v>
      </c>
      <c r="S182" s="19">
        <f>P182/O182</f>
        <v>0.5089285714285714</v>
      </c>
      <c r="T182" s="15" t="s">
        <v>609</v>
      </c>
      <c r="U182" s="15" t="s">
        <v>182</v>
      </c>
      <c r="V182" s="18">
        <f>T182/$D182</f>
        <v>4.2</v>
      </c>
      <c r="W182" s="18">
        <f>U182/$D182</f>
        <v>0.9</v>
      </c>
      <c r="X182" s="19">
        <f>U182/T182</f>
        <v>0.21428571428571427</v>
      </c>
      <c r="Y182" s="15" t="s">
        <v>212</v>
      </c>
      <c r="Z182" s="15" t="s">
        <v>301</v>
      </c>
      <c r="AA182" s="18">
        <f>Y182/$D182</f>
        <v>1.9666666666666666</v>
      </c>
      <c r="AB182" s="18">
        <f>Z182/$D182</f>
        <v>1.3333333333333333</v>
      </c>
      <c r="AC182" s="19">
        <f>Z182/Y182</f>
        <v>0.67796610169491522</v>
      </c>
      <c r="AD182" s="15" t="s">
        <v>387</v>
      </c>
      <c r="AE182" s="18">
        <f>AD182/$D182</f>
        <v>4.333333333333333</v>
      </c>
      <c r="AF182" s="15" t="s">
        <v>186</v>
      </c>
      <c r="AG182" s="18">
        <f>AF182/$D182</f>
        <v>1.3</v>
      </c>
      <c r="AH182" s="15" t="s">
        <v>546</v>
      </c>
      <c r="AI182" s="18">
        <f>AH182/$D182</f>
        <v>3.0333333333333332</v>
      </c>
      <c r="AJ182" s="15" t="s">
        <v>217</v>
      </c>
      <c r="AK182" s="18">
        <f>AJ182/$D182</f>
        <v>1.9333333333333333</v>
      </c>
      <c r="AL182" s="15" t="s">
        <v>185</v>
      </c>
      <c r="AM182" s="18">
        <f>AL182/$D182</f>
        <v>0.4</v>
      </c>
      <c r="AN182" s="15" t="s">
        <v>189</v>
      </c>
      <c r="AO182" s="18">
        <f>AN182/$D182</f>
        <v>0.26666666666666666</v>
      </c>
      <c r="AP182" s="15" t="s">
        <v>218</v>
      </c>
      <c r="AQ182" s="18">
        <f>AP182/$D182</f>
        <v>1.6</v>
      </c>
      <c r="AR182" s="15" t="s">
        <v>186</v>
      </c>
      <c r="AS182" s="18">
        <f>AR182/$D182</f>
        <v>1.3</v>
      </c>
      <c r="AT182" s="20">
        <v>0.33508128369000167</v>
      </c>
      <c r="AU182" s="20">
        <v>2.1140774996214615E-2</v>
      </c>
      <c r="AV182" s="20">
        <v>0.80564791477585607</v>
      </c>
      <c r="AW182" s="20">
        <v>0.27906917311068535</v>
      </c>
      <c r="AX182" s="20">
        <v>91.500142989599482</v>
      </c>
      <c r="AY182" s="20">
        <v>102.55410485381807</v>
      </c>
      <c r="AZ182" s="20">
        <v>3.9661690250150134</v>
      </c>
      <c r="BA182" s="20">
        <v>7.4</v>
      </c>
      <c r="BB182" s="20">
        <v>14.006309148264984</v>
      </c>
      <c r="BC182" s="21">
        <v>0.4451432035156842</v>
      </c>
      <c r="BD182" s="21">
        <v>0.40966386554621848</v>
      </c>
      <c r="BE182" s="20">
        <v>13.186516647237543</v>
      </c>
      <c r="BF182" s="21">
        <v>0.52941176470588236</v>
      </c>
      <c r="BG182" s="21">
        <v>0.24789915966386555</v>
      </c>
      <c r="BH182" s="20">
        <v>3.9222653932154863</v>
      </c>
      <c r="BI182" s="20">
        <v>9.1519525841694698</v>
      </c>
      <c r="BJ182" s="20">
        <v>6.1071427732535337</v>
      </c>
      <c r="BK182" s="20">
        <v>7.7254362207521199</v>
      </c>
      <c r="BL182" s="20">
        <v>1.0665100147164812</v>
      </c>
      <c r="BM182" s="20">
        <v>0.77770702804119907</v>
      </c>
      <c r="BN182" s="20">
        <v>15.386588024105656</v>
      </c>
      <c r="BO182" s="22" t="s">
        <v>263</v>
      </c>
      <c r="BP182" s="22">
        <v>78000</v>
      </c>
    </row>
    <row r="183" spans="1:68" x14ac:dyDescent="0.3">
      <c r="A183" s="16" t="s">
        <v>162</v>
      </c>
      <c r="B183" s="16" t="s">
        <v>260</v>
      </c>
      <c r="C183" s="4" t="s">
        <v>369</v>
      </c>
      <c r="D183" s="10" t="s">
        <v>206</v>
      </c>
      <c r="E183" s="11">
        <v>12</v>
      </c>
      <c r="F183" s="11">
        <v>47</v>
      </c>
      <c r="G183" s="14">
        <v>29146</v>
      </c>
      <c r="H183" s="5" t="s">
        <v>368</v>
      </c>
      <c r="I183" s="18">
        <f>H183/$D183</f>
        <v>4.9210526315789478</v>
      </c>
      <c r="J183" s="6" t="s">
        <v>379</v>
      </c>
      <c r="K183" s="6" t="s">
        <v>413</v>
      </c>
      <c r="L183" s="18">
        <f>J183/$D183</f>
        <v>4.2894736842105265</v>
      </c>
      <c r="M183" s="18">
        <f>K183/$D183</f>
        <v>1.736842105263158</v>
      </c>
      <c r="N183" s="19">
        <f>K183/J183</f>
        <v>0.40490797546012269</v>
      </c>
      <c r="O183" s="14" t="s">
        <v>553</v>
      </c>
      <c r="P183" s="15" t="s">
        <v>177</v>
      </c>
      <c r="Q183" s="18">
        <f>O183/$D183</f>
        <v>1.5789473684210527</v>
      </c>
      <c r="R183" s="18">
        <f>P183/$D183</f>
        <v>0.68421052631578949</v>
      </c>
      <c r="S183" s="19">
        <f>P183/O183</f>
        <v>0.43333333333333335</v>
      </c>
      <c r="T183" s="15" t="s">
        <v>601</v>
      </c>
      <c r="U183" s="15" t="s">
        <v>301</v>
      </c>
      <c r="V183" s="18">
        <f>T183/$D183</f>
        <v>2.7105263157894739</v>
      </c>
      <c r="W183" s="18">
        <f>U183/$D183</f>
        <v>1.0526315789473684</v>
      </c>
      <c r="X183" s="19">
        <f>U183/T183</f>
        <v>0.38834951456310679</v>
      </c>
      <c r="Y183" s="15" t="s">
        <v>174</v>
      </c>
      <c r="Z183" s="15" t="s">
        <v>181</v>
      </c>
      <c r="AA183" s="18">
        <f>Y183/$D183</f>
        <v>0.63157894736842102</v>
      </c>
      <c r="AB183" s="18">
        <f>Z183/$D183</f>
        <v>0.39473684210526316</v>
      </c>
      <c r="AC183" s="19">
        <f>Z183/Y183</f>
        <v>0.625</v>
      </c>
      <c r="AD183" s="15" t="s">
        <v>218</v>
      </c>
      <c r="AE183" s="18">
        <f>AD183/$D183</f>
        <v>1.263157894736842</v>
      </c>
      <c r="AF183" s="15" t="s">
        <v>181</v>
      </c>
      <c r="AG183" s="18">
        <f>AF183/$D183</f>
        <v>0.39473684210526316</v>
      </c>
      <c r="AH183" s="15" t="s">
        <v>199</v>
      </c>
      <c r="AI183" s="18">
        <f>AH183/$D183</f>
        <v>0.86842105263157898</v>
      </c>
      <c r="AJ183" s="15" t="s">
        <v>190</v>
      </c>
      <c r="AK183" s="18">
        <f>AJ183/$D183</f>
        <v>1.236842105263158</v>
      </c>
      <c r="AL183" s="15" t="s">
        <v>207</v>
      </c>
      <c r="AM183" s="18">
        <f>AL183/$D183</f>
        <v>0.34210526315789475</v>
      </c>
      <c r="AN183" s="15" t="s">
        <v>192</v>
      </c>
      <c r="AO183" s="18">
        <f>AN183/$D183</f>
        <v>0</v>
      </c>
      <c r="AP183" s="15" t="s">
        <v>234</v>
      </c>
      <c r="AQ183" s="18">
        <f>AP183/$D183</f>
        <v>0.84210526315789469</v>
      </c>
      <c r="AR183" s="15" t="s">
        <v>233</v>
      </c>
      <c r="AS183" s="18">
        <f>AR183/$D183</f>
        <v>1.3421052631578947</v>
      </c>
      <c r="AT183" s="20">
        <v>0.77711805172106707</v>
      </c>
      <c r="AU183" s="20">
        <v>6.3991056204301136E-2</v>
      </c>
      <c r="AV183" s="20">
        <v>0.48369266314824505</v>
      </c>
      <c r="AW183" s="20">
        <v>-5.4846534893933461E-4</v>
      </c>
      <c r="AX183" s="20">
        <v>102.61990410115351</v>
      </c>
      <c r="AY183" s="20">
        <v>105.04546459130476</v>
      </c>
      <c r="AZ183" s="20">
        <v>5.0789242353240196</v>
      </c>
      <c r="BA183" s="20">
        <v>4.1315789473684212</v>
      </c>
      <c r="BB183" s="20">
        <v>12.928017566732999</v>
      </c>
      <c r="BC183" s="21">
        <v>0.53871859875547357</v>
      </c>
      <c r="BD183" s="21">
        <v>0.52760736196319014</v>
      </c>
      <c r="BE183" s="20">
        <v>14.364604541048696</v>
      </c>
      <c r="BF183" s="21">
        <v>0.63190184049079756</v>
      </c>
      <c r="BG183" s="21">
        <v>0.14723926380368099</v>
      </c>
      <c r="BH183" s="20">
        <v>2.4939487105592404</v>
      </c>
      <c r="BI183" s="20">
        <v>5.4866871632303287</v>
      </c>
      <c r="BJ183" s="20">
        <v>3.727862177828734</v>
      </c>
      <c r="BK183" s="20">
        <v>10.707573139938868</v>
      </c>
      <c r="BL183" s="20">
        <v>1.5079557299960953</v>
      </c>
      <c r="BM183" s="20">
        <v>0</v>
      </c>
      <c r="BN183" s="20">
        <v>15.567230978789647</v>
      </c>
      <c r="BO183" s="22" t="s">
        <v>263</v>
      </c>
      <c r="BP183" s="22">
        <v>50000</v>
      </c>
    </row>
    <row r="184" spans="1:68" x14ac:dyDescent="0.3">
      <c r="A184" s="16" t="s">
        <v>162</v>
      </c>
      <c r="B184" s="16" t="s">
        <v>260</v>
      </c>
      <c r="C184" s="4" t="s">
        <v>242</v>
      </c>
      <c r="D184" s="10" t="s">
        <v>201</v>
      </c>
      <c r="E184" s="11">
        <v>12</v>
      </c>
      <c r="F184" s="11">
        <v>54</v>
      </c>
      <c r="G184" s="14">
        <v>41807</v>
      </c>
      <c r="H184" s="5" t="s">
        <v>375</v>
      </c>
      <c r="I184" s="18">
        <f>H184/$D184</f>
        <v>3.1481481481481484</v>
      </c>
      <c r="J184" s="6" t="s">
        <v>382</v>
      </c>
      <c r="K184" s="6" t="s">
        <v>554</v>
      </c>
      <c r="L184" s="18">
        <f>J184/$D184</f>
        <v>2.7777777777777777</v>
      </c>
      <c r="M184" s="18">
        <f>K184/$D184</f>
        <v>1.1296296296296295</v>
      </c>
      <c r="N184" s="19">
        <f>K184/J184</f>
        <v>0.40666666666666668</v>
      </c>
      <c r="O184" s="14" t="s">
        <v>240</v>
      </c>
      <c r="P184" s="15" t="s">
        <v>175</v>
      </c>
      <c r="Q184" s="18">
        <f>O184/$D184</f>
        <v>0.85185185185185186</v>
      </c>
      <c r="R184" s="18">
        <f>P184/$D184</f>
        <v>0.3888888888888889</v>
      </c>
      <c r="S184" s="19">
        <f>P184/O184</f>
        <v>0.45652173913043476</v>
      </c>
      <c r="T184" s="15" t="s">
        <v>533</v>
      </c>
      <c r="U184" s="15" t="s">
        <v>301</v>
      </c>
      <c r="V184" s="18">
        <f>T184/$D184</f>
        <v>1.9259259259259258</v>
      </c>
      <c r="W184" s="18">
        <f>U184/$D184</f>
        <v>0.7407407407407407</v>
      </c>
      <c r="X184" s="19">
        <f>U184/T184</f>
        <v>0.38461538461538464</v>
      </c>
      <c r="Y184" s="15" t="s">
        <v>211</v>
      </c>
      <c r="Z184" s="15" t="s">
        <v>189</v>
      </c>
      <c r="AA184" s="18">
        <f>Y184/$D184</f>
        <v>0.20370370370370369</v>
      </c>
      <c r="AB184" s="18">
        <f>Z184/$D184</f>
        <v>0.14814814814814814</v>
      </c>
      <c r="AC184" s="19">
        <f>Z184/Y184</f>
        <v>0.72727272727272729</v>
      </c>
      <c r="AD184" s="15" t="s">
        <v>571</v>
      </c>
      <c r="AE184" s="18">
        <f>AD184/$D184</f>
        <v>1.4259259259259258</v>
      </c>
      <c r="AF184" s="15" t="s">
        <v>183</v>
      </c>
      <c r="AG184" s="18">
        <f>AF184/$D184</f>
        <v>0.29629629629629628</v>
      </c>
      <c r="AH184" s="15" t="s">
        <v>554</v>
      </c>
      <c r="AI184" s="18">
        <f>AH184/$D184</f>
        <v>1.1296296296296295</v>
      </c>
      <c r="AJ184" s="15" t="s">
        <v>234</v>
      </c>
      <c r="AK184" s="18">
        <f>AJ184/$D184</f>
        <v>0.59259259259259256</v>
      </c>
      <c r="AL184" s="15" t="s">
        <v>177</v>
      </c>
      <c r="AM184" s="18">
        <f>AL184/$D184</f>
        <v>0.48148148148148145</v>
      </c>
      <c r="AN184" s="15" t="s">
        <v>229</v>
      </c>
      <c r="AO184" s="18">
        <f>AN184/$D184</f>
        <v>9.2592592592592587E-2</v>
      </c>
      <c r="AP184" s="15" t="s">
        <v>173</v>
      </c>
      <c r="AQ184" s="18">
        <f>AP184/$D184</f>
        <v>0.31481481481481483</v>
      </c>
      <c r="AR184" s="15" t="s">
        <v>630</v>
      </c>
      <c r="AS184" s="18">
        <f>AR184/$D184</f>
        <v>2.1666666666666665</v>
      </c>
      <c r="AT184" s="20">
        <v>1.4684969824444685</v>
      </c>
      <c r="AU184" s="20">
        <v>8.4323685469105278E-2</v>
      </c>
      <c r="AV184" s="20">
        <v>0.89884201494775484</v>
      </c>
      <c r="AW184" s="20">
        <v>0.1734763426891931</v>
      </c>
      <c r="AX184" s="20">
        <v>110.25707425536486</v>
      </c>
      <c r="AY184" s="20">
        <v>102.37664077494607</v>
      </c>
      <c r="AZ184" s="20">
        <v>4.45650686517107</v>
      </c>
      <c r="BA184" s="20">
        <v>3.7222222222222223</v>
      </c>
      <c r="BB184" s="20">
        <v>11.541774332472006</v>
      </c>
      <c r="BC184" s="21">
        <v>0.54895375871867735</v>
      </c>
      <c r="BD184" s="21">
        <v>0.54</v>
      </c>
      <c r="BE184" s="20">
        <v>11.899637526404398</v>
      </c>
      <c r="BF184" s="21">
        <v>0.69333333333333336</v>
      </c>
      <c r="BG184" s="21">
        <v>7.3333333333333334E-2</v>
      </c>
      <c r="BH184" s="20">
        <v>2.6361531934524547</v>
      </c>
      <c r="BI184" s="20">
        <v>10.050334050037483</v>
      </c>
      <c r="BJ184" s="20">
        <v>5.9260285411387592</v>
      </c>
      <c r="BK184" s="20">
        <v>7.1340987626797459</v>
      </c>
      <c r="BL184" s="20">
        <v>2.1031140638561672</v>
      </c>
      <c r="BM184" s="20">
        <v>0.79629563271660242</v>
      </c>
      <c r="BN184" s="20">
        <v>9.8929236499068907</v>
      </c>
      <c r="BO184" s="22" t="s">
        <v>263</v>
      </c>
      <c r="BP184" s="22">
        <v>119772</v>
      </c>
    </row>
    <row r="185" spans="1:68" x14ac:dyDescent="0.3">
      <c r="A185" s="16" t="s">
        <v>162</v>
      </c>
      <c r="B185" s="16" t="s">
        <v>260</v>
      </c>
      <c r="C185" s="4" t="s">
        <v>70</v>
      </c>
      <c r="D185" s="10" t="s">
        <v>179</v>
      </c>
      <c r="E185" s="11">
        <v>12</v>
      </c>
      <c r="F185" s="11">
        <v>10</v>
      </c>
      <c r="G185" s="14">
        <v>32107</v>
      </c>
      <c r="H185" s="5" t="s">
        <v>381</v>
      </c>
      <c r="I185" s="18">
        <f>H185/$D185</f>
        <v>3.5681818181818183</v>
      </c>
      <c r="J185" s="6" t="s">
        <v>547</v>
      </c>
      <c r="K185" s="6" t="s">
        <v>217</v>
      </c>
      <c r="L185" s="18">
        <f>J185/$D185</f>
        <v>3.3409090909090908</v>
      </c>
      <c r="M185" s="18">
        <f>K185/$D185</f>
        <v>1.3181818181818181</v>
      </c>
      <c r="N185" s="19">
        <f>K185/J185</f>
        <v>0.39455782312925169</v>
      </c>
      <c r="O185" s="14" t="s">
        <v>572</v>
      </c>
      <c r="P185" s="15" t="s">
        <v>213</v>
      </c>
      <c r="Q185" s="18">
        <f>O185/$D185</f>
        <v>1.4545454545454546</v>
      </c>
      <c r="R185" s="18">
        <f>P185/$D185</f>
        <v>0.77272727272727271</v>
      </c>
      <c r="S185" s="19">
        <f>P185/O185</f>
        <v>0.53125</v>
      </c>
      <c r="T185" s="15" t="s">
        <v>539</v>
      </c>
      <c r="U185" s="15" t="s">
        <v>174</v>
      </c>
      <c r="V185" s="18">
        <f>T185/$D185</f>
        <v>1.8863636363636365</v>
      </c>
      <c r="W185" s="18">
        <f>U185/$D185</f>
        <v>0.54545454545454541</v>
      </c>
      <c r="X185" s="19">
        <f>U185/T185</f>
        <v>0.28915662650602408</v>
      </c>
      <c r="Y185" s="15" t="s">
        <v>175</v>
      </c>
      <c r="Z185" s="15" t="s">
        <v>173</v>
      </c>
      <c r="AA185" s="18">
        <f>Y185/$D185</f>
        <v>0.47727272727272729</v>
      </c>
      <c r="AB185" s="18">
        <f>Z185/$D185</f>
        <v>0.38636363636363635</v>
      </c>
      <c r="AC185" s="19">
        <f>Z185/Y185</f>
        <v>0.80952380952380953</v>
      </c>
      <c r="AD185" s="15" t="s">
        <v>620</v>
      </c>
      <c r="AE185" s="18">
        <f>AD185/$D185</f>
        <v>1.7045454545454546</v>
      </c>
      <c r="AF185" s="15" t="s">
        <v>243</v>
      </c>
      <c r="AG185" s="18">
        <f>AF185/$D185</f>
        <v>0.56818181818181823</v>
      </c>
      <c r="AH185" s="15" t="s">
        <v>223</v>
      </c>
      <c r="AI185" s="18">
        <f>AH185/$D185</f>
        <v>1.1363636363636365</v>
      </c>
      <c r="AJ185" s="15" t="s">
        <v>176</v>
      </c>
      <c r="AK185" s="18">
        <f>AJ185/$D185</f>
        <v>0.22727272727272727</v>
      </c>
      <c r="AL185" s="15" t="s">
        <v>208</v>
      </c>
      <c r="AM185" s="18">
        <f>AL185/$D185</f>
        <v>0.45454545454545453</v>
      </c>
      <c r="AN185" s="15" t="s">
        <v>226</v>
      </c>
      <c r="AO185" s="18">
        <f>AN185/$D185</f>
        <v>0.13636363636363635</v>
      </c>
      <c r="AP185" s="15" t="s">
        <v>203</v>
      </c>
      <c r="AQ185" s="18">
        <f>AP185/$D185</f>
        <v>0.20454545454545456</v>
      </c>
      <c r="AR185" s="15" t="s">
        <v>232</v>
      </c>
      <c r="AS185" s="18">
        <f>AR185/$D185</f>
        <v>1.1136363636363635</v>
      </c>
      <c r="AT185" s="20">
        <v>1.1203500732168274</v>
      </c>
      <c r="AU185" s="20">
        <v>8.3712334237870042E-2</v>
      </c>
      <c r="AV185" s="20">
        <v>0.70663660707759568</v>
      </c>
      <c r="AW185" s="20">
        <v>0.35085363139686709</v>
      </c>
      <c r="AX185" s="20">
        <v>107.30941482032577</v>
      </c>
      <c r="AY185" s="20">
        <v>102.10788630766764</v>
      </c>
      <c r="AZ185" s="20">
        <v>5.7070269146446062</v>
      </c>
      <c r="BA185" s="20">
        <v>3.7727272727272729</v>
      </c>
      <c r="BB185" s="20">
        <v>12.403486924034867</v>
      </c>
      <c r="BC185" s="21">
        <v>0.50243215565796207</v>
      </c>
      <c r="BD185" s="21">
        <v>0.47619047619047616</v>
      </c>
      <c r="BE185" s="20">
        <v>12.132289236594813</v>
      </c>
      <c r="BF185" s="21">
        <v>0.56462585034013602</v>
      </c>
      <c r="BG185" s="21">
        <v>0.14285714285714285</v>
      </c>
      <c r="BH185" s="20">
        <v>4.3672572168925514</v>
      </c>
      <c r="BI185" s="20">
        <v>8.7345144337851028</v>
      </c>
      <c r="BJ185" s="20">
        <v>6.1200134640296211</v>
      </c>
      <c r="BK185" s="20">
        <v>2.3663971603234075</v>
      </c>
      <c r="BL185" s="20">
        <v>2.1051287339048845</v>
      </c>
      <c r="BM185" s="20">
        <v>1.0131498406399728</v>
      </c>
      <c r="BN185" s="20">
        <v>5.4466230936819171</v>
      </c>
      <c r="BO185" s="22" t="s">
        <v>263</v>
      </c>
      <c r="BP185" s="22">
        <v>250000</v>
      </c>
    </row>
    <row r="186" spans="1:68" x14ac:dyDescent="0.3">
      <c r="A186" s="16" t="s">
        <v>162</v>
      </c>
      <c r="B186" s="16" t="s">
        <v>260</v>
      </c>
      <c r="C186" s="4" t="s">
        <v>144</v>
      </c>
      <c r="D186" s="5" t="s">
        <v>220</v>
      </c>
      <c r="E186" s="5">
        <v>7</v>
      </c>
      <c r="F186" s="5">
        <v>30</v>
      </c>
      <c r="G186" s="14">
        <v>18880</v>
      </c>
      <c r="H186" s="5" t="s">
        <v>405</v>
      </c>
      <c r="I186" s="18">
        <f>H186/$D186</f>
        <v>1.8571428571428572</v>
      </c>
      <c r="J186" s="6" t="s">
        <v>218</v>
      </c>
      <c r="K186" s="6" t="s">
        <v>200</v>
      </c>
      <c r="L186" s="18">
        <f>J186/$D186</f>
        <v>1.1428571428571428</v>
      </c>
      <c r="M186" s="18">
        <f>K186/$D186</f>
        <v>0.54761904761904767</v>
      </c>
      <c r="N186" s="19">
        <f>K186/J186</f>
        <v>0.47916666666666669</v>
      </c>
      <c r="O186" s="14" t="s">
        <v>172</v>
      </c>
      <c r="P186" s="15" t="s">
        <v>178</v>
      </c>
      <c r="Q186" s="18">
        <f>O186/$D186</f>
        <v>0.69047619047619047</v>
      </c>
      <c r="R186" s="18">
        <f>P186/$D186</f>
        <v>0.33333333333333331</v>
      </c>
      <c r="S186" s="19">
        <f>P186/O186</f>
        <v>0.48275862068965519</v>
      </c>
      <c r="T186" s="15" t="s">
        <v>191</v>
      </c>
      <c r="U186" s="15" t="s">
        <v>203</v>
      </c>
      <c r="V186" s="18">
        <f>T186/$D186</f>
        <v>0.45238095238095238</v>
      </c>
      <c r="W186" s="18">
        <f>U186/$D186</f>
        <v>0.21428571428571427</v>
      </c>
      <c r="X186" s="19">
        <f>U186/T186</f>
        <v>0.47368421052631576</v>
      </c>
      <c r="Y186" s="15" t="s">
        <v>172</v>
      </c>
      <c r="Z186" s="15" t="s">
        <v>200</v>
      </c>
      <c r="AA186" s="18">
        <f>Y186/$D186</f>
        <v>0.69047619047619047</v>
      </c>
      <c r="AB186" s="18">
        <f>Z186/$D186</f>
        <v>0.54761904761904767</v>
      </c>
      <c r="AC186" s="19">
        <f>Z186/Y186</f>
        <v>0.7931034482758621</v>
      </c>
      <c r="AD186" s="15" t="s">
        <v>371</v>
      </c>
      <c r="AE186" s="18">
        <f>AD186/$D186</f>
        <v>0.8571428571428571</v>
      </c>
      <c r="AF186" s="15" t="s">
        <v>207</v>
      </c>
      <c r="AG186" s="18">
        <f>AF186/$D186</f>
        <v>0.30952380952380953</v>
      </c>
      <c r="AH186" s="15" t="s">
        <v>200</v>
      </c>
      <c r="AI186" s="18">
        <f>AH186/$D186</f>
        <v>0.54761904761904767</v>
      </c>
      <c r="AJ186" s="15" t="s">
        <v>301</v>
      </c>
      <c r="AK186" s="18">
        <f>AJ186/$D186</f>
        <v>0.95238095238095233</v>
      </c>
      <c r="AL186" s="15" t="s">
        <v>203</v>
      </c>
      <c r="AM186" s="18">
        <f>AL186/$D186</f>
        <v>0.21428571428571427</v>
      </c>
      <c r="AN186" s="15" t="s">
        <v>192</v>
      </c>
      <c r="AO186" s="18">
        <f>AN186/$D186</f>
        <v>0</v>
      </c>
      <c r="AP186" s="15" t="s">
        <v>180</v>
      </c>
      <c r="AQ186" s="18">
        <f>AP186/$D186</f>
        <v>0.42857142857142855</v>
      </c>
      <c r="AR186" s="15" t="s">
        <v>371</v>
      </c>
      <c r="AS186" s="18">
        <f>AR186/$D186</f>
        <v>0.8571428571428571</v>
      </c>
      <c r="AT186" s="20">
        <v>0.88136673140998101</v>
      </c>
      <c r="AU186" s="20">
        <v>0.11191958494094997</v>
      </c>
      <c r="AV186" s="20">
        <v>0.32886819659614908</v>
      </c>
      <c r="AW186" s="20">
        <v>0.11349276365223042</v>
      </c>
      <c r="AX186" s="20">
        <v>120.42758594358298</v>
      </c>
      <c r="AY186" s="20">
        <v>104.60794344450525</v>
      </c>
      <c r="AZ186" s="20">
        <v>5.5822263472786009</v>
      </c>
      <c r="BA186" s="20">
        <v>2.7142857142857144</v>
      </c>
      <c r="BB186" s="20">
        <v>14.476190476190476</v>
      </c>
      <c r="BC186" s="21">
        <v>0.64186965108624094</v>
      </c>
      <c r="BD186" s="21">
        <v>0.57291666666666663</v>
      </c>
      <c r="BE186" s="20">
        <v>9.380880916648799</v>
      </c>
      <c r="BF186" s="21">
        <v>0.39583333333333331</v>
      </c>
      <c r="BG186" s="21">
        <v>0.60416666666666663</v>
      </c>
      <c r="BH186" s="20">
        <v>3.6840240878498047</v>
      </c>
      <c r="BI186" s="20">
        <v>6.5178887708111937</v>
      </c>
      <c r="BJ186" s="20">
        <v>4.7654504839910645</v>
      </c>
      <c r="BK186" s="20">
        <v>14.638609332113449</v>
      </c>
      <c r="BL186" s="20">
        <v>1.6099222603101166</v>
      </c>
      <c r="BM186" s="20">
        <v>0</v>
      </c>
      <c r="BN186" s="20">
        <v>22.854240731335707</v>
      </c>
      <c r="BO186" s="22" t="s">
        <v>263</v>
      </c>
      <c r="BP186" s="22"/>
    </row>
    <row r="187" spans="1:68" x14ac:dyDescent="0.3">
      <c r="A187" s="16" t="s">
        <v>162</v>
      </c>
      <c r="B187" s="16" t="s">
        <v>260</v>
      </c>
      <c r="C187" s="4" t="s">
        <v>241</v>
      </c>
      <c r="D187" s="7" t="s">
        <v>182</v>
      </c>
      <c r="E187" s="7">
        <v>7</v>
      </c>
      <c r="F187" s="7">
        <v>44</v>
      </c>
      <c r="G187" s="14">
        <v>12529</v>
      </c>
      <c r="H187" s="5" t="s">
        <v>223</v>
      </c>
      <c r="I187" s="18">
        <f>H187/$D187</f>
        <v>1.8518518518518519</v>
      </c>
      <c r="J187" s="6" t="s">
        <v>412</v>
      </c>
      <c r="K187" s="6" t="s">
        <v>183</v>
      </c>
      <c r="L187" s="18">
        <f>J187/$D187</f>
        <v>2.5555555555555554</v>
      </c>
      <c r="M187" s="18">
        <f>K187/$D187</f>
        <v>0.59259259259259256</v>
      </c>
      <c r="N187" s="19">
        <f>K187/J187</f>
        <v>0.2318840579710145</v>
      </c>
      <c r="O187" s="14" t="s">
        <v>173</v>
      </c>
      <c r="P187" s="15" t="s">
        <v>193</v>
      </c>
      <c r="Q187" s="18">
        <f>O187/$D187</f>
        <v>0.62962962962962965</v>
      </c>
      <c r="R187" s="18">
        <f>P187/$D187</f>
        <v>0.1111111111111111</v>
      </c>
      <c r="S187" s="19">
        <f>P187/O187</f>
        <v>0.17647058823529413</v>
      </c>
      <c r="T187" s="15" t="s">
        <v>209</v>
      </c>
      <c r="U187" s="15" t="s">
        <v>207</v>
      </c>
      <c r="V187" s="18">
        <f>T187/$D187</f>
        <v>1.9259259259259258</v>
      </c>
      <c r="W187" s="18">
        <f>U187/$D187</f>
        <v>0.48148148148148145</v>
      </c>
      <c r="X187" s="19">
        <f>U187/T187</f>
        <v>0.25</v>
      </c>
      <c r="Y187" s="15" t="s">
        <v>203</v>
      </c>
      <c r="Z187" s="15" t="s">
        <v>229</v>
      </c>
      <c r="AA187" s="18">
        <f>Y187/$D187</f>
        <v>0.33333333333333331</v>
      </c>
      <c r="AB187" s="18">
        <f>Z187/$D187</f>
        <v>0.18518518518518517</v>
      </c>
      <c r="AC187" s="19">
        <f>Z187/Y187</f>
        <v>0.55555555555555558</v>
      </c>
      <c r="AD187" s="15" t="s">
        <v>206</v>
      </c>
      <c r="AE187" s="18">
        <f>AD187/$D187</f>
        <v>1.4074074074074074</v>
      </c>
      <c r="AF187" s="15" t="s">
        <v>187</v>
      </c>
      <c r="AG187" s="18">
        <f>AF187/$D187</f>
        <v>0.25925925925925924</v>
      </c>
      <c r="AH187" s="15" t="s">
        <v>171</v>
      </c>
      <c r="AI187" s="18">
        <f>AH187/$D187</f>
        <v>1.1481481481481481</v>
      </c>
      <c r="AJ187" s="15" t="s">
        <v>229</v>
      </c>
      <c r="AK187" s="18">
        <f>AJ187/$D187</f>
        <v>0.18518518518518517</v>
      </c>
      <c r="AL187" s="15" t="s">
        <v>193</v>
      </c>
      <c r="AM187" s="18">
        <f>AL187/$D187</f>
        <v>0.1111111111111111</v>
      </c>
      <c r="AN187" s="15" t="s">
        <v>184</v>
      </c>
      <c r="AO187" s="18">
        <f>AN187/$D187</f>
        <v>0.14814814814814814</v>
      </c>
      <c r="AP187" s="15" t="s">
        <v>229</v>
      </c>
      <c r="AQ187" s="18">
        <f>AP187/$D187</f>
        <v>0.18518518518518517</v>
      </c>
      <c r="AR187" s="15" t="s">
        <v>234</v>
      </c>
      <c r="AS187" s="18">
        <f>AR187/$D187</f>
        <v>1.1851851851851851</v>
      </c>
      <c r="AT187" s="20">
        <v>-9.0144092924412167E-2</v>
      </c>
      <c r="AU187" s="20">
        <v>-1.7268983318852904E-2</v>
      </c>
      <c r="AV187" s="20">
        <v>0.27182787325494817</v>
      </c>
      <c r="AW187" s="20">
        <v>3.3897753118826359E-3</v>
      </c>
      <c r="AX187" s="20">
        <v>78.114066394982146</v>
      </c>
      <c r="AY187" s="20">
        <v>102.2721849726175</v>
      </c>
      <c r="AZ187" s="20">
        <v>0.15816597138134425</v>
      </c>
      <c r="BA187" s="20">
        <v>1.4074074074074074</v>
      </c>
      <c r="BB187" s="20">
        <v>7.2796934865900376</v>
      </c>
      <c r="BC187" s="21">
        <v>0.34265350877192985</v>
      </c>
      <c r="BD187" s="21">
        <v>0.32608695652173914</v>
      </c>
      <c r="BE187" s="20">
        <v>9.0054263584994452</v>
      </c>
      <c r="BF187" s="21">
        <v>0.75362318840579712</v>
      </c>
      <c r="BG187" s="21">
        <v>0.13043478260869565</v>
      </c>
      <c r="BH187" s="20">
        <v>1.923852101579391</v>
      </c>
      <c r="BI187" s="20">
        <v>8.5199164498515891</v>
      </c>
      <c r="BJ187" s="20">
        <v>4.8784245256374046</v>
      </c>
      <c r="BK187" s="20">
        <v>1.7273146015660987</v>
      </c>
      <c r="BL187" s="20">
        <v>0.80958734354675399</v>
      </c>
      <c r="BM187" s="20">
        <v>1.0626427926252591</v>
      </c>
      <c r="BN187" s="20">
        <v>6.4135454079014886</v>
      </c>
      <c r="BO187" s="22" t="s">
        <v>263</v>
      </c>
      <c r="BP187" s="22">
        <v>270000</v>
      </c>
    </row>
    <row r="188" spans="1:68" x14ac:dyDescent="0.3">
      <c r="A188" s="16" t="s">
        <v>162</v>
      </c>
      <c r="B188" s="16" t="s">
        <v>260</v>
      </c>
      <c r="C188" s="4" t="s">
        <v>418</v>
      </c>
      <c r="D188" s="10" t="s">
        <v>226</v>
      </c>
      <c r="E188" s="11">
        <v>13</v>
      </c>
      <c r="F188" s="11">
        <v>26</v>
      </c>
      <c r="G188" s="14">
        <v>4836</v>
      </c>
      <c r="H188" s="5" t="s">
        <v>218</v>
      </c>
      <c r="I188" s="18">
        <f>H188/$D188</f>
        <v>8</v>
      </c>
      <c r="J188" s="6" t="s">
        <v>240</v>
      </c>
      <c r="K188" s="6" t="s">
        <v>191</v>
      </c>
      <c r="L188" s="18">
        <f>J188/$D188</f>
        <v>7.666666666666667</v>
      </c>
      <c r="M188" s="18">
        <f>K188/$D188</f>
        <v>3.1666666666666665</v>
      </c>
      <c r="N188" s="19">
        <f>K188/J188</f>
        <v>0.41304347826086957</v>
      </c>
      <c r="O188" s="14" t="s">
        <v>200</v>
      </c>
      <c r="P188" s="15" t="s">
        <v>185</v>
      </c>
      <c r="Q188" s="18">
        <f>O188/$D188</f>
        <v>3.8333333333333335</v>
      </c>
      <c r="R188" s="18">
        <f>P188/$D188</f>
        <v>2</v>
      </c>
      <c r="S188" s="19">
        <f>P188/O188</f>
        <v>0.52173913043478259</v>
      </c>
      <c r="T188" s="15" t="s">
        <v>200</v>
      </c>
      <c r="U188" s="15" t="s">
        <v>187</v>
      </c>
      <c r="V188" s="18">
        <f>T188/$D188</f>
        <v>3.8333333333333335</v>
      </c>
      <c r="W188" s="18">
        <f>U188/$D188</f>
        <v>1.1666666666666667</v>
      </c>
      <c r="X188" s="19">
        <f>U188/T188</f>
        <v>0.30434782608695654</v>
      </c>
      <c r="Y188" s="15" t="s">
        <v>184</v>
      </c>
      <c r="Z188" s="15" t="s">
        <v>193</v>
      </c>
      <c r="AA188" s="18">
        <f>Y188/$D188</f>
        <v>0.66666666666666663</v>
      </c>
      <c r="AB188" s="18">
        <f>Z188/$D188</f>
        <v>0.5</v>
      </c>
      <c r="AC188" s="19">
        <f>Z188/Y188</f>
        <v>0.75</v>
      </c>
      <c r="AD188" s="15" t="s">
        <v>182</v>
      </c>
      <c r="AE188" s="18">
        <f>AD188/$D188</f>
        <v>4.5</v>
      </c>
      <c r="AF188" s="15" t="s">
        <v>187</v>
      </c>
      <c r="AG188" s="18">
        <f>AF188/$D188</f>
        <v>1.1666666666666667</v>
      </c>
      <c r="AH188" s="15" t="s">
        <v>208</v>
      </c>
      <c r="AI188" s="18">
        <f>AH188/$D188</f>
        <v>3.3333333333333335</v>
      </c>
      <c r="AJ188" s="15" t="s">
        <v>193</v>
      </c>
      <c r="AK188" s="18">
        <f>AJ188/$D188</f>
        <v>0.5</v>
      </c>
      <c r="AL188" s="15" t="s">
        <v>193</v>
      </c>
      <c r="AM188" s="18">
        <f>AL188/$D188</f>
        <v>0.5</v>
      </c>
      <c r="AN188" s="15" t="s">
        <v>192</v>
      </c>
      <c r="AO188" s="18">
        <f>AN188/$D188</f>
        <v>0</v>
      </c>
      <c r="AP188" s="15" t="s">
        <v>229</v>
      </c>
      <c r="AQ188" s="18">
        <f>AP188/$D188</f>
        <v>0.83333333333333337</v>
      </c>
      <c r="AR188" s="15" t="s">
        <v>187</v>
      </c>
      <c r="AS188" s="18">
        <f>AR188/$D188</f>
        <v>1.1666666666666667</v>
      </c>
      <c r="AT188" s="20">
        <v>0.16365135874740872</v>
      </c>
      <c r="AU188" s="20">
        <v>8.1216555209632113E-2</v>
      </c>
      <c r="AV188" s="20">
        <v>0.15031675233329109</v>
      </c>
      <c r="AW188" s="20">
        <v>0.56710970861199417</v>
      </c>
      <c r="AX188" s="20">
        <v>98.202948087676404</v>
      </c>
      <c r="AY188" s="20">
        <v>97.170795636015356</v>
      </c>
      <c r="AZ188" s="20">
        <v>1.5200667090308657</v>
      </c>
      <c r="BA188" s="20">
        <v>8</v>
      </c>
      <c r="BB188" s="20">
        <v>23.821339950372213</v>
      </c>
      <c r="BC188" s="21">
        <v>0.50251256281407042</v>
      </c>
      <c r="BD188" s="21">
        <v>0.4891304347826087</v>
      </c>
      <c r="BE188" s="20">
        <v>3.5084894450060902</v>
      </c>
      <c r="BF188" s="21">
        <v>0.5</v>
      </c>
      <c r="BG188" s="21">
        <v>8.6956521739130432E-2</v>
      </c>
      <c r="BH188" s="20">
        <v>1.1075277607107163</v>
      </c>
      <c r="BI188" s="20">
        <v>3.1643650306020468</v>
      </c>
      <c r="BJ188" s="20">
        <v>1.9954584843014693</v>
      </c>
      <c r="BK188" s="20">
        <v>0.5863765188780663</v>
      </c>
      <c r="BL188" s="20">
        <v>2.0972932671533782</v>
      </c>
      <c r="BM188" s="20">
        <v>0</v>
      </c>
      <c r="BN188" s="20">
        <v>9.4768764215314629</v>
      </c>
      <c r="BO188" s="22" t="s">
        <v>265</v>
      </c>
      <c r="BP188" s="22">
        <v>360000</v>
      </c>
    </row>
    <row r="189" spans="1:68" x14ac:dyDescent="0.3">
      <c r="A189" s="16" t="s">
        <v>162</v>
      </c>
      <c r="B189" s="16" t="s">
        <v>260</v>
      </c>
      <c r="C189" s="4" t="s">
        <v>138</v>
      </c>
      <c r="D189" s="5" t="s">
        <v>177</v>
      </c>
      <c r="E189" s="7">
        <v>4</v>
      </c>
      <c r="F189" s="7">
        <v>54</v>
      </c>
      <c r="G189" s="14">
        <v>7631</v>
      </c>
      <c r="H189" s="5" t="s">
        <v>202</v>
      </c>
      <c r="I189" s="18">
        <f>H189/$D189</f>
        <v>1.1538461538461537</v>
      </c>
      <c r="J189" s="6" t="s">
        <v>190</v>
      </c>
      <c r="K189" s="6" t="s">
        <v>185</v>
      </c>
      <c r="L189" s="18">
        <f>J189/$D189</f>
        <v>1.8076923076923077</v>
      </c>
      <c r="M189" s="18">
        <f>K189/$D189</f>
        <v>0.46153846153846156</v>
      </c>
      <c r="N189" s="19">
        <f>K189/J189</f>
        <v>0.25531914893617019</v>
      </c>
      <c r="O189" s="14" t="s">
        <v>186</v>
      </c>
      <c r="P189" s="15" t="s">
        <v>176</v>
      </c>
      <c r="Q189" s="18">
        <f>O189/$D189</f>
        <v>1.5</v>
      </c>
      <c r="R189" s="18">
        <f>P189/$D189</f>
        <v>0.38461538461538464</v>
      </c>
      <c r="S189" s="19">
        <f>P189/O189</f>
        <v>0.25641025641025639</v>
      </c>
      <c r="T189" s="15" t="s">
        <v>189</v>
      </c>
      <c r="U189" s="15" t="s">
        <v>194</v>
      </c>
      <c r="V189" s="18">
        <f>T189/$D189</f>
        <v>0.30769230769230771</v>
      </c>
      <c r="W189" s="18">
        <f>U189/$D189</f>
        <v>7.6923076923076927E-2</v>
      </c>
      <c r="X189" s="19">
        <f>U189/T189</f>
        <v>0.25</v>
      </c>
      <c r="Y189" s="15" t="s">
        <v>229</v>
      </c>
      <c r="Z189" s="15" t="s">
        <v>184</v>
      </c>
      <c r="AA189" s="18">
        <f>Y189/$D189</f>
        <v>0.19230769230769232</v>
      </c>
      <c r="AB189" s="18">
        <f>Z189/$D189</f>
        <v>0.15384615384615385</v>
      </c>
      <c r="AC189" s="19">
        <f>Z189/Y189</f>
        <v>0.8</v>
      </c>
      <c r="AD189" s="15" t="s">
        <v>170</v>
      </c>
      <c r="AE189" s="18">
        <f>AD189/$D189</f>
        <v>1.0769230769230769</v>
      </c>
      <c r="AF189" s="15" t="s">
        <v>203</v>
      </c>
      <c r="AG189" s="18">
        <f>AF189/$D189</f>
        <v>0.34615384615384615</v>
      </c>
      <c r="AH189" s="15" t="s">
        <v>191</v>
      </c>
      <c r="AI189" s="18">
        <f>AH189/$D189</f>
        <v>0.73076923076923073</v>
      </c>
      <c r="AJ189" s="15" t="s">
        <v>229</v>
      </c>
      <c r="AK189" s="18">
        <f>AJ189/$D189</f>
        <v>0.19230769230769232</v>
      </c>
      <c r="AL189" s="15" t="s">
        <v>226</v>
      </c>
      <c r="AM189" s="18">
        <f>AL189/$D189</f>
        <v>0.23076923076923078</v>
      </c>
      <c r="AN189" s="15" t="s">
        <v>231</v>
      </c>
      <c r="AO189" s="18">
        <f>AN189/$D189</f>
        <v>3.8461538461538464E-2</v>
      </c>
      <c r="AP189" s="15" t="s">
        <v>207</v>
      </c>
      <c r="AQ189" s="18">
        <f>AP189/$D189</f>
        <v>0.5</v>
      </c>
      <c r="AR189" s="15" t="s">
        <v>182</v>
      </c>
      <c r="AS189" s="18">
        <f>AR189/$D189</f>
        <v>1.0384615384615385</v>
      </c>
      <c r="AT189" s="20">
        <v>-0.34954452147362436</v>
      </c>
      <c r="AU189" s="20">
        <v>-0.10974710250349273</v>
      </c>
      <c r="AV189" s="20">
        <v>0.21561105036020201</v>
      </c>
      <c r="AW189" s="20">
        <v>7.2853296331616239E-3</v>
      </c>
      <c r="AX189" s="20">
        <v>62.595579856711801</v>
      </c>
      <c r="AY189" s="20">
        <v>98.734218316824354</v>
      </c>
      <c r="AZ189" s="20">
        <v>-1.3855969246443771</v>
      </c>
      <c r="BA189" s="20">
        <v>0.80769230769230771</v>
      </c>
      <c r="BB189" s="20">
        <v>6.5934065934065931</v>
      </c>
      <c r="BC189" s="21">
        <v>0.3048780487804878</v>
      </c>
      <c r="BD189" s="21">
        <v>0.27659574468085107</v>
      </c>
      <c r="BE189" s="20">
        <v>11.339488986475743</v>
      </c>
      <c r="BF189" s="21">
        <v>0.1702127659574468</v>
      </c>
      <c r="BG189" s="21">
        <v>0.10638297872340426</v>
      </c>
      <c r="BH189" s="20">
        <v>3.9037931857121171</v>
      </c>
      <c r="BI189" s="20">
        <v>8.2413411698366907</v>
      </c>
      <c r="BJ189" s="20">
        <v>5.6731553380846007</v>
      </c>
      <c r="BK189" s="20">
        <v>2.7540622418066651</v>
      </c>
      <c r="BL189" s="20">
        <v>2.6537180115001933</v>
      </c>
      <c r="BM189" s="20">
        <v>0.419274027022211</v>
      </c>
      <c r="BN189" s="20">
        <v>20.90032154340836</v>
      </c>
      <c r="BO189" s="22" t="s">
        <v>263</v>
      </c>
      <c r="BP189" s="22">
        <v>60000</v>
      </c>
    </row>
    <row r="190" spans="1:68" x14ac:dyDescent="0.3">
      <c r="A190" s="16" t="s">
        <v>162</v>
      </c>
      <c r="B190" s="16" t="s">
        <v>260</v>
      </c>
      <c r="C190" s="4" t="s">
        <v>159</v>
      </c>
      <c r="D190" s="5" t="s">
        <v>207</v>
      </c>
      <c r="E190" s="7">
        <v>8</v>
      </c>
      <c r="F190" s="7">
        <v>29</v>
      </c>
      <c r="G190" s="14">
        <v>6615</v>
      </c>
      <c r="H190" s="5" t="s">
        <v>172</v>
      </c>
      <c r="I190" s="18">
        <f>H190/$D190</f>
        <v>2.2307692307692308</v>
      </c>
      <c r="J190" s="6" t="s">
        <v>371</v>
      </c>
      <c r="K190" s="6" t="s">
        <v>203</v>
      </c>
      <c r="L190" s="18">
        <f>J190/$D190</f>
        <v>2.7692307692307692</v>
      </c>
      <c r="M190" s="18">
        <f>K190/$D190</f>
        <v>0.69230769230769229</v>
      </c>
      <c r="N190" s="19">
        <f>K190/J190</f>
        <v>0.25</v>
      </c>
      <c r="O190" s="14" t="s">
        <v>185</v>
      </c>
      <c r="P190" s="15" t="s">
        <v>194</v>
      </c>
      <c r="Q190" s="18">
        <f>O190/$D190</f>
        <v>0.92307692307692313</v>
      </c>
      <c r="R190" s="18">
        <f>P190/$D190</f>
        <v>0.15384615384615385</v>
      </c>
      <c r="S190" s="19">
        <f>P190/O190</f>
        <v>0.16666666666666666</v>
      </c>
      <c r="T190" s="15" t="s">
        <v>174</v>
      </c>
      <c r="U190" s="15" t="s">
        <v>187</v>
      </c>
      <c r="V190" s="18">
        <f>T190/$D190</f>
        <v>1.8461538461538463</v>
      </c>
      <c r="W190" s="18">
        <f>U190/$D190</f>
        <v>0.53846153846153844</v>
      </c>
      <c r="X190" s="19">
        <f>U190/T190</f>
        <v>0.29166666666666669</v>
      </c>
      <c r="Y190" s="15" t="s">
        <v>187</v>
      </c>
      <c r="Z190" s="15" t="s">
        <v>184</v>
      </c>
      <c r="AA190" s="18">
        <f>Y190/$D190</f>
        <v>0.53846153846153844</v>
      </c>
      <c r="AB190" s="18">
        <f>Z190/$D190</f>
        <v>0.30769230769230771</v>
      </c>
      <c r="AC190" s="19">
        <f>Z190/Y190</f>
        <v>0.5714285714285714</v>
      </c>
      <c r="AD190" s="15" t="s">
        <v>181</v>
      </c>
      <c r="AE190" s="18">
        <f>AD190/$D190</f>
        <v>1.1538461538461537</v>
      </c>
      <c r="AF190" s="15" t="s">
        <v>194</v>
      </c>
      <c r="AG190" s="18">
        <f>AF190/$D190</f>
        <v>0.15384615384615385</v>
      </c>
      <c r="AH190" s="15" t="s">
        <v>207</v>
      </c>
      <c r="AI190" s="18">
        <f>AH190/$D190</f>
        <v>1</v>
      </c>
      <c r="AJ190" s="15" t="s">
        <v>193</v>
      </c>
      <c r="AK190" s="18">
        <f>AJ190/$D190</f>
        <v>0.23076923076923078</v>
      </c>
      <c r="AL190" s="15" t="s">
        <v>231</v>
      </c>
      <c r="AM190" s="18">
        <f>AL190/$D190</f>
        <v>7.6923076923076927E-2</v>
      </c>
      <c r="AN190" s="15" t="s">
        <v>192</v>
      </c>
      <c r="AO190" s="18">
        <f>AN190/$D190</f>
        <v>0</v>
      </c>
      <c r="AP190" s="15" t="s">
        <v>226</v>
      </c>
      <c r="AQ190" s="18">
        <f>AP190/$D190</f>
        <v>0.46153846153846156</v>
      </c>
      <c r="AR190" s="15" t="s">
        <v>226</v>
      </c>
      <c r="AS190" s="18">
        <f>AR190/$D190</f>
        <v>0.46153846153846156</v>
      </c>
      <c r="AT190" s="20">
        <v>-0.15278184106822501</v>
      </c>
      <c r="AU190" s="20">
        <v>-5.5414299314453686E-2</v>
      </c>
      <c r="AV190" s="20">
        <v>0.10363380178050376</v>
      </c>
      <c r="AW190" s="20">
        <v>-0.12481771910335344</v>
      </c>
      <c r="AX190" s="20">
        <v>74.133483897651658</v>
      </c>
      <c r="AY190" s="20">
        <v>105.55301246004608</v>
      </c>
      <c r="AZ190" s="20">
        <v>0.14861006967777377</v>
      </c>
      <c r="BA190" s="20">
        <v>0.92307692307692313</v>
      </c>
      <c r="BB190" s="20">
        <v>4.3524255705002268</v>
      </c>
      <c r="BC190" s="21">
        <v>0.37103377686796318</v>
      </c>
      <c r="BD190" s="21">
        <v>0.34722222222222221</v>
      </c>
      <c r="BE190" s="20">
        <v>4.7469707348762782</v>
      </c>
      <c r="BF190" s="21">
        <v>0.66666666666666663</v>
      </c>
      <c r="BG190" s="21">
        <v>0.19444444444444445</v>
      </c>
      <c r="BH190" s="20">
        <v>0.50107627007175837</v>
      </c>
      <c r="BI190" s="20">
        <v>3.2569957554664288</v>
      </c>
      <c r="BJ190" s="20">
        <v>1.7554459052029954</v>
      </c>
      <c r="BK190" s="20">
        <v>0.91998671130305887</v>
      </c>
      <c r="BL190" s="20">
        <v>0.51093195506290534</v>
      </c>
      <c r="BM190" s="20">
        <v>0</v>
      </c>
      <c r="BN190" s="20">
        <v>13.309671694764862</v>
      </c>
      <c r="BO190" s="22" t="s">
        <v>263</v>
      </c>
      <c r="BP190" s="22">
        <v>45000</v>
      </c>
    </row>
    <row r="191" spans="1:68" x14ac:dyDescent="0.3">
      <c r="A191" s="16" t="s">
        <v>162</v>
      </c>
      <c r="B191" s="16" t="s">
        <v>260</v>
      </c>
      <c r="C191" s="4" t="s">
        <v>429</v>
      </c>
      <c r="D191" s="5" t="s">
        <v>193</v>
      </c>
      <c r="E191" s="7">
        <v>3</v>
      </c>
      <c r="F191" s="7">
        <v>20</v>
      </c>
      <c r="G191" s="14">
        <v>600</v>
      </c>
      <c r="H191" s="5" t="s">
        <v>229</v>
      </c>
      <c r="I191" s="18">
        <f>H191/$D191</f>
        <v>1.6666666666666667</v>
      </c>
      <c r="J191" s="6" t="s">
        <v>193</v>
      </c>
      <c r="K191" s="6" t="s">
        <v>194</v>
      </c>
      <c r="L191" s="18">
        <f>J191/$D191</f>
        <v>1</v>
      </c>
      <c r="M191" s="18">
        <f>K191/$D191</f>
        <v>0.66666666666666663</v>
      </c>
      <c r="N191" s="19">
        <f>K191/J191</f>
        <v>0.66666666666666663</v>
      </c>
      <c r="O191" s="14" t="s">
        <v>231</v>
      </c>
      <c r="P191" s="15" t="s">
        <v>231</v>
      </c>
      <c r="Q191" s="18">
        <f>O191/$D191</f>
        <v>0.33333333333333331</v>
      </c>
      <c r="R191" s="18">
        <f>P191/$D191</f>
        <v>0.33333333333333331</v>
      </c>
      <c r="S191" s="19">
        <f>P191/O191</f>
        <v>1</v>
      </c>
      <c r="T191" s="15" t="s">
        <v>194</v>
      </c>
      <c r="U191" s="15" t="s">
        <v>231</v>
      </c>
      <c r="V191" s="18">
        <f>T191/$D191</f>
        <v>0.66666666666666663</v>
      </c>
      <c r="W191" s="18">
        <f>U191/$D191</f>
        <v>0.33333333333333331</v>
      </c>
      <c r="X191" s="19">
        <f>U191/T191</f>
        <v>0.5</v>
      </c>
      <c r="Y191" s="15" t="s">
        <v>192</v>
      </c>
      <c r="Z191" s="15" t="s">
        <v>192</v>
      </c>
      <c r="AA191" s="18">
        <f>Y191/$D191</f>
        <v>0</v>
      </c>
      <c r="AB191" s="18">
        <f>Z191/$D191</f>
        <v>0</v>
      </c>
      <c r="AC191" s="19" t="e">
        <f>Z191/Y191</f>
        <v>#DIV/0!</v>
      </c>
      <c r="AD191" s="15" t="s">
        <v>192</v>
      </c>
      <c r="AE191" s="18">
        <f>AD191/$D191</f>
        <v>0</v>
      </c>
      <c r="AF191" s="15" t="s">
        <v>192</v>
      </c>
      <c r="AG191" s="18">
        <f>AF191/$D191</f>
        <v>0</v>
      </c>
      <c r="AH191" s="15" t="s">
        <v>192</v>
      </c>
      <c r="AI191" s="18">
        <f>AH191/$D191</f>
        <v>0</v>
      </c>
      <c r="AJ191" s="15" t="s">
        <v>231</v>
      </c>
      <c r="AK191" s="18">
        <f>AJ191/$D191</f>
        <v>0.33333333333333331</v>
      </c>
      <c r="AL191" s="15" t="s">
        <v>192</v>
      </c>
      <c r="AM191" s="18">
        <f>AL191/$D191</f>
        <v>0</v>
      </c>
      <c r="AN191" s="15" t="s">
        <v>192</v>
      </c>
      <c r="AO191" s="18">
        <f>AN191/$D191</f>
        <v>0</v>
      </c>
      <c r="AP191" s="15" t="s">
        <v>193</v>
      </c>
      <c r="AQ191" s="18">
        <f>AP191/$D191</f>
        <v>1</v>
      </c>
      <c r="AR191" s="15" t="s">
        <v>193</v>
      </c>
      <c r="AS191" s="18">
        <f>AR191/$D191</f>
        <v>1</v>
      </c>
      <c r="AT191" s="20">
        <v>-3.6248274694844144E-2</v>
      </c>
      <c r="AU191" s="20">
        <v>-0.14499309877937658</v>
      </c>
      <c r="AV191" s="20">
        <v>4.1075674859092064E-3</v>
      </c>
      <c r="AW191" s="20">
        <v>5.8734069244036069E-3</v>
      </c>
      <c r="AX191" s="20">
        <v>72.31361746388815</v>
      </c>
      <c r="AY191" s="20">
        <v>110.34488186808007</v>
      </c>
      <c r="AZ191" s="20">
        <v>-0.16167438552312821</v>
      </c>
      <c r="BA191" s="20">
        <v>0.66666666666666663</v>
      </c>
      <c r="BB191" s="20">
        <v>8</v>
      </c>
      <c r="BC191" s="21">
        <v>0.83333333333333337</v>
      </c>
      <c r="BD191" s="21">
        <v>0.83333333333333337</v>
      </c>
      <c r="BE191" s="20">
        <v>1.6079468305581361</v>
      </c>
      <c r="BF191" s="21">
        <v>0.66666666666666663</v>
      </c>
      <c r="BG191" s="21">
        <v>0</v>
      </c>
      <c r="BH191" s="20">
        <v>0</v>
      </c>
      <c r="BI191" s="20">
        <v>0</v>
      </c>
      <c r="BJ191" s="20">
        <v>0</v>
      </c>
      <c r="BK191" s="20">
        <v>0.77120822622107976</v>
      </c>
      <c r="BL191" s="20">
        <v>0</v>
      </c>
      <c r="BM191" s="20">
        <v>0</v>
      </c>
      <c r="BN191" s="20">
        <v>50</v>
      </c>
      <c r="BO191" s="22" t="s">
        <v>263</v>
      </c>
      <c r="BP191" s="22"/>
    </row>
    <row r="192" spans="1:68" x14ac:dyDescent="0.3">
      <c r="A192" s="16" t="s">
        <v>162</v>
      </c>
      <c r="B192" s="16" t="s">
        <v>260</v>
      </c>
      <c r="C192" s="4" t="s">
        <v>161</v>
      </c>
      <c r="D192" s="5" t="s">
        <v>184</v>
      </c>
      <c r="E192" s="7">
        <v>3</v>
      </c>
      <c r="F192" s="7">
        <v>17</v>
      </c>
      <c r="G192" s="14">
        <v>787</v>
      </c>
      <c r="H192" s="5" t="s">
        <v>229</v>
      </c>
      <c r="I192" s="18">
        <f>H192/$D192</f>
        <v>1.25</v>
      </c>
      <c r="J192" s="6" t="s">
        <v>193</v>
      </c>
      <c r="K192" s="6" t="s">
        <v>194</v>
      </c>
      <c r="L192" s="18">
        <f>J192/$D192</f>
        <v>0.75</v>
      </c>
      <c r="M192" s="18">
        <f>K192/$D192</f>
        <v>0.5</v>
      </c>
      <c r="N192" s="19">
        <f>K192/J192</f>
        <v>0.66666666666666663</v>
      </c>
      <c r="O192" s="14" t="s">
        <v>231</v>
      </c>
      <c r="P192" s="15" t="s">
        <v>231</v>
      </c>
      <c r="Q192" s="18">
        <f>O192/$D192</f>
        <v>0.25</v>
      </c>
      <c r="R192" s="18">
        <f>P192/$D192</f>
        <v>0.25</v>
      </c>
      <c r="S192" s="19">
        <f>P192/O192</f>
        <v>1</v>
      </c>
      <c r="T192" s="15" t="s">
        <v>194</v>
      </c>
      <c r="U192" s="15" t="s">
        <v>231</v>
      </c>
      <c r="V192" s="18">
        <f>T192/$D192</f>
        <v>0.5</v>
      </c>
      <c r="W192" s="18">
        <f>U192/$D192</f>
        <v>0.25</v>
      </c>
      <c r="X192" s="19">
        <f>U192/T192</f>
        <v>0.5</v>
      </c>
      <c r="Y192" s="15" t="s">
        <v>192</v>
      </c>
      <c r="Z192" s="15" t="s">
        <v>192</v>
      </c>
      <c r="AA192" s="18">
        <f>Y192/$D192</f>
        <v>0</v>
      </c>
      <c r="AB192" s="18">
        <f>Z192/$D192</f>
        <v>0</v>
      </c>
      <c r="AC192" s="19" t="e">
        <f>Z192/Y192</f>
        <v>#DIV/0!</v>
      </c>
      <c r="AD192" s="15" t="s">
        <v>192</v>
      </c>
      <c r="AE192" s="18">
        <f>AD192/$D192</f>
        <v>0</v>
      </c>
      <c r="AF192" s="15" t="s">
        <v>192</v>
      </c>
      <c r="AG192" s="18">
        <f>AF192/$D192</f>
        <v>0</v>
      </c>
      <c r="AH192" s="15" t="s">
        <v>192</v>
      </c>
      <c r="AI192" s="18">
        <f>AH192/$D192</f>
        <v>0</v>
      </c>
      <c r="AJ192" s="15" t="s">
        <v>192</v>
      </c>
      <c r="AK192" s="18">
        <f>AJ192/$D192</f>
        <v>0</v>
      </c>
      <c r="AL192" s="15" t="s">
        <v>231</v>
      </c>
      <c r="AM192" s="18">
        <f>AL192/$D192</f>
        <v>0.25</v>
      </c>
      <c r="AN192" s="15" t="s">
        <v>192</v>
      </c>
      <c r="AO192" s="18">
        <f>AN192/$D192</f>
        <v>0</v>
      </c>
      <c r="AP192" s="15" t="s">
        <v>192</v>
      </c>
      <c r="AQ192" s="18">
        <f>AP192/$D192</f>
        <v>0</v>
      </c>
      <c r="AR192" s="15" t="s">
        <v>229</v>
      </c>
      <c r="AS192" s="18">
        <f>AR192/$D192</f>
        <v>1.25</v>
      </c>
      <c r="AT192" s="20">
        <v>-1.4727339011138957E-3</v>
      </c>
      <c r="AU192" s="20">
        <v>-4.4854839627834382E-3</v>
      </c>
      <c r="AV192" s="20">
        <v>1.9467572433556835E-2</v>
      </c>
      <c r="AW192" s="20">
        <v>0.64010386029351662</v>
      </c>
      <c r="AX192" s="20">
        <v>0</v>
      </c>
      <c r="AY192" s="20">
        <v>100.63749184038981</v>
      </c>
      <c r="AZ192" s="20">
        <v>0.40677221063023944</v>
      </c>
      <c r="BA192" s="20">
        <v>1.25</v>
      </c>
      <c r="BB192" s="20">
        <v>15.228426395939088</v>
      </c>
      <c r="BC192" s="21">
        <v>0.83333333333333337</v>
      </c>
      <c r="BD192" s="21">
        <v>0.83333333333333337</v>
      </c>
      <c r="BE192" s="20">
        <v>0.81621666525793712</v>
      </c>
      <c r="BF192" s="21">
        <v>0.66666666666666663</v>
      </c>
      <c r="BG192" s="21">
        <v>0</v>
      </c>
      <c r="BH192" s="20">
        <v>0</v>
      </c>
      <c r="BI192" s="20">
        <v>0</v>
      </c>
      <c r="BJ192" s="20">
        <v>0</v>
      </c>
      <c r="BK192" s="20">
        <v>0</v>
      </c>
      <c r="BL192" s="20">
        <v>4.2904019627553875</v>
      </c>
      <c r="BM192" s="20">
        <v>0</v>
      </c>
      <c r="BN192" s="20">
        <v>0</v>
      </c>
      <c r="BO192" s="22" t="s">
        <v>263</v>
      </c>
      <c r="BP192" s="22">
        <v>170000</v>
      </c>
    </row>
    <row r="193" spans="1:68" x14ac:dyDescent="0.3">
      <c r="A193" s="16" t="s">
        <v>162</v>
      </c>
      <c r="B193" s="16" t="s">
        <v>260</v>
      </c>
      <c r="C193" s="9" t="s">
        <v>432</v>
      </c>
      <c r="D193" s="5" t="s">
        <v>194</v>
      </c>
      <c r="E193" s="7">
        <v>3</v>
      </c>
      <c r="F193" s="7">
        <v>35</v>
      </c>
      <c r="G193" s="14">
        <v>431</v>
      </c>
      <c r="H193" s="5" t="s">
        <v>193</v>
      </c>
      <c r="I193" s="18">
        <v>7.8928571428571432</v>
      </c>
      <c r="J193" s="6" t="s">
        <v>229</v>
      </c>
      <c r="K193" s="6" t="s">
        <v>231</v>
      </c>
      <c r="L193" s="18">
        <v>7</v>
      </c>
      <c r="M193" s="18">
        <v>3.3928571428571428</v>
      </c>
      <c r="N193" s="19">
        <f>K193/J193</f>
        <v>0.2</v>
      </c>
      <c r="O193" s="14" t="s">
        <v>192</v>
      </c>
      <c r="P193" s="15" t="s">
        <v>192</v>
      </c>
      <c r="Q193" s="18">
        <v>5.4642857142857144</v>
      </c>
      <c r="R193" s="18">
        <v>3.1071428571428572</v>
      </c>
      <c r="S193" s="19" t="e">
        <f>P193/O193</f>
        <v>#DIV/0!</v>
      </c>
      <c r="T193" s="15" t="s">
        <v>229</v>
      </c>
      <c r="U193" s="15" t="s">
        <v>231</v>
      </c>
      <c r="V193" s="18">
        <v>1.5357142857142858</v>
      </c>
      <c r="W193" s="18">
        <v>0.2857142857142857</v>
      </c>
      <c r="X193" s="19">
        <f>U193/T193</f>
        <v>0.2</v>
      </c>
      <c r="Y193" s="15" t="s">
        <v>192</v>
      </c>
      <c r="Z193" s="15" t="s">
        <v>192</v>
      </c>
      <c r="AA193" s="18">
        <v>1.25</v>
      </c>
      <c r="AB193" s="18">
        <v>0.8214285714285714</v>
      </c>
      <c r="AC193" s="19" t="e">
        <f>Z193/Y193</f>
        <v>#DIV/0!</v>
      </c>
      <c r="AD193" s="15" t="s">
        <v>192</v>
      </c>
      <c r="AE193" s="18">
        <v>4.6785714285714288</v>
      </c>
      <c r="AF193" s="15" t="s">
        <v>192</v>
      </c>
      <c r="AG193" s="18">
        <v>2.0714285714285716</v>
      </c>
      <c r="AH193" s="15" t="s">
        <v>192</v>
      </c>
      <c r="AI193" s="18">
        <v>2.6071428571428572</v>
      </c>
      <c r="AJ193" s="15" t="s">
        <v>192</v>
      </c>
      <c r="AK193" s="18">
        <v>1.4285714285714286</v>
      </c>
      <c r="AL193" s="15" t="s">
        <v>192</v>
      </c>
      <c r="AM193" s="18">
        <v>0.8214285714285714</v>
      </c>
      <c r="AN193" s="15" t="s">
        <v>192</v>
      </c>
      <c r="AO193" s="18">
        <v>0.17857142857142858</v>
      </c>
      <c r="AP193" s="15" t="s">
        <v>192</v>
      </c>
      <c r="AQ193" s="18">
        <v>1.0714285714285714</v>
      </c>
      <c r="AR193" s="15" t="s">
        <v>231</v>
      </c>
      <c r="AS193" s="18">
        <v>1.6785714285714286</v>
      </c>
      <c r="AT193" s="20">
        <v>-3.0311340655419079E-2</v>
      </c>
      <c r="AU193" s="20">
        <v>-0.16917957575117626</v>
      </c>
      <c r="AV193" s="20">
        <v>2.5980204836289498E-3</v>
      </c>
      <c r="AW193" s="20">
        <v>0.49077537843883395</v>
      </c>
      <c r="AX193" s="20">
        <v>67.592260712344071</v>
      </c>
      <c r="AY193" s="20">
        <v>110.78192010991336</v>
      </c>
      <c r="AZ193" s="20">
        <v>-0.19509720042767376</v>
      </c>
      <c r="BA193" s="20">
        <v>-0.5</v>
      </c>
      <c r="BB193" s="20">
        <v>-5.5813953488372094</v>
      </c>
      <c r="BC193" s="21">
        <v>0.3</v>
      </c>
      <c r="BD193" s="21">
        <v>0.3</v>
      </c>
      <c r="BE193" s="20">
        <v>1.2464704112853768</v>
      </c>
      <c r="BF193" s="21">
        <v>1</v>
      </c>
      <c r="BG193" s="21">
        <v>0</v>
      </c>
      <c r="BH193" s="20">
        <v>0</v>
      </c>
      <c r="BI193" s="20">
        <v>0</v>
      </c>
      <c r="BJ193" s="20">
        <v>0</v>
      </c>
      <c r="BK193" s="20">
        <v>0</v>
      </c>
      <c r="BL193" s="20">
        <v>0</v>
      </c>
      <c r="BM193" s="20">
        <v>0</v>
      </c>
      <c r="BN193" s="20">
        <v>0</v>
      </c>
      <c r="BO193" s="22" t="s">
        <v>263</v>
      </c>
      <c r="BP193" s="22">
        <v>430000</v>
      </c>
    </row>
    <row r="194" spans="1:68" x14ac:dyDescent="0.3">
      <c r="A194" s="16" t="s">
        <v>162</v>
      </c>
      <c r="B194" s="16" t="s">
        <v>260</v>
      </c>
      <c r="C194" s="4" t="s">
        <v>434</v>
      </c>
      <c r="D194" s="5" t="s">
        <v>194</v>
      </c>
      <c r="E194" s="7">
        <v>4</v>
      </c>
      <c r="F194" s="7">
        <v>25</v>
      </c>
      <c r="G194" s="14">
        <v>529</v>
      </c>
      <c r="H194" s="5" t="s">
        <v>231</v>
      </c>
      <c r="I194" s="18">
        <f>H194/$D194</f>
        <v>0.5</v>
      </c>
      <c r="J194" s="6" t="s">
        <v>231</v>
      </c>
      <c r="K194" s="6" t="s">
        <v>192</v>
      </c>
      <c r="L194" s="18">
        <f>J194/$D194</f>
        <v>0.5</v>
      </c>
      <c r="M194" s="18">
        <f>K194/$D194</f>
        <v>0</v>
      </c>
      <c r="N194" s="19">
        <f>K194/J194</f>
        <v>0</v>
      </c>
      <c r="O194" s="14" t="s">
        <v>231</v>
      </c>
      <c r="P194" s="15" t="s">
        <v>192</v>
      </c>
      <c r="Q194" s="18">
        <f>O194/$D194</f>
        <v>0.5</v>
      </c>
      <c r="R194" s="18">
        <f>P194/$D194</f>
        <v>0</v>
      </c>
      <c r="S194" s="19">
        <f>P194/O194</f>
        <v>0</v>
      </c>
      <c r="T194" s="15" t="s">
        <v>192</v>
      </c>
      <c r="U194" s="15" t="s">
        <v>192</v>
      </c>
      <c r="V194" s="18">
        <f>T194/$D194</f>
        <v>0</v>
      </c>
      <c r="W194" s="18">
        <f>U194/$D194</f>
        <v>0</v>
      </c>
      <c r="X194" s="19" t="e">
        <f>U194/T194</f>
        <v>#DIV/0!</v>
      </c>
      <c r="Y194" s="15" t="s">
        <v>194</v>
      </c>
      <c r="Z194" s="15" t="s">
        <v>231</v>
      </c>
      <c r="AA194" s="18">
        <f>Y194/$D194</f>
        <v>1</v>
      </c>
      <c r="AB194" s="18">
        <f>Z194/$D194</f>
        <v>0.5</v>
      </c>
      <c r="AC194" s="19">
        <f>Z194/Y194</f>
        <v>0.5</v>
      </c>
      <c r="AD194" s="15" t="s">
        <v>231</v>
      </c>
      <c r="AE194" s="18">
        <f>AD194/$D194</f>
        <v>0.5</v>
      </c>
      <c r="AF194" s="15" t="s">
        <v>231</v>
      </c>
      <c r="AG194" s="18">
        <f>AF194/$D194</f>
        <v>0.5</v>
      </c>
      <c r="AH194" s="15" t="s">
        <v>192</v>
      </c>
      <c r="AI194" s="18">
        <f>AH194/$D194</f>
        <v>0</v>
      </c>
      <c r="AJ194" s="15" t="s">
        <v>231</v>
      </c>
      <c r="AK194" s="18">
        <f>AJ194/$D194</f>
        <v>0.5</v>
      </c>
      <c r="AL194" s="15" t="s">
        <v>231</v>
      </c>
      <c r="AM194" s="18">
        <f>AL194/$D194</f>
        <v>0.5</v>
      </c>
      <c r="AN194" s="15" t="s">
        <v>192</v>
      </c>
      <c r="AO194" s="18">
        <f>AN194/$D194</f>
        <v>0</v>
      </c>
      <c r="AP194" s="15" t="s">
        <v>231</v>
      </c>
      <c r="AQ194" s="18">
        <f>AP194/$D194</f>
        <v>0.5</v>
      </c>
      <c r="AR194" s="15" t="s">
        <v>194</v>
      </c>
      <c r="AS194" s="18">
        <f>AR194/$D194</f>
        <v>1</v>
      </c>
      <c r="AT194" s="20">
        <v>1.3450571613480565E-2</v>
      </c>
      <c r="AU194" s="20">
        <v>6.0908248815761047E-2</v>
      </c>
      <c r="AV194" s="20">
        <v>1.7187223695506133E-2</v>
      </c>
      <c r="AW194" s="20">
        <v>0.13635940470598421</v>
      </c>
      <c r="AX194" s="20">
        <v>91.672774819070838</v>
      </c>
      <c r="AY194" s="20">
        <v>96.439249999543733</v>
      </c>
      <c r="AZ194" s="20">
        <v>-2.2717800642487962E-2</v>
      </c>
      <c r="BA194" s="20">
        <v>0.5</v>
      </c>
      <c r="BB194" s="20">
        <v>4.5283018867924527</v>
      </c>
      <c r="BC194" s="21">
        <v>0.26595744680851063</v>
      </c>
      <c r="BD194" s="21">
        <v>0</v>
      </c>
      <c r="BE194" s="20">
        <v>0.58250149333426815</v>
      </c>
      <c r="BF194" s="21">
        <v>0</v>
      </c>
      <c r="BG194" s="21">
        <v>2</v>
      </c>
      <c r="BH194" s="20">
        <v>0.48122230465382071</v>
      </c>
      <c r="BI194" s="20">
        <v>0</v>
      </c>
      <c r="BJ194" s="20">
        <v>0.22478540018825777</v>
      </c>
      <c r="BK194" s="20">
        <v>0.57320277048005741</v>
      </c>
      <c r="BL194" s="20">
        <v>6.3789372578325381</v>
      </c>
      <c r="BM194" s="20">
        <v>0</v>
      </c>
      <c r="BN194" s="20">
        <v>34.722222222222221</v>
      </c>
      <c r="BO194" s="22" t="s">
        <v>263</v>
      </c>
      <c r="BP194" s="22">
        <v>270000</v>
      </c>
    </row>
  </sheetData>
  <autoFilter ref="A1:BP194" xr:uid="{0255B66F-BA9D-4F4E-80F0-8D4A27B7E2E2}">
    <sortState xmlns:xlrd2="http://schemas.microsoft.com/office/spreadsheetml/2017/richdata2" ref="A2:BP194">
      <sortCondition ref="B1:B194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2026-04-11T11:41:44Z</dcterms:modified>
</cp:coreProperties>
</file>