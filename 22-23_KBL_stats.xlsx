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\2026\KBL Stats Analyzer 2026\"/>
    </mc:Choice>
  </mc:AlternateContent>
  <xr:revisionPtr revIDLastSave="0" documentId="13_ncr:1_{FAC32B80-7048-4826-ACB3-65D36B901D09}" xr6:coauthVersionLast="47" xr6:coauthVersionMax="47" xr10:uidLastSave="{00000000-0000-0000-0000-000000000000}"/>
  <bookViews>
    <workbookView xWindow="-28920" yWindow="1785" windowWidth="29040" windowHeight="15720" xr2:uid="{C857A6F3-DAC3-47BF-9FFB-2634F9EBE6C3}"/>
  </bookViews>
  <sheets>
    <sheet name="Sheet1" sheetId="1" r:id="rId1"/>
  </sheets>
  <definedNames>
    <definedName name="_xlnm._FilterDatabase" localSheetId="0" hidden="1">Sheet1!$A$1:$BO$223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3" i="1" l="1"/>
  <c r="BU3" i="1" s="1"/>
  <c r="BZ8" i="1"/>
  <c r="BY8" i="1"/>
  <c r="BX8" i="1"/>
  <c r="BW8" i="1"/>
  <c r="BV8" i="1"/>
  <c r="BU8" i="1" s="1"/>
  <c r="BZ7" i="1"/>
  <c r="BY7" i="1"/>
  <c r="BX7" i="1"/>
  <c r="BW7" i="1"/>
  <c r="BV7" i="1"/>
  <c r="BU7" i="1" s="1"/>
  <c r="BZ6" i="1"/>
  <c r="BY6" i="1"/>
  <c r="BX6" i="1"/>
  <c r="BW6" i="1"/>
  <c r="BV6" i="1"/>
  <c r="BU6" i="1" s="1"/>
  <c r="BZ5" i="1"/>
  <c r="BY5" i="1"/>
  <c r="BX5" i="1"/>
  <c r="BW5" i="1"/>
  <c r="BV5" i="1"/>
  <c r="BU5" i="1" s="1"/>
  <c r="BZ4" i="1"/>
  <c r="BY4" i="1"/>
  <c r="BX4" i="1"/>
  <c r="BW4" i="1"/>
  <c r="BV4" i="1"/>
  <c r="BU4" i="1" s="1"/>
  <c r="BZ3" i="1"/>
  <c r="BY3" i="1"/>
  <c r="BX3" i="1" s="1"/>
  <c r="BW3" i="1"/>
  <c r="BZ2" i="1"/>
  <c r="BY2" i="1"/>
  <c r="BX2" i="1" s="1"/>
  <c r="BW2" i="1"/>
  <c r="BV2" i="1"/>
  <c r="BU2" i="1" s="1"/>
  <c r="AC203" i="1"/>
  <c r="AB203" i="1"/>
  <c r="AA203" i="1"/>
  <c r="AC202" i="1"/>
  <c r="AB202" i="1"/>
  <c r="AA202" i="1"/>
  <c r="AC201" i="1"/>
  <c r="AB201" i="1"/>
  <c r="AA201" i="1"/>
  <c r="AC200" i="1"/>
  <c r="AB200" i="1"/>
  <c r="AA200" i="1"/>
  <c r="AC199" i="1"/>
  <c r="AB199" i="1"/>
  <c r="AA199" i="1"/>
  <c r="AC198" i="1"/>
  <c r="AB198" i="1"/>
  <c r="AA198" i="1"/>
  <c r="AC197" i="1"/>
  <c r="AB197" i="1"/>
  <c r="AA197" i="1"/>
  <c r="AC196" i="1"/>
  <c r="AB196" i="1"/>
  <c r="AA196" i="1"/>
  <c r="AC195" i="1"/>
  <c r="AB195" i="1"/>
  <c r="AA195" i="1"/>
  <c r="AC194" i="1"/>
  <c r="AB194" i="1"/>
  <c r="AA194" i="1"/>
  <c r="AC193" i="1"/>
  <c r="AB193" i="1"/>
  <c r="AA193" i="1"/>
  <c r="AC192" i="1"/>
  <c r="AB192" i="1"/>
  <c r="AA192" i="1"/>
  <c r="AC191" i="1"/>
  <c r="AB191" i="1"/>
  <c r="AA191" i="1"/>
  <c r="AC190" i="1"/>
  <c r="AB190" i="1"/>
  <c r="AA190" i="1"/>
  <c r="AC189" i="1"/>
  <c r="AB189" i="1"/>
  <c r="AA189" i="1"/>
  <c r="AC188" i="1"/>
  <c r="AB188" i="1"/>
  <c r="AA188" i="1"/>
  <c r="AC187" i="1"/>
  <c r="AB187" i="1"/>
  <c r="AA187" i="1"/>
  <c r="AC186" i="1"/>
  <c r="AB186" i="1"/>
  <c r="AA186" i="1"/>
  <c r="AC185" i="1"/>
  <c r="AB185" i="1"/>
  <c r="AA185" i="1"/>
  <c r="AC184" i="1"/>
  <c r="AB184" i="1"/>
  <c r="AA184" i="1"/>
  <c r="AC183" i="1"/>
  <c r="AB183" i="1"/>
  <c r="AA183" i="1"/>
  <c r="AC182" i="1"/>
  <c r="AB182" i="1"/>
  <c r="AA182" i="1"/>
  <c r="AC181" i="1"/>
  <c r="AB181" i="1"/>
  <c r="AA181" i="1"/>
  <c r="AC180" i="1"/>
  <c r="AB180" i="1"/>
  <c r="AA180" i="1"/>
  <c r="AC179" i="1"/>
  <c r="AB179" i="1"/>
  <c r="AA179" i="1"/>
  <c r="AC178" i="1"/>
  <c r="AB178" i="1"/>
  <c r="AA178" i="1"/>
  <c r="AC177" i="1"/>
  <c r="AB177" i="1"/>
  <c r="AA177" i="1"/>
  <c r="AC176" i="1"/>
  <c r="AB176" i="1"/>
  <c r="AA176" i="1"/>
  <c r="AC175" i="1"/>
  <c r="AB175" i="1"/>
  <c r="AA175" i="1"/>
  <c r="AC174" i="1"/>
  <c r="AB174" i="1"/>
  <c r="AA174" i="1"/>
  <c r="AC173" i="1"/>
  <c r="AB173" i="1"/>
  <c r="AA173" i="1"/>
  <c r="AC172" i="1"/>
  <c r="AB172" i="1"/>
  <c r="AA172" i="1"/>
  <c r="AC171" i="1"/>
  <c r="AB171" i="1"/>
  <c r="AA171" i="1"/>
  <c r="AC170" i="1"/>
  <c r="AB170" i="1"/>
  <c r="AA170" i="1"/>
  <c r="AC169" i="1"/>
  <c r="AB169" i="1"/>
  <c r="AA169" i="1"/>
  <c r="AC168" i="1"/>
  <c r="AB168" i="1"/>
  <c r="AA168" i="1"/>
  <c r="AC167" i="1"/>
  <c r="AB167" i="1"/>
  <c r="AA167" i="1"/>
  <c r="AC166" i="1"/>
  <c r="AB166" i="1"/>
  <c r="AA166" i="1"/>
  <c r="AC165" i="1"/>
  <c r="AB165" i="1"/>
  <c r="AA165" i="1"/>
  <c r="AC164" i="1"/>
  <c r="AB164" i="1"/>
  <c r="AA164" i="1"/>
  <c r="AC163" i="1"/>
  <c r="AB163" i="1"/>
  <c r="AA163" i="1"/>
  <c r="AC162" i="1"/>
  <c r="AB162" i="1"/>
  <c r="AA162" i="1"/>
  <c r="AC161" i="1"/>
  <c r="AB161" i="1"/>
  <c r="AA161" i="1"/>
  <c r="AC160" i="1"/>
  <c r="AB160" i="1"/>
  <c r="AA160" i="1"/>
  <c r="AC159" i="1"/>
  <c r="AB159" i="1"/>
  <c r="AA159" i="1"/>
  <c r="AC158" i="1"/>
  <c r="AB158" i="1"/>
  <c r="AA158" i="1"/>
  <c r="AC157" i="1"/>
  <c r="AB157" i="1"/>
  <c r="AA157" i="1"/>
  <c r="AC156" i="1"/>
  <c r="AB156" i="1"/>
  <c r="AA156" i="1"/>
  <c r="AC155" i="1"/>
  <c r="AB155" i="1"/>
  <c r="AA155" i="1"/>
  <c r="AC154" i="1"/>
  <c r="AB154" i="1"/>
  <c r="AA154" i="1"/>
  <c r="AC153" i="1"/>
  <c r="AB153" i="1"/>
  <c r="AA153" i="1"/>
  <c r="AC152" i="1"/>
  <c r="AB152" i="1"/>
  <c r="AA152" i="1"/>
  <c r="AC151" i="1"/>
  <c r="AB151" i="1"/>
  <c r="AA151" i="1"/>
  <c r="AC150" i="1"/>
  <c r="AB150" i="1"/>
  <c r="AA150" i="1"/>
  <c r="AC149" i="1"/>
  <c r="AB149" i="1"/>
  <c r="AA149" i="1"/>
  <c r="AC148" i="1"/>
  <c r="AB148" i="1"/>
  <c r="AA148" i="1"/>
  <c r="AC147" i="1"/>
  <c r="AB147" i="1"/>
  <c r="AA147" i="1"/>
  <c r="AC146" i="1"/>
  <c r="AB146" i="1"/>
  <c r="AA146" i="1"/>
  <c r="AC145" i="1"/>
  <c r="AB145" i="1"/>
  <c r="AA145" i="1"/>
  <c r="AC144" i="1"/>
  <c r="AB144" i="1"/>
  <c r="AA144" i="1"/>
  <c r="AC143" i="1"/>
  <c r="AB143" i="1"/>
  <c r="AA143" i="1"/>
  <c r="AC142" i="1"/>
  <c r="AB142" i="1"/>
  <c r="AA142" i="1"/>
  <c r="AC141" i="1"/>
  <c r="AB141" i="1"/>
  <c r="AA141" i="1"/>
  <c r="AC140" i="1"/>
  <c r="AB140" i="1"/>
  <c r="AA140" i="1"/>
  <c r="AC139" i="1"/>
  <c r="AB139" i="1"/>
  <c r="AA139" i="1"/>
  <c r="AC138" i="1"/>
  <c r="AB138" i="1"/>
  <c r="AA138" i="1"/>
  <c r="AC137" i="1"/>
  <c r="AB137" i="1"/>
  <c r="AA137" i="1"/>
  <c r="AC136" i="1"/>
  <c r="AB136" i="1"/>
  <c r="AA136" i="1"/>
  <c r="AC135" i="1"/>
  <c r="AB135" i="1"/>
  <c r="AA135" i="1"/>
  <c r="AC134" i="1"/>
  <c r="AB134" i="1"/>
  <c r="AA134" i="1"/>
  <c r="AC133" i="1"/>
  <c r="AB133" i="1"/>
  <c r="AA133" i="1"/>
  <c r="AC132" i="1"/>
  <c r="AB132" i="1"/>
  <c r="AA132" i="1"/>
  <c r="AC131" i="1"/>
  <c r="AB131" i="1"/>
  <c r="AA131" i="1"/>
  <c r="AC130" i="1"/>
  <c r="AB130" i="1"/>
  <c r="AA130" i="1"/>
  <c r="AC129" i="1"/>
  <c r="AB129" i="1"/>
  <c r="AA129" i="1"/>
  <c r="AC128" i="1"/>
  <c r="AB128" i="1"/>
  <c r="AA128" i="1"/>
  <c r="AC127" i="1"/>
  <c r="AB127" i="1"/>
  <c r="AA127" i="1"/>
  <c r="AC126" i="1"/>
  <c r="AB126" i="1"/>
  <c r="AA126" i="1"/>
  <c r="AC125" i="1"/>
  <c r="AB125" i="1"/>
  <c r="AA125" i="1"/>
  <c r="AC124" i="1"/>
  <c r="AB124" i="1"/>
  <c r="AA124" i="1"/>
  <c r="AC123" i="1"/>
  <c r="AB123" i="1"/>
  <c r="AA123" i="1"/>
  <c r="AC122" i="1"/>
  <c r="AB122" i="1"/>
  <c r="AA122" i="1"/>
  <c r="AC121" i="1"/>
  <c r="AB121" i="1"/>
  <c r="AA121" i="1"/>
  <c r="AC120" i="1"/>
  <c r="AB120" i="1"/>
  <c r="AA120" i="1"/>
  <c r="AC119" i="1"/>
  <c r="AB119" i="1"/>
  <c r="AA119" i="1"/>
  <c r="AC118" i="1"/>
  <c r="AB118" i="1"/>
  <c r="AA118" i="1"/>
  <c r="AC117" i="1"/>
  <c r="AB117" i="1"/>
  <c r="AA117" i="1"/>
  <c r="AC116" i="1"/>
  <c r="AB116" i="1"/>
  <c r="AA116" i="1"/>
  <c r="AC115" i="1"/>
  <c r="AB115" i="1"/>
  <c r="AA115" i="1"/>
  <c r="AC114" i="1"/>
  <c r="AB114" i="1"/>
  <c r="AA114" i="1"/>
  <c r="AC113" i="1"/>
  <c r="AB113" i="1"/>
  <c r="AA113" i="1"/>
  <c r="AC112" i="1"/>
  <c r="AB112" i="1"/>
  <c r="AA112" i="1"/>
  <c r="AC111" i="1"/>
  <c r="AB111" i="1"/>
  <c r="AA111" i="1"/>
  <c r="AC110" i="1"/>
  <c r="AB110" i="1"/>
  <c r="AA110" i="1"/>
  <c r="AC109" i="1"/>
  <c r="AB109" i="1"/>
  <c r="AA109" i="1"/>
  <c r="AC108" i="1"/>
  <c r="AB108" i="1"/>
  <c r="AA108" i="1"/>
  <c r="AC107" i="1"/>
  <c r="AB107" i="1"/>
  <c r="AA107" i="1"/>
  <c r="AC106" i="1"/>
  <c r="AB106" i="1"/>
  <c r="AA106" i="1"/>
  <c r="AC105" i="1"/>
  <c r="AB105" i="1"/>
  <c r="AA105" i="1"/>
  <c r="AC104" i="1"/>
  <c r="AB104" i="1"/>
  <c r="AA104" i="1"/>
  <c r="AC103" i="1"/>
  <c r="AB103" i="1"/>
  <c r="AA103" i="1"/>
  <c r="AC102" i="1"/>
  <c r="AB102" i="1"/>
  <c r="AA102" i="1"/>
  <c r="AC101" i="1"/>
  <c r="AB101" i="1"/>
  <c r="AA101" i="1"/>
  <c r="AC100" i="1"/>
  <c r="AB100" i="1"/>
  <c r="AA100" i="1"/>
  <c r="AC99" i="1"/>
  <c r="AB99" i="1"/>
  <c r="AA99" i="1"/>
  <c r="AC98" i="1"/>
  <c r="AB98" i="1"/>
  <c r="AA98" i="1"/>
  <c r="AC97" i="1"/>
  <c r="AB97" i="1"/>
  <c r="AA97" i="1"/>
  <c r="AC96" i="1"/>
  <c r="AB96" i="1"/>
  <c r="AA96" i="1"/>
  <c r="AC95" i="1"/>
  <c r="AB95" i="1"/>
  <c r="AA95" i="1"/>
  <c r="AC94" i="1"/>
  <c r="AB94" i="1"/>
  <c r="AA94" i="1"/>
  <c r="AC93" i="1"/>
  <c r="AB93" i="1"/>
  <c r="AA93" i="1"/>
  <c r="AC92" i="1"/>
  <c r="AB92" i="1"/>
  <c r="AA92" i="1"/>
  <c r="AC91" i="1"/>
  <c r="AB91" i="1"/>
  <c r="AA91" i="1"/>
  <c r="AC90" i="1"/>
  <c r="AB90" i="1"/>
  <c r="AA90" i="1"/>
  <c r="AC89" i="1"/>
  <c r="AB89" i="1"/>
  <c r="AA89" i="1"/>
  <c r="AC88" i="1"/>
  <c r="AB88" i="1"/>
  <c r="AA88" i="1"/>
  <c r="AC87" i="1"/>
  <c r="AB87" i="1"/>
  <c r="AA87" i="1"/>
  <c r="AC86" i="1"/>
  <c r="AB86" i="1"/>
  <c r="AA86" i="1"/>
  <c r="AC85" i="1"/>
  <c r="AB85" i="1"/>
  <c r="AA85" i="1"/>
  <c r="AC84" i="1"/>
  <c r="AB84" i="1"/>
  <c r="AA84" i="1"/>
  <c r="AC83" i="1"/>
  <c r="AB83" i="1"/>
  <c r="AA83" i="1"/>
  <c r="AC82" i="1"/>
  <c r="AB82" i="1"/>
  <c r="AA82" i="1"/>
  <c r="AC81" i="1"/>
  <c r="AB81" i="1"/>
  <c r="AA81" i="1"/>
  <c r="AC80" i="1"/>
  <c r="AB80" i="1"/>
  <c r="AA80" i="1"/>
  <c r="AC79" i="1"/>
  <c r="AB79" i="1"/>
  <c r="AA79" i="1"/>
  <c r="AC78" i="1"/>
  <c r="AB78" i="1"/>
  <c r="AA78" i="1"/>
  <c r="AC77" i="1"/>
  <c r="AB77" i="1"/>
  <c r="AA77" i="1"/>
  <c r="AC76" i="1"/>
  <c r="AB76" i="1"/>
  <c r="AA76" i="1"/>
  <c r="AC75" i="1"/>
  <c r="AB75" i="1"/>
  <c r="AA75" i="1"/>
  <c r="AC74" i="1"/>
  <c r="AB74" i="1"/>
  <c r="AA74" i="1"/>
  <c r="AC73" i="1"/>
  <c r="AB73" i="1"/>
  <c r="AA73" i="1"/>
  <c r="AC72" i="1"/>
  <c r="AB72" i="1"/>
  <c r="AA72" i="1"/>
  <c r="AC71" i="1"/>
  <c r="AB71" i="1"/>
  <c r="AA71" i="1"/>
  <c r="AC70" i="1"/>
  <c r="AB70" i="1"/>
  <c r="AA70" i="1"/>
  <c r="AC69" i="1"/>
  <c r="AB69" i="1"/>
  <c r="AA69" i="1"/>
  <c r="AC68" i="1"/>
  <c r="AB68" i="1"/>
  <c r="AA68" i="1"/>
  <c r="AC67" i="1"/>
  <c r="AB67" i="1"/>
  <c r="AA67" i="1"/>
  <c r="AC66" i="1"/>
  <c r="AB66" i="1"/>
  <c r="AA66" i="1"/>
  <c r="AC65" i="1"/>
  <c r="AB65" i="1"/>
  <c r="AA65" i="1"/>
  <c r="AC64" i="1"/>
  <c r="AB64" i="1"/>
  <c r="AA64" i="1"/>
  <c r="AC63" i="1"/>
  <c r="AB63" i="1"/>
  <c r="AA63" i="1"/>
  <c r="AC62" i="1"/>
  <c r="AB62" i="1"/>
  <c r="AA62" i="1"/>
  <c r="AC61" i="1"/>
  <c r="AB61" i="1"/>
  <c r="AA61" i="1"/>
  <c r="AC60" i="1"/>
  <c r="AB60" i="1"/>
  <c r="AA60" i="1"/>
  <c r="AC59" i="1"/>
  <c r="AB59" i="1"/>
  <c r="AA59" i="1"/>
  <c r="AC58" i="1"/>
  <c r="AB58" i="1"/>
  <c r="AA58" i="1"/>
  <c r="AC57" i="1"/>
  <c r="AB57" i="1"/>
  <c r="AA57" i="1"/>
  <c r="AC56" i="1"/>
  <c r="AB56" i="1"/>
  <c r="AA56" i="1"/>
  <c r="AC55" i="1"/>
  <c r="AB55" i="1"/>
  <c r="AA55" i="1"/>
  <c r="AC54" i="1"/>
  <c r="AB54" i="1"/>
  <c r="AA54" i="1"/>
  <c r="AC53" i="1"/>
  <c r="AB53" i="1"/>
  <c r="AA53" i="1"/>
  <c r="AC52" i="1"/>
  <c r="AB52" i="1"/>
  <c r="AA52" i="1"/>
  <c r="AC51" i="1"/>
  <c r="AB51" i="1"/>
  <c r="AA51" i="1"/>
  <c r="AC50" i="1"/>
  <c r="AB50" i="1"/>
  <c r="AA50" i="1"/>
  <c r="AC49" i="1"/>
  <c r="AB49" i="1"/>
  <c r="AA49" i="1"/>
  <c r="AC48" i="1"/>
  <c r="AB48" i="1"/>
  <c r="AA48" i="1"/>
  <c r="AC47" i="1"/>
  <c r="AB47" i="1"/>
  <c r="AA47" i="1"/>
  <c r="AC46" i="1"/>
  <c r="AB46" i="1"/>
  <c r="AA46" i="1"/>
  <c r="AC45" i="1"/>
  <c r="AB45" i="1"/>
  <c r="AA45" i="1"/>
  <c r="AC44" i="1"/>
  <c r="AB44" i="1"/>
  <c r="AA44" i="1"/>
  <c r="AC43" i="1"/>
  <c r="AB43" i="1"/>
  <c r="AA43" i="1"/>
  <c r="AC42" i="1"/>
  <c r="AB42" i="1"/>
  <c r="AA42" i="1"/>
  <c r="AC41" i="1"/>
  <c r="AB41" i="1"/>
  <c r="AA41" i="1"/>
  <c r="AC40" i="1"/>
  <c r="AB40" i="1"/>
  <c r="AA40" i="1"/>
  <c r="AC39" i="1"/>
  <c r="AB39" i="1"/>
  <c r="AA39" i="1"/>
  <c r="AC38" i="1"/>
  <c r="AB38" i="1"/>
  <c r="AA38" i="1"/>
  <c r="AC37" i="1"/>
  <c r="AB37" i="1"/>
  <c r="AA37" i="1"/>
  <c r="AC36" i="1"/>
  <c r="AB36" i="1"/>
  <c r="AA36" i="1"/>
  <c r="AC35" i="1"/>
  <c r="AB35" i="1"/>
  <c r="AA35" i="1"/>
  <c r="AC34" i="1"/>
  <c r="AB34" i="1"/>
  <c r="AA34" i="1"/>
  <c r="AC33" i="1"/>
  <c r="AB33" i="1"/>
  <c r="AA33" i="1"/>
  <c r="AC32" i="1"/>
  <c r="AB32" i="1"/>
  <c r="AA32" i="1"/>
  <c r="AC31" i="1"/>
  <c r="AB31" i="1"/>
  <c r="AA31" i="1"/>
  <c r="AC30" i="1"/>
  <c r="AB30" i="1"/>
  <c r="AA30" i="1"/>
  <c r="AC29" i="1"/>
  <c r="AB29" i="1"/>
  <c r="AA29" i="1"/>
  <c r="AC28" i="1"/>
  <c r="AB28" i="1"/>
  <c r="AA28" i="1"/>
  <c r="AC27" i="1"/>
  <c r="AB27" i="1"/>
  <c r="AA27" i="1"/>
  <c r="AC26" i="1"/>
  <c r="AB26" i="1"/>
  <c r="AA26" i="1"/>
  <c r="AC25" i="1"/>
  <c r="AB25" i="1"/>
  <c r="AA25" i="1"/>
  <c r="AC24" i="1"/>
  <c r="AB24" i="1"/>
  <c r="AA24" i="1"/>
  <c r="AC23" i="1"/>
  <c r="AB23" i="1"/>
  <c r="AA23" i="1"/>
  <c r="AC22" i="1"/>
  <c r="AB22" i="1"/>
  <c r="AA22" i="1"/>
  <c r="AC21" i="1"/>
  <c r="AB21" i="1"/>
  <c r="AA21" i="1"/>
  <c r="AC20" i="1"/>
  <c r="AB20" i="1"/>
  <c r="AA20" i="1"/>
  <c r="AC19" i="1"/>
  <c r="AB19" i="1"/>
  <c r="AA19" i="1"/>
  <c r="AC18" i="1"/>
  <c r="AB18" i="1"/>
  <c r="AA18" i="1"/>
  <c r="AC17" i="1"/>
  <c r="AB17" i="1"/>
  <c r="AA17" i="1"/>
  <c r="AC16" i="1"/>
  <c r="AB16" i="1"/>
  <c r="AA16" i="1"/>
  <c r="AC15" i="1"/>
  <c r="AB15" i="1"/>
  <c r="AA15" i="1"/>
  <c r="AC14" i="1"/>
  <c r="AB14" i="1"/>
  <c r="AA14" i="1"/>
  <c r="AC13" i="1"/>
  <c r="AB13" i="1"/>
  <c r="AA13" i="1"/>
  <c r="AC12" i="1"/>
  <c r="AB12" i="1"/>
  <c r="AA12" i="1"/>
  <c r="AC11" i="1"/>
  <c r="AB11" i="1"/>
  <c r="AA11" i="1"/>
  <c r="AC10" i="1"/>
  <c r="AB10" i="1"/>
  <c r="AA10" i="1"/>
  <c r="AC9" i="1"/>
  <c r="AB9" i="1"/>
  <c r="AA9" i="1"/>
  <c r="AC8" i="1"/>
  <c r="AB8" i="1"/>
  <c r="AA8" i="1"/>
  <c r="AC7" i="1"/>
  <c r="AB7" i="1"/>
  <c r="AA7" i="1"/>
  <c r="X203" i="1"/>
  <c r="W203" i="1"/>
  <c r="V203" i="1"/>
  <c r="X202" i="1"/>
  <c r="W202" i="1"/>
  <c r="V202" i="1"/>
  <c r="X201" i="1"/>
  <c r="W201" i="1"/>
  <c r="V201" i="1"/>
  <c r="X200" i="1"/>
  <c r="W200" i="1"/>
  <c r="V200" i="1"/>
  <c r="X199" i="1"/>
  <c r="W199" i="1"/>
  <c r="V199" i="1"/>
  <c r="X198" i="1"/>
  <c r="W198" i="1"/>
  <c r="V198" i="1"/>
  <c r="X197" i="1"/>
  <c r="W197" i="1"/>
  <c r="V197" i="1"/>
  <c r="X196" i="1"/>
  <c r="W196" i="1"/>
  <c r="V196" i="1"/>
  <c r="X195" i="1"/>
  <c r="W195" i="1"/>
  <c r="V195" i="1"/>
  <c r="X194" i="1"/>
  <c r="W194" i="1"/>
  <c r="V194" i="1"/>
  <c r="X193" i="1"/>
  <c r="W193" i="1"/>
  <c r="V193" i="1"/>
  <c r="X192" i="1"/>
  <c r="W192" i="1"/>
  <c r="V192" i="1"/>
  <c r="X191" i="1"/>
  <c r="W191" i="1"/>
  <c r="V191" i="1"/>
  <c r="X190" i="1"/>
  <c r="W190" i="1"/>
  <c r="V190" i="1"/>
  <c r="X189" i="1"/>
  <c r="W189" i="1"/>
  <c r="V189" i="1"/>
  <c r="X188" i="1"/>
  <c r="W188" i="1"/>
  <c r="V188" i="1"/>
  <c r="X187" i="1"/>
  <c r="W187" i="1"/>
  <c r="V187" i="1"/>
  <c r="X186" i="1"/>
  <c r="W186" i="1"/>
  <c r="V186" i="1"/>
  <c r="X185" i="1"/>
  <c r="W185" i="1"/>
  <c r="V185" i="1"/>
  <c r="X184" i="1"/>
  <c r="W184" i="1"/>
  <c r="V184" i="1"/>
  <c r="X183" i="1"/>
  <c r="W183" i="1"/>
  <c r="V183" i="1"/>
  <c r="X182" i="1"/>
  <c r="W182" i="1"/>
  <c r="V182" i="1"/>
  <c r="X181" i="1"/>
  <c r="W181" i="1"/>
  <c r="V181" i="1"/>
  <c r="X180" i="1"/>
  <c r="W180" i="1"/>
  <c r="V180" i="1"/>
  <c r="X179" i="1"/>
  <c r="W179" i="1"/>
  <c r="V179" i="1"/>
  <c r="X178" i="1"/>
  <c r="W178" i="1"/>
  <c r="V178" i="1"/>
  <c r="X177" i="1"/>
  <c r="W177" i="1"/>
  <c r="V177" i="1"/>
  <c r="X176" i="1"/>
  <c r="W176" i="1"/>
  <c r="V176" i="1"/>
  <c r="X175" i="1"/>
  <c r="W175" i="1"/>
  <c r="V175" i="1"/>
  <c r="X174" i="1"/>
  <c r="W174" i="1"/>
  <c r="V174" i="1"/>
  <c r="X173" i="1"/>
  <c r="W173" i="1"/>
  <c r="V173" i="1"/>
  <c r="X172" i="1"/>
  <c r="W172" i="1"/>
  <c r="V172" i="1"/>
  <c r="X171" i="1"/>
  <c r="W171" i="1"/>
  <c r="V171" i="1"/>
  <c r="X170" i="1"/>
  <c r="W170" i="1"/>
  <c r="V170" i="1"/>
  <c r="X169" i="1"/>
  <c r="W169" i="1"/>
  <c r="V169" i="1"/>
  <c r="X168" i="1"/>
  <c r="W168" i="1"/>
  <c r="V168" i="1"/>
  <c r="X167" i="1"/>
  <c r="W167" i="1"/>
  <c r="V167" i="1"/>
  <c r="X166" i="1"/>
  <c r="W166" i="1"/>
  <c r="V166" i="1"/>
  <c r="X165" i="1"/>
  <c r="W165" i="1"/>
  <c r="V165" i="1"/>
  <c r="X164" i="1"/>
  <c r="W164" i="1"/>
  <c r="V164" i="1"/>
  <c r="X163" i="1"/>
  <c r="W163" i="1"/>
  <c r="V163" i="1"/>
  <c r="X162" i="1"/>
  <c r="W162" i="1"/>
  <c r="V162" i="1"/>
  <c r="X161" i="1"/>
  <c r="W161" i="1"/>
  <c r="V161" i="1"/>
  <c r="X160" i="1"/>
  <c r="W160" i="1"/>
  <c r="V160" i="1"/>
  <c r="X159" i="1"/>
  <c r="W159" i="1"/>
  <c r="V159" i="1"/>
  <c r="X158" i="1"/>
  <c r="W158" i="1"/>
  <c r="V158" i="1"/>
  <c r="X157" i="1"/>
  <c r="W157" i="1"/>
  <c r="V157" i="1"/>
  <c r="X156" i="1"/>
  <c r="W156" i="1"/>
  <c r="V156" i="1"/>
  <c r="X155" i="1"/>
  <c r="W155" i="1"/>
  <c r="V155" i="1"/>
  <c r="X154" i="1"/>
  <c r="W154" i="1"/>
  <c r="V154" i="1"/>
  <c r="X153" i="1"/>
  <c r="W153" i="1"/>
  <c r="V153" i="1"/>
  <c r="X152" i="1"/>
  <c r="W152" i="1"/>
  <c r="V152" i="1"/>
  <c r="X151" i="1"/>
  <c r="W151" i="1"/>
  <c r="V151" i="1"/>
  <c r="X150" i="1"/>
  <c r="W150" i="1"/>
  <c r="V150" i="1"/>
  <c r="X149" i="1"/>
  <c r="W149" i="1"/>
  <c r="V149" i="1"/>
  <c r="X148" i="1"/>
  <c r="W148" i="1"/>
  <c r="V148" i="1"/>
  <c r="X147" i="1"/>
  <c r="W147" i="1"/>
  <c r="V147" i="1"/>
  <c r="X146" i="1"/>
  <c r="W146" i="1"/>
  <c r="V146" i="1"/>
  <c r="X145" i="1"/>
  <c r="W145" i="1"/>
  <c r="V145" i="1"/>
  <c r="X144" i="1"/>
  <c r="W144" i="1"/>
  <c r="V144" i="1"/>
  <c r="X143" i="1"/>
  <c r="W143" i="1"/>
  <c r="V143" i="1"/>
  <c r="X142" i="1"/>
  <c r="W142" i="1"/>
  <c r="V142" i="1"/>
  <c r="X141" i="1"/>
  <c r="W141" i="1"/>
  <c r="V141" i="1"/>
  <c r="X140" i="1"/>
  <c r="W140" i="1"/>
  <c r="V140" i="1"/>
  <c r="X139" i="1"/>
  <c r="W139" i="1"/>
  <c r="V139" i="1"/>
  <c r="X138" i="1"/>
  <c r="W138" i="1"/>
  <c r="V138" i="1"/>
  <c r="X137" i="1"/>
  <c r="W137" i="1"/>
  <c r="V137" i="1"/>
  <c r="X136" i="1"/>
  <c r="W136" i="1"/>
  <c r="V136" i="1"/>
  <c r="X135" i="1"/>
  <c r="W135" i="1"/>
  <c r="V135" i="1"/>
  <c r="X134" i="1"/>
  <c r="W134" i="1"/>
  <c r="V134" i="1"/>
  <c r="X133" i="1"/>
  <c r="W133" i="1"/>
  <c r="V133" i="1"/>
  <c r="X132" i="1"/>
  <c r="W132" i="1"/>
  <c r="V132" i="1"/>
  <c r="X131" i="1"/>
  <c r="W131" i="1"/>
  <c r="V131" i="1"/>
  <c r="X130" i="1"/>
  <c r="W130" i="1"/>
  <c r="V130" i="1"/>
  <c r="X129" i="1"/>
  <c r="W129" i="1"/>
  <c r="V129" i="1"/>
  <c r="X128" i="1"/>
  <c r="W128" i="1"/>
  <c r="V128" i="1"/>
  <c r="X127" i="1"/>
  <c r="W127" i="1"/>
  <c r="V127" i="1"/>
  <c r="X126" i="1"/>
  <c r="W126" i="1"/>
  <c r="V126" i="1"/>
  <c r="X125" i="1"/>
  <c r="W125" i="1"/>
  <c r="V125" i="1"/>
  <c r="X124" i="1"/>
  <c r="W124" i="1"/>
  <c r="V124" i="1"/>
  <c r="X123" i="1"/>
  <c r="W123" i="1"/>
  <c r="V123" i="1"/>
  <c r="X122" i="1"/>
  <c r="W122" i="1"/>
  <c r="V122" i="1"/>
  <c r="X121" i="1"/>
  <c r="W121" i="1"/>
  <c r="V121" i="1"/>
  <c r="X120" i="1"/>
  <c r="W120" i="1"/>
  <c r="V120" i="1"/>
  <c r="X119" i="1"/>
  <c r="W119" i="1"/>
  <c r="V119" i="1"/>
  <c r="X118" i="1"/>
  <c r="W118" i="1"/>
  <c r="V118" i="1"/>
  <c r="X117" i="1"/>
  <c r="W117" i="1"/>
  <c r="V117" i="1"/>
  <c r="X116" i="1"/>
  <c r="W116" i="1"/>
  <c r="V116" i="1"/>
  <c r="X115" i="1"/>
  <c r="W115" i="1"/>
  <c r="V115" i="1"/>
  <c r="X114" i="1"/>
  <c r="W114" i="1"/>
  <c r="V114" i="1"/>
  <c r="X113" i="1"/>
  <c r="W113" i="1"/>
  <c r="V113" i="1"/>
  <c r="X112" i="1"/>
  <c r="W112" i="1"/>
  <c r="V112" i="1"/>
  <c r="X111" i="1"/>
  <c r="W111" i="1"/>
  <c r="V111" i="1"/>
  <c r="X110" i="1"/>
  <c r="W110" i="1"/>
  <c r="V110" i="1"/>
  <c r="X109" i="1"/>
  <c r="W109" i="1"/>
  <c r="V109" i="1"/>
  <c r="X108" i="1"/>
  <c r="W108" i="1"/>
  <c r="V108" i="1"/>
  <c r="X107" i="1"/>
  <c r="W107" i="1"/>
  <c r="V107" i="1"/>
  <c r="X106" i="1"/>
  <c r="W106" i="1"/>
  <c r="V106" i="1"/>
  <c r="X105" i="1"/>
  <c r="W105" i="1"/>
  <c r="V105" i="1"/>
  <c r="X104" i="1"/>
  <c r="W104" i="1"/>
  <c r="V104" i="1"/>
  <c r="X103" i="1"/>
  <c r="W103" i="1"/>
  <c r="V103" i="1"/>
  <c r="X102" i="1"/>
  <c r="W102" i="1"/>
  <c r="V102" i="1"/>
  <c r="X101" i="1"/>
  <c r="W101" i="1"/>
  <c r="V101" i="1"/>
  <c r="X100" i="1"/>
  <c r="W100" i="1"/>
  <c r="V100" i="1"/>
  <c r="X99" i="1"/>
  <c r="W99" i="1"/>
  <c r="V99" i="1"/>
  <c r="X98" i="1"/>
  <c r="W98" i="1"/>
  <c r="V98" i="1"/>
  <c r="X97" i="1"/>
  <c r="W97" i="1"/>
  <c r="V97" i="1"/>
  <c r="X96" i="1"/>
  <c r="W96" i="1"/>
  <c r="V96" i="1"/>
  <c r="X95" i="1"/>
  <c r="W95" i="1"/>
  <c r="V95" i="1"/>
  <c r="X94" i="1"/>
  <c r="W94" i="1"/>
  <c r="V94" i="1"/>
  <c r="X93" i="1"/>
  <c r="W93" i="1"/>
  <c r="V93" i="1"/>
  <c r="X92" i="1"/>
  <c r="W92" i="1"/>
  <c r="V92" i="1"/>
  <c r="X91" i="1"/>
  <c r="W91" i="1"/>
  <c r="V91" i="1"/>
  <c r="X90" i="1"/>
  <c r="W90" i="1"/>
  <c r="V90" i="1"/>
  <c r="X89" i="1"/>
  <c r="W89" i="1"/>
  <c r="V89" i="1"/>
  <c r="X88" i="1"/>
  <c r="W88" i="1"/>
  <c r="V88" i="1"/>
  <c r="X87" i="1"/>
  <c r="W87" i="1"/>
  <c r="V87" i="1"/>
  <c r="X86" i="1"/>
  <c r="W86" i="1"/>
  <c r="V86" i="1"/>
  <c r="X85" i="1"/>
  <c r="W85" i="1"/>
  <c r="V85" i="1"/>
  <c r="X84" i="1"/>
  <c r="W84" i="1"/>
  <c r="V84" i="1"/>
  <c r="X83" i="1"/>
  <c r="W83" i="1"/>
  <c r="V83" i="1"/>
  <c r="X82" i="1"/>
  <c r="W82" i="1"/>
  <c r="V82" i="1"/>
  <c r="X81" i="1"/>
  <c r="W81" i="1"/>
  <c r="V81" i="1"/>
  <c r="X80" i="1"/>
  <c r="W80" i="1"/>
  <c r="V80" i="1"/>
  <c r="X79" i="1"/>
  <c r="W79" i="1"/>
  <c r="V79" i="1"/>
  <c r="X78" i="1"/>
  <c r="W78" i="1"/>
  <c r="V78" i="1"/>
  <c r="X77" i="1"/>
  <c r="W77" i="1"/>
  <c r="V77" i="1"/>
  <c r="X76" i="1"/>
  <c r="W76" i="1"/>
  <c r="V76" i="1"/>
  <c r="X75" i="1"/>
  <c r="W75" i="1"/>
  <c r="V75" i="1"/>
  <c r="X74" i="1"/>
  <c r="W74" i="1"/>
  <c r="V74" i="1"/>
  <c r="X73" i="1"/>
  <c r="W73" i="1"/>
  <c r="V73" i="1"/>
  <c r="X72" i="1"/>
  <c r="W72" i="1"/>
  <c r="V72" i="1"/>
  <c r="X71" i="1"/>
  <c r="W71" i="1"/>
  <c r="V71" i="1"/>
  <c r="X70" i="1"/>
  <c r="W70" i="1"/>
  <c r="V70" i="1"/>
  <c r="X69" i="1"/>
  <c r="W69" i="1"/>
  <c r="V69" i="1"/>
  <c r="X68" i="1"/>
  <c r="W68" i="1"/>
  <c r="V68" i="1"/>
  <c r="X67" i="1"/>
  <c r="W67" i="1"/>
  <c r="V67" i="1"/>
  <c r="X66" i="1"/>
  <c r="W66" i="1"/>
  <c r="V66" i="1"/>
  <c r="X65" i="1"/>
  <c r="W65" i="1"/>
  <c r="V65" i="1"/>
  <c r="X64" i="1"/>
  <c r="W64" i="1"/>
  <c r="V64" i="1"/>
  <c r="X63" i="1"/>
  <c r="W63" i="1"/>
  <c r="V63" i="1"/>
  <c r="X62" i="1"/>
  <c r="W62" i="1"/>
  <c r="V62" i="1"/>
  <c r="X61" i="1"/>
  <c r="W61" i="1"/>
  <c r="V61" i="1"/>
  <c r="X60" i="1"/>
  <c r="W60" i="1"/>
  <c r="V60" i="1"/>
  <c r="X59" i="1"/>
  <c r="W59" i="1"/>
  <c r="V59" i="1"/>
  <c r="X58" i="1"/>
  <c r="W58" i="1"/>
  <c r="V58" i="1"/>
  <c r="X57" i="1"/>
  <c r="W57" i="1"/>
  <c r="V57" i="1"/>
  <c r="X56" i="1"/>
  <c r="W56" i="1"/>
  <c r="V56" i="1"/>
  <c r="X55" i="1"/>
  <c r="W55" i="1"/>
  <c r="V55" i="1"/>
  <c r="X54" i="1"/>
  <c r="W54" i="1"/>
  <c r="V54" i="1"/>
  <c r="X53" i="1"/>
  <c r="W53" i="1"/>
  <c r="V53" i="1"/>
  <c r="X52" i="1"/>
  <c r="W52" i="1"/>
  <c r="V52" i="1"/>
  <c r="X51" i="1"/>
  <c r="W51" i="1"/>
  <c r="V51" i="1"/>
  <c r="X50" i="1"/>
  <c r="W50" i="1"/>
  <c r="V50" i="1"/>
  <c r="X49" i="1"/>
  <c r="W49" i="1"/>
  <c r="V49" i="1"/>
  <c r="X48" i="1"/>
  <c r="W48" i="1"/>
  <c r="V48" i="1"/>
  <c r="X47" i="1"/>
  <c r="W47" i="1"/>
  <c r="V47" i="1"/>
  <c r="X46" i="1"/>
  <c r="W46" i="1"/>
  <c r="V46" i="1"/>
  <c r="X45" i="1"/>
  <c r="W45" i="1"/>
  <c r="V45" i="1"/>
  <c r="X44" i="1"/>
  <c r="W44" i="1"/>
  <c r="V44" i="1"/>
  <c r="X43" i="1"/>
  <c r="W43" i="1"/>
  <c r="V43" i="1"/>
  <c r="X42" i="1"/>
  <c r="W42" i="1"/>
  <c r="V42" i="1"/>
  <c r="X41" i="1"/>
  <c r="W41" i="1"/>
  <c r="V41" i="1"/>
  <c r="X40" i="1"/>
  <c r="W40" i="1"/>
  <c r="V40" i="1"/>
  <c r="X39" i="1"/>
  <c r="W39" i="1"/>
  <c r="V39" i="1"/>
  <c r="X38" i="1"/>
  <c r="W38" i="1"/>
  <c r="V38" i="1"/>
  <c r="X37" i="1"/>
  <c r="W37" i="1"/>
  <c r="V37" i="1"/>
  <c r="X36" i="1"/>
  <c r="W36" i="1"/>
  <c r="V36" i="1"/>
  <c r="X35" i="1"/>
  <c r="W35" i="1"/>
  <c r="V35" i="1"/>
  <c r="X34" i="1"/>
  <c r="W34" i="1"/>
  <c r="V34" i="1"/>
  <c r="X33" i="1"/>
  <c r="W33" i="1"/>
  <c r="V33" i="1"/>
  <c r="X32" i="1"/>
  <c r="W32" i="1"/>
  <c r="V32" i="1"/>
  <c r="X31" i="1"/>
  <c r="W31" i="1"/>
  <c r="V31" i="1"/>
  <c r="X30" i="1"/>
  <c r="W30" i="1"/>
  <c r="V30" i="1"/>
  <c r="X29" i="1"/>
  <c r="W29" i="1"/>
  <c r="V29" i="1"/>
  <c r="X28" i="1"/>
  <c r="W28" i="1"/>
  <c r="V28" i="1"/>
  <c r="X27" i="1"/>
  <c r="W27" i="1"/>
  <c r="V27" i="1"/>
  <c r="X26" i="1"/>
  <c r="W26" i="1"/>
  <c r="V26" i="1"/>
  <c r="X25" i="1"/>
  <c r="W25" i="1"/>
  <c r="V25" i="1"/>
  <c r="X24" i="1"/>
  <c r="W24" i="1"/>
  <c r="V24" i="1"/>
  <c r="X23" i="1"/>
  <c r="W23" i="1"/>
  <c r="V23" i="1"/>
  <c r="X22" i="1"/>
  <c r="W22" i="1"/>
  <c r="V22" i="1"/>
  <c r="X21" i="1"/>
  <c r="W21" i="1"/>
  <c r="V21" i="1"/>
  <c r="X20" i="1"/>
  <c r="W20" i="1"/>
  <c r="V20" i="1"/>
  <c r="X19" i="1"/>
  <c r="W19" i="1"/>
  <c r="V19" i="1"/>
  <c r="X18" i="1"/>
  <c r="W18" i="1"/>
  <c r="V18" i="1"/>
  <c r="X17" i="1"/>
  <c r="W17" i="1"/>
  <c r="V17" i="1"/>
  <c r="X16" i="1"/>
  <c r="W16" i="1"/>
  <c r="V16" i="1"/>
  <c r="X15" i="1"/>
  <c r="W15" i="1"/>
  <c r="V15" i="1"/>
  <c r="X14" i="1"/>
  <c r="W14" i="1"/>
  <c r="V14" i="1"/>
  <c r="X13" i="1"/>
  <c r="W13" i="1"/>
  <c r="V13" i="1"/>
  <c r="X12" i="1"/>
  <c r="W12" i="1"/>
  <c r="V12" i="1"/>
  <c r="X11" i="1"/>
  <c r="W11" i="1"/>
  <c r="V11" i="1"/>
  <c r="X10" i="1"/>
  <c r="W10" i="1"/>
  <c r="V10" i="1"/>
  <c r="X9" i="1"/>
  <c r="W9" i="1"/>
  <c r="V9" i="1"/>
  <c r="X8" i="1"/>
  <c r="W8" i="1"/>
  <c r="V8" i="1"/>
  <c r="X7" i="1"/>
  <c r="W7" i="1"/>
  <c r="V7" i="1"/>
  <c r="S203" i="1"/>
  <c r="R203" i="1"/>
  <c r="Q203" i="1"/>
  <c r="S202" i="1"/>
  <c r="R202" i="1"/>
  <c r="Q202" i="1"/>
  <c r="S201" i="1"/>
  <c r="R201" i="1"/>
  <c r="Q201" i="1"/>
  <c r="S200" i="1"/>
  <c r="R200" i="1"/>
  <c r="Q200" i="1"/>
  <c r="S199" i="1"/>
  <c r="R199" i="1"/>
  <c r="Q199" i="1"/>
  <c r="S198" i="1"/>
  <c r="R198" i="1"/>
  <c r="Q198" i="1"/>
  <c r="S197" i="1"/>
  <c r="R197" i="1"/>
  <c r="Q197" i="1"/>
  <c r="S196" i="1"/>
  <c r="R196" i="1"/>
  <c r="Q196" i="1"/>
  <c r="S195" i="1"/>
  <c r="R195" i="1"/>
  <c r="Q195" i="1"/>
  <c r="S194" i="1"/>
  <c r="R194" i="1"/>
  <c r="Q194" i="1"/>
  <c r="S193" i="1"/>
  <c r="R193" i="1"/>
  <c r="Q193" i="1"/>
  <c r="S192" i="1"/>
  <c r="R192" i="1"/>
  <c r="Q192" i="1"/>
  <c r="S191" i="1"/>
  <c r="R191" i="1"/>
  <c r="Q191" i="1"/>
  <c r="S190" i="1"/>
  <c r="R190" i="1"/>
  <c r="Q190" i="1"/>
  <c r="S189" i="1"/>
  <c r="R189" i="1"/>
  <c r="Q189" i="1"/>
  <c r="S188" i="1"/>
  <c r="R188" i="1"/>
  <c r="Q188" i="1"/>
  <c r="S187" i="1"/>
  <c r="R187" i="1"/>
  <c r="Q187" i="1"/>
  <c r="S186" i="1"/>
  <c r="R186" i="1"/>
  <c r="Q186" i="1"/>
  <c r="S185" i="1"/>
  <c r="R185" i="1"/>
  <c r="Q185" i="1"/>
  <c r="S184" i="1"/>
  <c r="R184" i="1"/>
  <c r="Q184" i="1"/>
  <c r="S183" i="1"/>
  <c r="R183" i="1"/>
  <c r="Q183" i="1"/>
  <c r="S182" i="1"/>
  <c r="R182" i="1"/>
  <c r="Q182" i="1"/>
  <c r="S181" i="1"/>
  <c r="R181" i="1"/>
  <c r="Q181" i="1"/>
  <c r="S180" i="1"/>
  <c r="R180" i="1"/>
  <c r="Q180" i="1"/>
  <c r="S179" i="1"/>
  <c r="R179" i="1"/>
  <c r="Q179" i="1"/>
  <c r="S178" i="1"/>
  <c r="R178" i="1"/>
  <c r="Q178" i="1"/>
  <c r="S177" i="1"/>
  <c r="R177" i="1"/>
  <c r="Q177" i="1"/>
  <c r="S176" i="1"/>
  <c r="R176" i="1"/>
  <c r="Q176" i="1"/>
  <c r="S175" i="1"/>
  <c r="R175" i="1"/>
  <c r="Q175" i="1"/>
  <c r="S174" i="1"/>
  <c r="R174" i="1"/>
  <c r="Q174" i="1"/>
  <c r="S173" i="1"/>
  <c r="R173" i="1"/>
  <c r="Q173" i="1"/>
  <c r="S172" i="1"/>
  <c r="R172" i="1"/>
  <c r="Q172" i="1"/>
  <c r="S171" i="1"/>
  <c r="R171" i="1"/>
  <c r="Q171" i="1"/>
  <c r="S170" i="1"/>
  <c r="R170" i="1"/>
  <c r="Q170" i="1"/>
  <c r="S169" i="1"/>
  <c r="R169" i="1"/>
  <c r="Q169" i="1"/>
  <c r="S168" i="1"/>
  <c r="R168" i="1"/>
  <c r="Q168" i="1"/>
  <c r="S167" i="1"/>
  <c r="R167" i="1"/>
  <c r="Q167" i="1"/>
  <c r="S166" i="1"/>
  <c r="R166" i="1"/>
  <c r="Q166" i="1"/>
  <c r="S165" i="1"/>
  <c r="R165" i="1"/>
  <c r="Q165" i="1"/>
  <c r="S164" i="1"/>
  <c r="R164" i="1"/>
  <c r="Q164" i="1"/>
  <c r="S163" i="1"/>
  <c r="R163" i="1"/>
  <c r="Q163" i="1"/>
  <c r="S162" i="1"/>
  <c r="R162" i="1"/>
  <c r="Q162" i="1"/>
  <c r="S161" i="1"/>
  <c r="R161" i="1"/>
  <c r="Q161" i="1"/>
  <c r="S160" i="1"/>
  <c r="R160" i="1"/>
  <c r="Q160" i="1"/>
  <c r="S159" i="1"/>
  <c r="R159" i="1"/>
  <c r="Q159" i="1"/>
  <c r="S158" i="1"/>
  <c r="R158" i="1"/>
  <c r="Q158" i="1"/>
  <c r="S157" i="1"/>
  <c r="R157" i="1"/>
  <c r="Q157" i="1"/>
  <c r="S156" i="1"/>
  <c r="R156" i="1"/>
  <c r="Q156" i="1"/>
  <c r="S155" i="1"/>
  <c r="R155" i="1"/>
  <c r="Q155" i="1"/>
  <c r="S154" i="1"/>
  <c r="R154" i="1"/>
  <c r="Q154" i="1"/>
  <c r="S153" i="1"/>
  <c r="R153" i="1"/>
  <c r="Q153" i="1"/>
  <c r="S152" i="1"/>
  <c r="R152" i="1"/>
  <c r="Q152" i="1"/>
  <c r="S151" i="1"/>
  <c r="R151" i="1"/>
  <c r="Q151" i="1"/>
  <c r="S150" i="1"/>
  <c r="R150" i="1"/>
  <c r="Q150" i="1"/>
  <c r="S149" i="1"/>
  <c r="R149" i="1"/>
  <c r="Q149" i="1"/>
  <c r="S148" i="1"/>
  <c r="R148" i="1"/>
  <c r="Q148" i="1"/>
  <c r="S147" i="1"/>
  <c r="R147" i="1"/>
  <c r="Q147" i="1"/>
  <c r="S146" i="1"/>
  <c r="R146" i="1"/>
  <c r="Q146" i="1"/>
  <c r="S145" i="1"/>
  <c r="R145" i="1"/>
  <c r="Q145" i="1"/>
  <c r="S144" i="1"/>
  <c r="R144" i="1"/>
  <c r="Q144" i="1"/>
  <c r="S143" i="1"/>
  <c r="R143" i="1"/>
  <c r="Q143" i="1"/>
  <c r="S142" i="1"/>
  <c r="R142" i="1"/>
  <c r="Q142" i="1"/>
  <c r="S141" i="1"/>
  <c r="R141" i="1"/>
  <c r="Q141" i="1"/>
  <c r="S140" i="1"/>
  <c r="R140" i="1"/>
  <c r="Q140" i="1"/>
  <c r="S139" i="1"/>
  <c r="R139" i="1"/>
  <c r="Q139" i="1"/>
  <c r="S138" i="1"/>
  <c r="R138" i="1"/>
  <c r="Q138" i="1"/>
  <c r="S137" i="1"/>
  <c r="R137" i="1"/>
  <c r="Q137" i="1"/>
  <c r="S136" i="1"/>
  <c r="R136" i="1"/>
  <c r="Q136" i="1"/>
  <c r="S135" i="1"/>
  <c r="R135" i="1"/>
  <c r="Q135" i="1"/>
  <c r="S134" i="1"/>
  <c r="R134" i="1"/>
  <c r="Q134" i="1"/>
  <c r="S133" i="1"/>
  <c r="R133" i="1"/>
  <c r="Q133" i="1"/>
  <c r="S132" i="1"/>
  <c r="R132" i="1"/>
  <c r="Q132" i="1"/>
  <c r="S131" i="1"/>
  <c r="R131" i="1"/>
  <c r="Q131" i="1"/>
  <c r="S130" i="1"/>
  <c r="R130" i="1"/>
  <c r="Q130" i="1"/>
  <c r="S129" i="1"/>
  <c r="R129" i="1"/>
  <c r="Q129" i="1"/>
  <c r="S128" i="1"/>
  <c r="R128" i="1"/>
  <c r="Q128" i="1"/>
  <c r="S127" i="1"/>
  <c r="R127" i="1"/>
  <c r="Q127" i="1"/>
  <c r="S126" i="1"/>
  <c r="R126" i="1"/>
  <c r="Q126" i="1"/>
  <c r="S125" i="1"/>
  <c r="R125" i="1"/>
  <c r="Q125" i="1"/>
  <c r="S124" i="1"/>
  <c r="R124" i="1"/>
  <c r="Q124" i="1"/>
  <c r="S123" i="1"/>
  <c r="R123" i="1"/>
  <c r="Q123" i="1"/>
  <c r="S122" i="1"/>
  <c r="R122" i="1"/>
  <c r="Q122" i="1"/>
  <c r="S121" i="1"/>
  <c r="R121" i="1"/>
  <c r="Q121" i="1"/>
  <c r="S120" i="1"/>
  <c r="R120" i="1"/>
  <c r="Q120" i="1"/>
  <c r="S119" i="1"/>
  <c r="R119" i="1"/>
  <c r="Q119" i="1"/>
  <c r="S118" i="1"/>
  <c r="R118" i="1"/>
  <c r="Q118" i="1"/>
  <c r="S117" i="1"/>
  <c r="R117" i="1"/>
  <c r="Q117" i="1"/>
  <c r="S116" i="1"/>
  <c r="R116" i="1"/>
  <c r="Q116" i="1"/>
  <c r="S115" i="1"/>
  <c r="R115" i="1"/>
  <c r="Q115" i="1"/>
  <c r="S114" i="1"/>
  <c r="R114" i="1"/>
  <c r="Q114" i="1"/>
  <c r="S113" i="1"/>
  <c r="R113" i="1"/>
  <c r="Q113" i="1"/>
  <c r="S112" i="1"/>
  <c r="R112" i="1"/>
  <c r="Q112" i="1"/>
  <c r="S111" i="1"/>
  <c r="R111" i="1"/>
  <c r="Q111" i="1"/>
  <c r="S110" i="1"/>
  <c r="R110" i="1"/>
  <c r="Q110" i="1"/>
  <c r="S109" i="1"/>
  <c r="R109" i="1"/>
  <c r="Q109" i="1"/>
  <c r="S108" i="1"/>
  <c r="R108" i="1"/>
  <c r="Q108" i="1"/>
  <c r="S107" i="1"/>
  <c r="R107" i="1"/>
  <c r="Q107" i="1"/>
  <c r="S106" i="1"/>
  <c r="R106" i="1"/>
  <c r="Q106" i="1"/>
  <c r="S105" i="1"/>
  <c r="R105" i="1"/>
  <c r="Q105" i="1"/>
  <c r="S104" i="1"/>
  <c r="R104" i="1"/>
  <c r="Q104" i="1"/>
  <c r="S103" i="1"/>
  <c r="R103" i="1"/>
  <c r="Q103" i="1"/>
  <c r="S102" i="1"/>
  <c r="R102" i="1"/>
  <c r="Q102" i="1"/>
  <c r="S101" i="1"/>
  <c r="R101" i="1"/>
  <c r="Q101" i="1"/>
  <c r="S100" i="1"/>
  <c r="R100" i="1"/>
  <c r="Q100" i="1"/>
  <c r="S99" i="1"/>
  <c r="R99" i="1"/>
  <c r="Q99" i="1"/>
  <c r="S98" i="1"/>
  <c r="R98" i="1"/>
  <c r="Q98" i="1"/>
  <c r="S97" i="1"/>
  <c r="R97" i="1"/>
  <c r="Q97" i="1"/>
  <c r="S96" i="1"/>
  <c r="R96" i="1"/>
  <c r="Q96" i="1"/>
  <c r="S95" i="1"/>
  <c r="R95" i="1"/>
  <c r="Q95" i="1"/>
  <c r="S94" i="1"/>
  <c r="R94" i="1"/>
  <c r="Q94" i="1"/>
  <c r="S93" i="1"/>
  <c r="R93" i="1"/>
  <c r="Q93" i="1"/>
  <c r="S92" i="1"/>
  <c r="R92" i="1"/>
  <c r="Q92" i="1"/>
  <c r="S91" i="1"/>
  <c r="R91" i="1"/>
  <c r="Q91" i="1"/>
  <c r="S90" i="1"/>
  <c r="R90" i="1"/>
  <c r="Q90" i="1"/>
  <c r="S89" i="1"/>
  <c r="R89" i="1"/>
  <c r="Q89" i="1"/>
  <c r="S88" i="1"/>
  <c r="R88" i="1"/>
  <c r="Q88" i="1"/>
  <c r="S87" i="1"/>
  <c r="R87" i="1"/>
  <c r="Q87" i="1"/>
  <c r="S86" i="1"/>
  <c r="R86" i="1"/>
  <c r="Q86" i="1"/>
  <c r="S85" i="1"/>
  <c r="R85" i="1"/>
  <c r="Q85" i="1"/>
  <c r="S84" i="1"/>
  <c r="R84" i="1"/>
  <c r="Q84" i="1"/>
  <c r="S83" i="1"/>
  <c r="R83" i="1"/>
  <c r="Q83" i="1"/>
  <c r="S82" i="1"/>
  <c r="R82" i="1"/>
  <c r="Q82" i="1"/>
  <c r="S81" i="1"/>
  <c r="R81" i="1"/>
  <c r="Q81" i="1"/>
  <c r="S80" i="1"/>
  <c r="R80" i="1"/>
  <c r="Q80" i="1"/>
  <c r="S79" i="1"/>
  <c r="R79" i="1"/>
  <c r="Q79" i="1"/>
  <c r="S78" i="1"/>
  <c r="R78" i="1"/>
  <c r="Q78" i="1"/>
  <c r="S77" i="1"/>
  <c r="R77" i="1"/>
  <c r="Q77" i="1"/>
  <c r="S76" i="1"/>
  <c r="R76" i="1"/>
  <c r="Q76" i="1"/>
  <c r="S75" i="1"/>
  <c r="R75" i="1"/>
  <c r="Q75" i="1"/>
  <c r="S74" i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32" i="1"/>
  <c r="R32" i="1"/>
  <c r="Q32" i="1"/>
  <c r="S31" i="1"/>
  <c r="R31" i="1"/>
  <c r="Q31" i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R12" i="1"/>
  <c r="Q12" i="1"/>
  <c r="S11" i="1"/>
  <c r="R11" i="1"/>
  <c r="Q11" i="1"/>
  <c r="S10" i="1"/>
  <c r="R10" i="1"/>
  <c r="Q10" i="1"/>
  <c r="S9" i="1"/>
  <c r="R9" i="1"/>
  <c r="Q9" i="1"/>
  <c r="S8" i="1"/>
  <c r="R8" i="1"/>
  <c r="Q8" i="1"/>
  <c r="S7" i="1"/>
  <c r="R7" i="1"/>
  <c r="Q7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BZ203" i="1"/>
  <c r="BY203" i="1"/>
  <c r="BX203" i="1" s="1"/>
  <c r="BW203" i="1"/>
  <c r="BV203" i="1"/>
  <c r="BU203" i="1" s="1"/>
  <c r="BZ201" i="1"/>
  <c r="BY201" i="1"/>
  <c r="BW201" i="1"/>
  <c r="BV201" i="1"/>
  <c r="BZ200" i="1"/>
  <c r="BY200" i="1"/>
  <c r="BX200" i="1" s="1"/>
  <c r="BW200" i="1"/>
  <c r="BV200" i="1"/>
  <c r="BZ199" i="1"/>
  <c r="BY199" i="1"/>
  <c r="BW199" i="1"/>
  <c r="BV199" i="1"/>
  <c r="BU199" i="1" s="1"/>
  <c r="BZ197" i="1"/>
  <c r="BY197" i="1"/>
  <c r="BX197" i="1" s="1"/>
  <c r="BW197" i="1"/>
  <c r="BV197" i="1"/>
  <c r="BZ196" i="1"/>
  <c r="BY196" i="1"/>
  <c r="BW196" i="1"/>
  <c r="BV196" i="1"/>
  <c r="BU196" i="1" s="1"/>
  <c r="BZ195" i="1"/>
  <c r="BY195" i="1"/>
  <c r="BW195" i="1"/>
  <c r="BV195" i="1"/>
  <c r="BU195" i="1" s="1"/>
  <c r="BZ194" i="1"/>
  <c r="BY194" i="1"/>
  <c r="BW194" i="1"/>
  <c r="BV194" i="1"/>
  <c r="BZ193" i="1"/>
  <c r="BY193" i="1"/>
  <c r="BX193" i="1" s="1"/>
  <c r="BW193" i="1"/>
  <c r="BV193" i="1"/>
  <c r="BZ192" i="1"/>
  <c r="BY192" i="1"/>
  <c r="BW192" i="1"/>
  <c r="BV192" i="1"/>
  <c r="BU192" i="1" s="1"/>
  <c r="BZ191" i="1"/>
  <c r="BY191" i="1"/>
  <c r="BW191" i="1"/>
  <c r="BV191" i="1"/>
  <c r="BZ190" i="1"/>
  <c r="BY190" i="1"/>
  <c r="BW190" i="1"/>
  <c r="BV190" i="1"/>
  <c r="BU190" i="1" s="1"/>
  <c r="BZ189" i="1"/>
  <c r="BY189" i="1"/>
  <c r="BW189" i="1"/>
  <c r="BV189" i="1"/>
  <c r="BZ188" i="1"/>
  <c r="BY188" i="1"/>
  <c r="BW188" i="1"/>
  <c r="BV188" i="1"/>
  <c r="BZ187" i="1"/>
  <c r="BY187" i="1"/>
  <c r="BW187" i="1"/>
  <c r="BV187" i="1"/>
  <c r="BZ186" i="1"/>
  <c r="BY186" i="1"/>
  <c r="BW186" i="1"/>
  <c r="BV186" i="1"/>
  <c r="BU186" i="1" s="1"/>
  <c r="BZ185" i="1"/>
  <c r="BY185" i="1"/>
  <c r="BX185" i="1" s="1"/>
  <c r="BW185" i="1"/>
  <c r="BV185" i="1"/>
  <c r="BZ184" i="1"/>
  <c r="BY184" i="1"/>
  <c r="BW184" i="1"/>
  <c r="BV184" i="1"/>
  <c r="BU184" i="1" s="1"/>
  <c r="BZ183" i="1"/>
  <c r="BY183" i="1"/>
  <c r="BW183" i="1"/>
  <c r="BV183" i="1"/>
  <c r="BU183" i="1" s="1"/>
  <c r="BZ182" i="1"/>
  <c r="BY182" i="1"/>
  <c r="BW182" i="1"/>
  <c r="BV182" i="1"/>
  <c r="BZ181" i="1"/>
  <c r="BY181" i="1"/>
  <c r="BX181" i="1" s="1"/>
  <c r="BW181" i="1"/>
  <c r="BV181" i="1"/>
  <c r="BU181" i="1" s="1"/>
  <c r="BZ180" i="1"/>
  <c r="BY180" i="1"/>
  <c r="BX180" i="1" s="1"/>
  <c r="BW180" i="1"/>
  <c r="BV180" i="1"/>
  <c r="BZ178" i="1"/>
  <c r="BY178" i="1"/>
  <c r="BX178" i="1" s="1"/>
  <c r="BW178" i="1"/>
  <c r="BV178" i="1"/>
  <c r="BU178" i="1" s="1"/>
  <c r="BZ177" i="1"/>
  <c r="BY177" i="1"/>
  <c r="BX177" i="1" s="1"/>
  <c r="BW177" i="1"/>
  <c r="BV177" i="1"/>
  <c r="BZ176" i="1"/>
  <c r="BY176" i="1"/>
  <c r="BW176" i="1"/>
  <c r="BV176" i="1"/>
  <c r="BU176" i="1" s="1"/>
  <c r="BZ175" i="1"/>
  <c r="BY175" i="1"/>
  <c r="BX175" i="1" s="1"/>
  <c r="BW175" i="1"/>
  <c r="BV175" i="1"/>
  <c r="BZ174" i="1"/>
  <c r="BY174" i="1"/>
  <c r="BW174" i="1"/>
  <c r="BV174" i="1"/>
  <c r="BU174" i="1" s="1"/>
  <c r="BZ173" i="1"/>
  <c r="BY173" i="1"/>
  <c r="BW173" i="1"/>
  <c r="BV173" i="1"/>
  <c r="BZ172" i="1"/>
  <c r="BY172" i="1"/>
  <c r="BW172" i="1"/>
  <c r="BV172" i="1"/>
  <c r="BZ171" i="1"/>
  <c r="BY171" i="1"/>
  <c r="BW171" i="1"/>
  <c r="BV171" i="1"/>
  <c r="BU171" i="1" s="1"/>
  <c r="BZ170" i="1"/>
  <c r="BY170" i="1"/>
  <c r="BX170" i="1" s="1"/>
  <c r="BW170" i="1"/>
  <c r="BV170" i="1"/>
  <c r="BZ169" i="1"/>
  <c r="BY169" i="1"/>
  <c r="BX169" i="1" s="1"/>
  <c r="BW169" i="1"/>
  <c r="BV169" i="1"/>
  <c r="BU169" i="1" s="1"/>
  <c r="BZ168" i="1"/>
  <c r="BY168" i="1"/>
  <c r="BW168" i="1"/>
  <c r="BV168" i="1"/>
  <c r="BZ167" i="1"/>
  <c r="BY167" i="1"/>
  <c r="BW167" i="1"/>
  <c r="BV167" i="1"/>
  <c r="BU167" i="1" s="1"/>
  <c r="BZ166" i="1"/>
  <c r="BY166" i="1"/>
  <c r="BX166" i="1" s="1"/>
  <c r="BW166" i="1"/>
  <c r="BV166" i="1"/>
  <c r="BZ165" i="1"/>
  <c r="BY165" i="1"/>
  <c r="BX165" i="1" s="1"/>
  <c r="BW165" i="1"/>
  <c r="BV165" i="1"/>
  <c r="BZ164" i="1"/>
  <c r="BY164" i="1"/>
  <c r="BW164" i="1"/>
  <c r="BV164" i="1"/>
  <c r="BZ163" i="1"/>
  <c r="BY163" i="1"/>
  <c r="BW163" i="1"/>
  <c r="BV163" i="1"/>
  <c r="BU163" i="1" s="1"/>
  <c r="BZ162" i="1"/>
  <c r="BY162" i="1"/>
  <c r="BW162" i="1"/>
  <c r="BV162" i="1"/>
  <c r="BU162" i="1" s="1"/>
  <c r="BZ161" i="1"/>
  <c r="BY161" i="1"/>
  <c r="BW161" i="1"/>
  <c r="BV161" i="1"/>
  <c r="BU161" i="1" s="1"/>
  <c r="BZ160" i="1"/>
  <c r="BY160" i="1"/>
  <c r="BX160" i="1" s="1"/>
  <c r="BW160" i="1"/>
  <c r="BV160" i="1"/>
  <c r="BU160" i="1" s="1"/>
  <c r="BZ159" i="1"/>
  <c r="BY159" i="1"/>
  <c r="BX159" i="1" s="1"/>
  <c r="BW159" i="1"/>
  <c r="BV159" i="1"/>
  <c r="BU159" i="1" s="1"/>
  <c r="BZ158" i="1"/>
  <c r="BY158" i="1"/>
  <c r="BX158" i="1" s="1"/>
  <c r="BW158" i="1"/>
  <c r="BV158" i="1"/>
  <c r="BU158" i="1" s="1"/>
  <c r="BZ157" i="1"/>
  <c r="BY157" i="1"/>
  <c r="BX157" i="1" s="1"/>
  <c r="BW157" i="1"/>
  <c r="BV157" i="1"/>
  <c r="BU157" i="1" s="1"/>
  <c r="BZ156" i="1"/>
  <c r="BY156" i="1"/>
  <c r="BW156" i="1"/>
  <c r="BV156" i="1"/>
  <c r="BZ155" i="1"/>
  <c r="BY155" i="1"/>
  <c r="BW155" i="1"/>
  <c r="BV155" i="1"/>
  <c r="BZ154" i="1"/>
  <c r="BY154" i="1"/>
  <c r="BX154" i="1" s="1"/>
  <c r="BW154" i="1"/>
  <c r="BV154" i="1"/>
  <c r="BU154" i="1" s="1"/>
  <c r="BZ153" i="1"/>
  <c r="BY153" i="1"/>
  <c r="BX153" i="1" s="1"/>
  <c r="BW153" i="1"/>
  <c r="BV153" i="1"/>
  <c r="BZ152" i="1"/>
  <c r="BY152" i="1"/>
  <c r="BX152" i="1" s="1"/>
  <c r="BW152" i="1"/>
  <c r="BV152" i="1"/>
  <c r="BU152" i="1" s="1"/>
  <c r="BZ151" i="1"/>
  <c r="BY151" i="1"/>
  <c r="BX151" i="1" s="1"/>
  <c r="BW151" i="1"/>
  <c r="BV151" i="1"/>
  <c r="BU151" i="1" s="1"/>
  <c r="BZ150" i="1"/>
  <c r="BY150" i="1"/>
  <c r="BX150" i="1" s="1"/>
  <c r="BW150" i="1"/>
  <c r="BV150" i="1"/>
  <c r="BU150" i="1" s="1"/>
  <c r="BZ149" i="1"/>
  <c r="BY149" i="1"/>
  <c r="BX149" i="1" s="1"/>
  <c r="BW149" i="1"/>
  <c r="BV149" i="1"/>
  <c r="BU149" i="1" s="1"/>
  <c r="BZ148" i="1"/>
  <c r="BY148" i="1"/>
  <c r="BX148" i="1" s="1"/>
  <c r="BW148" i="1"/>
  <c r="BV148" i="1"/>
  <c r="BZ147" i="1"/>
  <c r="BY147" i="1"/>
  <c r="BX147" i="1" s="1"/>
  <c r="BW147" i="1"/>
  <c r="BV147" i="1"/>
  <c r="BU147" i="1" s="1"/>
  <c r="BZ146" i="1"/>
  <c r="BY146" i="1"/>
  <c r="BX146" i="1" s="1"/>
  <c r="BW146" i="1"/>
  <c r="BV146" i="1"/>
  <c r="BU146" i="1" s="1"/>
  <c r="BZ145" i="1"/>
  <c r="BY145" i="1"/>
  <c r="BX145" i="1" s="1"/>
  <c r="BW145" i="1"/>
  <c r="BV145" i="1"/>
  <c r="BU145" i="1" s="1"/>
  <c r="BZ144" i="1"/>
  <c r="BY144" i="1"/>
  <c r="BX144" i="1" s="1"/>
  <c r="BW144" i="1"/>
  <c r="BV144" i="1"/>
  <c r="BU144" i="1" s="1"/>
  <c r="BZ143" i="1"/>
  <c r="BY143" i="1"/>
  <c r="BX143" i="1" s="1"/>
  <c r="BW143" i="1"/>
  <c r="BV143" i="1"/>
  <c r="BU143" i="1" s="1"/>
  <c r="BZ142" i="1"/>
  <c r="BY142" i="1"/>
  <c r="BW142" i="1"/>
  <c r="BV142" i="1"/>
  <c r="BZ141" i="1"/>
  <c r="BY141" i="1"/>
  <c r="BW141" i="1"/>
  <c r="BV141" i="1"/>
  <c r="BZ140" i="1"/>
  <c r="BY140" i="1"/>
  <c r="BX140" i="1" s="1"/>
  <c r="BW140" i="1"/>
  <c r="BV140" i="1"/>
  <c r="BU140" i="1" s="1"/>
  <c r="BZ139" i="1"/>
  <c r="BY139" i="1"/>
  <c r="BX139" i="1" s="1"/>
  <c r="BW139" i="1"/>
  <c r="BV139" i="1"/>
  <c r="BZ138" i="1"/>
  <c r="BY138" i="1"/>
  <c r="BW138" i="1"/>
  <c r="BV138" i="1"/>
  <c r="BU138" i="1" s="1"/>
  <c r="BZ137" i="1"/>
  <c r="BY137" i="1"/>
  <c r="BW137" i="1"/>
  <c r="BV137" i="1"/>
  <c r="BU137" i="1" s="1"/>
  <c r="BZ136" i="1"/>
  <c r="BY136" i="1"/>
  <c r="BX136" i="1" s="1"/>
  <c r="BW136" i="1"/>
  <c r="BV136" i="1"/>
  <c r="BU136" i="1" s="1"/>
  <c r="BZ135" i="1"/>
  <c r="BY135" i="1"/>
  <c r="BW135" i="1"/>
  <c r="BV135" i="1"/>
  <c r="BU135" i="1" s="1"/>
  <c r="BZ134" i="1"/>
  <c r="BY134" i="1"/>
  <c r="BW134" i="1"/>
  <c r="BV134" i="1"/>
  <c r="BU134" i="1" s="1"/>
  <c r="BZ133" i="1"/>
  <c r="BY133" i="1"/>
  <c r="BW133" i="1"/>
  <c r="BV133" i="1"/>
  <c r="BU133" i="1" s="1"/>
  <c r="BZ132" i="1"/>
  <c r="BY132" i="1"/>
  <c r="BW132" i="1"/>
  <c r="BV132" i="1"/>
  <c r="BZ131" i="1"/>
  <c r="BY131" i="1"/>
  <c r="BW131" i="1"/>
  <c r="BV131" i="1"/>
  <c r="BU131" i="1" s="1"/>
  <c r="BZ130" i="1"/>
  <c r="BY130" i="1"/>
  <c r="BX130" i="1" s="1"/>
  <c r="BW130" i="1"/>
  <c r="BV130" i="1"/>
  <c r="BU130" i="1" s="1"/>
  <c r="BZ129" i="1"/>
  <c r="BY129" i="1"/>
  <c r="BW129" i="1"/>
  <c r="BV129" i="1"/>
  <c r="BZ128" i="1"/>
  <c r="BY128" i="1"/>
  <c r="BW128" i="1"/>
  <c r="BV128" i="1"/>
  <c r="BZ127" i="1"/>
  <c r="BY127" i="1"/>
  <c r="BW127" i="1"/>
  <c r="BV127" i="1"/>
  <c r="BU127" i="1" s="1"/>
  <c r="BZ126" i="1"/>
  <c r="BY126" i="1"/>
  <c r="BX126" i="1" s="1"/>
  <c r="BW126" i="1"/>
  <c r="BV126" i="1"/>
  <c r="BU126" i="1" s="1"/>
  <c r="BZ124" i="1"/>
  <c r="BY124" i="1"/>
  <c r="BX124" i="1" s="1"/>
  <c r="BW124" i="1"/>
  <c r="BV124" i="1"/>
  <c r="BZ123" i="1"/>
  <c r="BY123" i="1"/>
  <c r="BW123" i="1"/>
  <c r="BV123" i="1"/>
  <c r="BZ122" i="1"/>
  <c r="BY122" i="1"/>
  <c r="BW122" i="1"/>
  <c r="BV122" i="1"/>
  <c r="BU122" i="1" s="1"/>
  <c r="BZ121" i="1"/>
  <c r="BY121" i="1"/>
  <c r="BW121" i="1"/>
  <c r="BV121" i="1"/>
  <c r="BZ120" i="1"/>
  <c r="BY120" i="1"/>
  <c r="BW120" i="1"/>
  <c r="BV120" i="1"/>
  <c r="BZ119" i="1"/>
  <c r="BY119" i="1"/>
  <c r="BW119" i="1"/>
  <c r="BV119" i="1"/>
  <c r="BU119" i="1" s="1"/>
  <c r="BZ118" i="1"/>
  <c r="BY118" i="1"/>
  <c r="BW118" i="1"/>
  <c r="BV118" i="1"/>
  <c r="BZ117" i="1"/>
  <c r="BY117" i="1"/>
  <c r="BX117" i="1" s="1"/>
  <c r="BW117" i="1"/>
  <c r="BV117" i="1"/>
  <c r="BU117" i="1" s="1"/>
  <c r="BZ116" i="1"/>
  <c r="BY116" i="1"/>
  <c r="BX116" i="1" s="1"/>
  <c r="BW116" i="1"/>
  <c r="BV116" i="1"/>
  <c r="BZ115" i="1"/>
  <c r="BY115" i="1"/>
  <c r="BW115" i="1"/>
  <c r="BV115" i="1"/>
  <c r="BU115" i="1" s="1"/>
  <c r="BZ114" i="1"/>
  <c r="BY114" i="1"/>
  <c r="BW114" i="1"/>
  <c r="BV114" i="1"/>
  <c r="BU114" i="1" s="1"/>
  <c r="BZ113" i="1"/>
  <c r="BY113" i="1"/>
  <c r="BX113" i="1" s="1"/>
  <c r="BW113" i="1"/>
  <c r="BV113" i="1"/>
  <c r="BZ112" i="1"/>
  <c r="BY112" i="1"/>
  <c r="BW112" i="1"/>
  <c r="BV112" i="1"/>
  <c r="BU112" i="1" s="1"/>
  <c r="BZ111" i="1"/>
  <c r="BY111" i="1"/>
  <c r="BX111" i="1" s="1"/>
  <c r="BW111" i="1"/>
  <c r="BV111" i="1"/>
  <c r="BU111" i="1" s="1"/>
  <c r="BZ110" i="1"/>
  <c r="BY110" i="1"/>
  <c r="BW110" i="1"/>
  <c r="BV110" i="1"/>
  <c r="BU110" i="1" s="1"/>
  <c r="BZ109" i="1"/>
  <c r="BY109" i="1"/>
  <c r="BW109" i="1"/>
  <c r="BV109" i="1"/>
  <c r="BZ108" i="1"/>
  <c r="BY108" i="1"/>
  <c r="BW108" i="1"/>
  <c r="BV108" i="1"/>
  <c r="BU108" i="1" s="1"/>
  <c r="BZ107" i="1"/>
  <c r="BY107" i="1"/>
  <c r="BW107" i="1"/>
  <c r="BV107" i="1"/>
  <c r="BZ106" i="1"/>
  <c r="BY106" i="1"/>
  <c r="BX106" i="1" s="1"/>
  <c r="BW106" i="1"/>
  <c r="BV106" i="1"/>
  <c r="BU106" i="1" s="1"/>
  <c r="BZ105" i="1"/>
  <c r="BY105" i="1"/>
  <c r="BW105" i="1"/>
  <c r="BV105" i="1"/>
  <c r="BU105" i="1" s="1"/>
  <c r="BZ104" i="1"/>
  <c r="BY104" i="1"/>
  <c r="BX104" i="1" s="1"/>
  <c r="BW104" i="1"/>
  <c r="BV104" i="1"/>
  <c r="BU104" i="1" s="1"/>
  <c r="BZ103" i="1"/>
  <c r="BY103" i="1"/>
  <c r="BW103" i="1"/>
  <c r="BV103" i="1"/>
  <c r="BZ102" i="1"/>
  <c r="BY102" i="1"/>
  <c r="BX102" i="1" s="1"/>
  <c r="BW102" i="1"/>
  <c r="BV102" i="1"/>
  <c r="BU102" i="1" s="1"/>
  <c r="BZ101" i="1"/>
  <c r="BY101" i="1"/>
  <c r="BW101" i="1"/>
  <c r="BV101" i="1"/>
  <c r="BU101" i="1" s="1"/>
  <c r="BZ100" i="1"/>
  <c r="BY100" i="1"/>
  <c r="BW100" i="1"/>
  <c r="BV100" i="1"/>
  <c r="BU100" i="1" s="1"/>
  <c r="BZ99" i="1"/>
  <c r="BY99" i="1"/>
  <c r="BX99" i="1" s="1"/>
  <c r="BW99" i="1"/>
  <c r="BV99" i="1"/>
  <c r="BU99" i="1" s="1"/>
  <c r="BZ98" i="1"/>
  <c r="BY98" i="1"/>
  <c r="BW98" i="1"/>
  <c r="BV98" i="1"/>
  <c r="BZ97" i="1"/>
  <c r="BY97" i="1"/>
  <c r="BW97" i="1"/>
  <c r="BV97" i="1"/>
  <c r="BZ96" i="1"/>
  <c r="BY96" i="1"/>
  <c r="BX96" i="1" s="1"/>
  <c r="BW96" i="1"/>
  <c r="BV96" i="1"/>
  <c r="BU96" i="1" s="1"/>
  <c r="BZ95" i="1"/>
  <c r="BY95" i="1"/>
  <c r="BX95" i="1" s="1"/>
  <c r="BW95" i="1"/>
  <c r="BV95" i="1"/>
  <c r="BU95" i="1" s="1"/>
  <c r="BZ94" i="1"/>
  <c r="BY94" i="1"/>
  <c r="BW94" i="1"/>
  <c r="BV94" i="1"/>
  <c r="BZ93" i="1"/>
  <c r="BY93" i="1"/>
  <c r="BW93" i="1"/>
  <c r="BV93" i="1"/>
  <c r="BU93" i="1" s="1"/>
  <c r="BZ92" i="1"/>
  <c r="BY92" i="1"/>
  <c r="BW92" i="1"/>
  <c r="BV92" i="1"/>
  <c r="BU92" i="1" s="1"/>
  <c r="BZ91" i="1"/>
  <c r="BY91" i="1"/>
  <c r="BW91" i="1"/>
  <c r="BV91" i="1"/>
  <c r="BU91" i="1" s="1"/>
  <c r="BZ90" i="1"/>
  <c r="BY90" i="1"/>
  <c r="BW90" i="1"/>
  <c r="BV90" i="1"/>
  <c r="BZ89" i="1"/>
  <c r="BY89" i="1"/>
  <c r="BX89" i="1" s="1"/>
  <c r="BW89" i="1"/>
  <c r="BV89" i="1"/>
  <c r="BU89" i="1" s="1"/>
  <c r="BZ87" i="1"/>
  <c r="BY87" i="1"/>
  <c r="BX87" i="1" s="1"/>
  <c r="BW87" i="1"/>
  <c r="BV87" i="1"/>
  <c r="BZ86" i="1"/>
  <c r="BY86" i="1"/>
  <c r="BW86" i="1"/>
  <c r="BV86" i="1"/>
  <c r="BZ84" i="1"/>
  <c r="BY84" i="1"/>
  <c r="BW84" i="1"/>
  <c r="BV84" i="1"/>
  <c r="BU84" i="1" s="1"/>
  <c r="BZ82" i="1"/>
  <c r="BY82" i="1"/>
  <c r="BW82" i="1"/>
  <c r="BV82" i="1"/>
  <c r="BZ81" i="1"/>
  <c r="BY81" i="1"/>
  <c r="BX81" i="1" s="1"/>
  <c r="BW81" i="1"/>
  <c r="BV81" i="1"/>
  <c r="BU81" i="1" s="1"/>
  <c r="BZ80" i="1"/>
  <c r="BY80" i="1"/>
  <c r="BX80" i="1" s="1"/>
  <c r="BW80" i="1"/>
  <c r="BV80" i="1"/>
  <c r="BZ79" i="1"/>
  <c r="BY79" i="1"/>
  <c r="BW79" i="1"/>
  <c r="BV79" i="1"/>
  <c r="BZ78" i="1"/>
  <c r="BY78" i="1"/>
  <c r="BW78" i="1"/>
  <c r="BV78" i="1"/>
  <c r="BZ77" i="1"/>
  <c r="BY77" i="1"/>
  <c r="BW77" i="1"/>
  <c r="BV77" i="1"/>
  <c r="BU77" i="1" s="1"/>
  <c r="BZ76" i="1"/>
  <c r="BY76" i="1"/>
  <c r="BW76" i="1"/>
  <c r="BV76" i="1"/>
  <c r="BU76" i="1" s="1"/>
  <c r="BZ75" i="1"/>
  <c r="BY75" i="1"/>
  <c r="BX75" i="1" s="1"/>
  <c r="BW75" i="1"/>
  <c r="BV75" i="1"/>
  <c r="BZ74" i="1"/>
  <c r="BY74" i="1"/>
  <c r="BX74" i="1" s="1"/>
  <c r="BW74" i="1"/>
  <c r="BV74" i="1"/>
  <c r="BU74" i="1" s="1"/>
  <c r="BZ73" i="1"/>
  <c r="BY73" i="1"/>
  <c r="BW73" i="1"/>
  <c r="BV73" i="1"/>
  <c r="BU73" i="1" s="1"/>
  <c r="BZ72" i="1"/>
  <c r="BY72" i="1"/>
  <c r="BW72" i="1"/>
  <c r="BV72" i="1"/>
  <c r="BZ71" i="1"/>
  <c r="BY71" i="1"/>
  <c r="BX71" i="1" s="1"/>
  <c r="BW71" i="1"/>
  <c r="BV71" i="1"/>
  <c r="BZ70" i="1"/>
  <c r="BY70" i="1"/>
  <c r="BX70" i="1" s="1"/>
  <c r="BW70" i="1"/>
  <c r="BV70" i="1"/>
  <c r="BZ69" i="1"/>
  <c r="BY69" i="1"/>
  <c r="BW69" i="1"/>
  <c r="BV69" i="1"/>
  <c r="BU69" i="1" s="1"/>
  <c r="BZ67" i="1"/>
  <c r="BY67" i="1"/>
  <c r="BW67" i="1"/>
  <c r="BV67" i="1"/>
  <c r="BU67" i="1" s="1"/>
  <c r="BZ66" i="1"/>
  <c r="BY66" i="1"/>
  <c r="BW66" i="1"/>
  <c r="BV66" i="1"/>
  <c r="BZ65" i="1"/>
  <c r="BY65" i="1"/>
  <c r="BW65" i="1"/>
  <c r="BV65" i="1"/>
  <c r="BU65" i="1" s="1"/>
  <c r="BZ64" i="1"/>
  <c r="BY64" i="1"/>
  <c r="BW64" i="1"/>
  <c r="BV64" i="1"/>
  <c r="BZ63" i="1"/>
  <c r="BY63" i="1"/>
  <c r="BX63" i="1" s="1"/>
  <c r="BW63" i="1"/>
  <c r="BV63" i="1"/>
  <c r="BZ62" i="1"/>
  <c r="BY62" i="1"/>
  <c r="BX62" i="1" s="1"/>
  <c r="BW62" i="1"/>
  <c r="BV62" i="1"/>
  <c r="BZ61" i="1"/>
  <c r="BY61" i="1"/>
  <c r="BX61" i="1" s="1"/>
  <c r="BW61" i="1"/>
  <c r="BV61" i="1"/>
  <c r="BU61" i="1" s="1"/>
  <c r="BZ60" i="1"/>
  <c r="BY60" i="1"/>
  <c r="BW60" i="1"/>
  <c r="BV60" i="1"/>
  <c r="BZ59" i="1"/>
  <c r="BY59" i="1"/>
  <c r="BW59" i="1"/>
  <c r="BV59" i="1"/>
  <c r="BU59" i="1" s="1"/>
  <c r="BZ58" i="1"/>
  <c r="BY58" i="1"/>
  <c r="BW58" i="1"/>
  <c r="BV58" i="1"/>
  <c r="BU58" i="1" s="1"/>
  <c r="BZ57" i="1"/>
  <c r="BY57" i="1"/>
  <c r="BX57" i="1" s="1"/>
  <c r="BW57" i="1"/>
  <c r="BV57" i="1"/>
  <c r="BZ56" i="1"/>
  <c r="BY56" i="1"/>
  <c r="BX56" i="1" s="1"/>
  <c r="BW56" i="1"/>
  <c r="BV56" i="1"/>
  <c r="BZ55" i="1"/>
  <c r="BY55" i="1"/>
  <c r="BX55" i="1" s="1"/>
  <c r="BW55" i="1"/>
  <c r="BV55" i="1"/>
  <c r="BZ54" i="1"/>
  <c r="BY54" i="1"/>
  <c r="BX54" i="1" s="1"/>
  <c r="BW54" i="1"/>
  <c r="BV54" i="1"/>
  <c r="BZ53" i="1"/>
  <c r="BY53" i="1"/>
  <c r="BW53" i="1"/>
  <c r="BV53" i="1"/>
  <c r="BZ52" i="1"/>
  <c r="BY52" i="1"/>
  <c r="BX52" i="1" s="1"/>
  <c r="BW52" i="1"/>
  <c r="BV52" i="1"/>
  <c r="BU52" i="1" s="1"/>
  <c r="BZ51" i="1"/>
  <c r="BY51" i="1"/>
  <c r="BW51" i="1"/>
  <c r="BV51" i="1"/>
  <c r="BZ50" i="1"/>
  <c r="BY50" i="1"/>
  <c r="BW50" i="1"/>
  <c r="BV50" i="1"/>
  <c r="BZ49" i="1"/>
  <c r="BY49" i="1"/>
  <c r="BX49" i="1" s="1"/>
  <c r="BW49" i="1"/>
  <c r="BV49" i="1"/>
  <c r="BZ48" i="1"/>
  <c r="BY48" i="1"/>
  <c r="BW48" i="1"/>
  <c r="BV48" i="1"/>
  <c r="BU48" i="1" s="1"/>
  <c r="BZ47" i="1"/>
  <c r="BY47" i="1"/>
  <c r="BX47" i="1" s="1"/>
  <c r="BW47" i="1"/>
  <c r="BV47" i="1"/>
  <c r="BZ46" i="1"/>
  <c r="BY46" i="1"/>
  <c r="BW46" i="1"/>
  <c r="BV46" i="1"/>
  <c r="BU46" i="1" s="1"/>
  <c r="BZ45" i="1"/>
  <c r="BY45" i="1"/>
  <c r="BX45" i="1" s="1"/>
  <c r="BW45" i="1"/>
  <c r="BV45" i="1"/>
  <c r="BU45" i="1" s="1"/>
  <c r="BZ44" i="1"/>
  <c r="BY44" i="1"/>
  <c r="BW44" i="1"/>
  <c r="BV44" i="1"/>
  <c r="BZ43" i="1"/>
  <c r="BY43" i="1"/>
  <c r="BW43" i="1"/>
  <c r="BV43" i="1"/>
  <c r="BZ42" i="1"/>
  <c r="BY42" i="1"/>
  <c r="BW42" i="1"/>
  <c r="BV42" i="1"/>
  <c r="BU42" i="1" s="1"/>
  <c r="BZ41" i="1"/>
  <c r="BY41" i="1"/>
  <c r="BW41" i="1"/>
  <c r="BV41" i="1"/>
  <c r="BZ40" i="1"/>
  <c r="BY40" i="1"/>
  <c r="BW40" i="1"/>
  <c r="BV40" i="1"/>
  <c r="BZ39" i="1"/>
  <c r="BY39" i="1"/>
  <c r="BW39" i="1"/>
  <c r="BV39" i="1"/>
  <c r="BU39" i="1" s="1"/>
  <c r="BZ38" i="1"/>
  <c r="BY38" i="1"/>
  <c r="BW38" i="1"/>
  <c r="BV38" i="1"/>
  <c r="BU38" i="1" s="1"/>
  <c r="BZ37" i="1"/>
  <c r="BY37" i="1"/>
  <c r="BW37" i="1"/>
  <c r="BV37" i="1"/>
  <c r="BZ36" i="1"/>
  <c r="BY36" i="1"/>
  <c r="BX36" i="1" s="1"/>
  <c r="BW36" i="1"/>
  <c r="BV36" i="1"/>
  <c r="BU36" i="1" s="1"/>
  <c r="BZ35" i="1"/>
  <c r="BY35" i="1"/>
  <c r="BX35" i="1" s="1"/>
  <c r="BW35" i="1"/>
  <c r="BV35" i="1"/>
  <c r="BU35" i="1" s="1"/>
  <c r="BZ34" i="1"/>
  <c r="BY34" i="1"/>
  <c r="BX34" i="1" s="1"/>
  <c r="BW34" i="1"/>
  <c r="BV34" i="1"/>
  <c r="BU34" i="1" s="1"/>
  <c r="BZ33" i="1"/>
  <c r="BY33" i="1"/>
  <c r="BX33" i="1" s="1"/>
  <c r="BW33" i="1"/>
  <c r="BV33" i="1"/>
  <c r="BZ32" i="1"/>
  <c r="BY32" i="1"/>
  <c r="BW32" i="1"/>
  <c r="BV32" i="1"/>
  <c r="BU32" i="1" s="1"/>
  <c r="BZ31" i="1"/>
  <c r="BY31" i="1"/>
  <c r="BW31" i="1"/>
  <c r="BU31" i="1" s="1"/>
  <c r="BV31" i="1"/>
  <c r="BZ30" i="1"/>
  <c r="BY30" i="1"/>
  <c r="BX30" i="1" s="1"/>
  <c r="BW30" i="1"/>
  <c r="BV30" i="1"/>
  <c r="BU30" i="1" s="1"/>
  <c r="BZ29" i="1"/>
  <c r="BY29" i="1"/>
  <c r="BX29" i="1" s="1"/>
  <c r="BW29" i="1"/>
  <c r="BV29" i="1"/>
  <c r="BZ28" i="1"/>
  <c r="BY28" i="1"/>
  <c r="BX28" i="1" s="1"/>
  <c r="BW28" i="1"/>
  <c r="BV28" i="1"/>
  <c r="BZ27" i="1"/>
  <c r="BY27" i="1"/>
  <c r="BW27" i="1"/>
  <c r="BV27" i="1"/>
  <c r="BZ26" i="1"/>
  <c r="BY26" i="1"/>
  <c r="BX26" i="1" s="1"/>
  <c r="BW26" i="1"/>
  <c r="BV26" i="1"/>
  <c r="BZ25" i="1"/>
  <c r="BY25" i="1"/>
  <c r="BX25" i="1" s="1"/>
  <c r="BW25" i="1"/>
  <c r="BV25" i="1"/>
  <c r="BU25" i="1" s="1"/>
  <c r="BZ23" i="1"/>
  <c r="BY23" i="1"/>
  <c r="BX23" i="1" s="1"/>
  <c r="BW23" i="1"/>
  <c r="BV23" i="1"/>
  <c r="BU23" i="1" s="1"/>
  <c r="BZ22" i="1"/>
  <c r="BY22" i="1"/>
  <c r="BW22" i="1"/>
  <c r="BV22" i="1"/>
  <c r="BZ21" i="1"/>
  <c r="BY21" i="1"/>
  <c r="BX21" i="1" s="1"/>
  <c r="BW21" i="1"/>
  <c r="BV21" i="1"/>
  <c r="BZ20" i="1"/>
  <c r="BY20" i="1"/>
  <c r="BW20" i="1"/>
  <c r="BV20" i="1"/>
  <c r="BU20" i="1" s="1"/>
  <c r="BZ19" i="1"/>
  <c r="BY19" i="1"/>
  <c r="BX19" i="1" s="1"/>
  <c r="BW19" i="1"/>
  <c r="BV19" i="1"/>
  <c r="BU19" i="1" s="1"/>
  <c r="BZ18" i="1"/>
  <c r="BY18" i="1"/>
  <c r="BX18" i="1" s="1"/>
  <c r="BW18" i="1"/>
  <c r="BV18" i="1"/>
  <c r="BU18" i="1" s="1"/>
  <c r="BZ17" i="1"/>
  <c r="BY17" i="1"/>
  <c r="BW17" i="1"/>
  <c r="BV17" i="1"/>
  <c r="BU17" i="1" s="1"/>
  <c r="BZ16" i="1"/>
  <c r="BY16" i="1"/>
  <c r="BX16" i="1" s="1"/>
  <c r="BW16" i="1"/>
  <c r="BV16" i="1"/>
  <c r="BZ15" i="1"/>
  <c r="BY15" i="1"/>
  <c r="BX15" i="1" s="1"/>
  <c r="BW15" i="1"/>
  <c r="BV15" i="1"/>
  <c r="BU15" i="1" s="1"/>
  <c r="BZ14" i="1"/>
  <c r="BY14" i="1"/>
  <c r="BX14" i="1" s="1"/>
  <c r="BW14" i="1"/>
  <c r="BV14" i="1"/>
  <c r="BU14" i="1" s="1"/>
  <c r="BZ13" i="1"/>
  <c r="BY13" i="1"/>
  <c r="BW13" i="1"/>
  <c r="BV13" i="1"/>
  <c r="BU13" i="1" s="1"/>
  <c r="BZ12" i="1"/>
  <c r="BY12" i="1"/>
  <c r="BX12" i="1" s="1"/>
  <c r="BW12" i="1"/>
  <c r="BV12" i="1"/>
  <c r="BU12" i="1" s="1"/>
  <c r="BZ11" i="1"/>
  <c r="BY11" i="1"/>
  <c r="BX11" i="1" s="1"/>
  <c r="BW11" i="1"/>
  <c r="BV11" i="1"/>
  <c r="BU11" i="1" s="1"/>
  <c r="BZ9" i="1"/>
  <c r="BY9" i="1"/>
  <c r="BW9" i="1"/>
  <c r="BV9" i="1"/>
  <c r="BZ10" i="1"/>
  <c r="BY10" i="1"/>
  <c r="BW10" i="1"/>
  <c r="BV10" i="1"/>
  <c r="BU10" i="1" s="1"/>
  <c r="BU197" i="1" l="1"/>
  <c r="BX186" i="1"/>
  <c r="BX201" i="1"/>
  <c r="BX194" i="1"/>
  <c r="BU185" i="1"/>
  <c r="BU200" i="1"/>
  <c r="BX196" i="1"/>
  <c r="BX167" i="1"/>
  <c r="BX168" i="1"/>
  <c r="BX183" i="1"/>
  <c r="BX182" i="1"/>
  <c r="BU153" i="1"/>
  <c r="BU148" i="1"/>
  <c r="BX155" i="1"/>
  <c r="BX127" i="1"/>
  <c r="BX129" i="1"/>
  <c r="BX135" i="1"/>
  <c r="BX131" i="1"/>
  <c r="BX138" i="1"/>
  <c r="BX137" i="1"/>
  <c r="BU109" i="1"/>
  <c r="BU123" i="1"/>
  <c r="BX112" i="1"/>
  <c r="BX114" i="1"/>
  <c r="BU113" i="1"/>
  <c r="BX115" i="1"/>
  <c r="BX108" i="1"/>
  <c r="BU124" i="1"/>
  <c r="BU121" i="1"/>
  <c r="BX93" i="1"/>
  <c r="BX98" i="1"/>
  <c r="BX105" i="1"/>
  <c r="BU94" i="1"/>
  <c r="BU75" i="1"/>
  <c r="BX73" i="1"/>
  <c r="BX82" i="1"/>
  <c r="BX76" i="1"/>
  <c r="BX84" i="1"/>
  <c r="BX67" i="1"/>
  <c r="BX66" i="1"/>
  <c r="BU97" i="1"/>
  <c r="BX107" i="1"/>
  <c r="BX133" i="1"/>
  <c r="BU70" i="1"/>
  <c r="BX69" i="1"/>
  <c r="BU37" i="1"/>
  <c r="BU33" i="1"/>
  <c r="BU71" i="1"/>
  <c r="BX32" i="1"/>
  <c r="BX44" i="1"/>
  <c r="BU60" i="1"/>
  <c r="BX86" i="1"/>
  <c r="BX42" i="1"/>
  <c r="BU29" i="1"/>
  <c r="BX100" i="1"/>
  <c r="BU47" i="1"/>
  <c r="BX101" i="1"/>
  <c r="BU90" i="1"/>
  <c r="BU103" i="1"/>
  <c r="BX72" i="1"/>
  <c r="BU72" i="1"/>
  <c r="BU57" i="1"/>
  <c r="BU56" i="1"/>
  <c r="BX64" i="1"/>
  <c r="BX65" i="1"/>
  <c r="BX50" i="1"/>
  <c r="BU64" i="1"/>
  <c r="BX59" i="1"/>
  <c r="BX53" i="1"/>
  <c r="BX51" i="1"/>
  <c r="BX60" i="1"/>
  <c r="BX43" i="1"/>
  <c r="BU41" i="1"/>
  <c r="BX31" i="1"/>
  <c r="BX46" i="1"/>
  <c r="BU22" i="1"/>
  <c r="BU26" i="1"/>
  <c r="BX27" i="1"/>
  <c r="BU28" i="1"/>
  <c r="BU27" i="1"/>
  <c r="BX162" i="1"/>
  <c r="BU55" i="1"/>
  <c r="BX38" i="1"/>
  <c r="BU49" i="1"/>
  <c r="BX191" i="1"/>
  <c r="BU191" i="1"/>
  <c r="BU187" i="1"/>
  <c r="BU182" i="1"/>
  <c r="BU139" i="1"/>
  <c r="BX48" i="1"/>
  <c r="BU66" i="1"/>
  <c r="BX58" i="1"/>
  <c r="BU54" i="1"/>
  <c r="BU51" i="1"/>
  <c r="BX41" i="1"/>
  <c r="BU155" i="1"/>
  <c r="BU189" i="1"/>
  <c r="BU165" i="1"/>
  <c r="BU193" i="1"/>
  <c r="BX110" i="1"/>
  <c r="BU40" i="1"/>
  <c r="BX39" i="1"/>
  <c r="BX199" i="1"/>
  <c r="BX184" i="1"/>
  <c r="BU86" i="1"/>
  <c r="BX195" i="1"/>
  <c r="BX188" i="1"/>
  <c r="BU194" i="1"/>
  <c r="BX120" i="1"/>
  <c r="BX118" i="1"/>
  <c r="BU62" i="1"/>
  <c r="BU16" i="1"/>
  <c r="BU201" i="1"/>
  <c r="BX119" i="1"/>
  <c r="BU53" i="1"/>
  <c r="BU50" i="1"/>
  <c r="BX192" i="1"/>
  <c r="BU175" i="1"/>
  <c r="BU168" i="1"/>
  <c r="BX171" i="1"/>
  <c r="BX161" i="1"/>
  <c r="BU156" i="1"/>
  <c r="BX156" i="1"/>
  <c r="BU164" i="1"/>
  <c r="BX142" i="1"/>
  <c r="BX141" i="1"/>
  <c r="BU142" i="1"/>
  <c r="BU128" i="1"/>
  <c r="BX134" i="1"/>
  <c r="BU116" i="1"/>
  <c r="BU120" i="1"/>
  <c r="BX109" i="1"/>
  <c r="BX123" i="1"/>
  <c r="BU118" i="1"/>
  <c r="BX122" i="1"/>
  <c r="BX94" i="1"/>
  <c r="BX91" i="1"/>
  <c r="BX92" i="1"/>
  <c r="BU107" i="1"/>
  <c r="BU98" i="1"/>
  <c r="BX103" i="1"/>
  <c r="BX97" i="1"/>
  <c r="BX90" i="1"/>
  <c r="BX77" i="1"/>
  <c r="BX78" i="1"/>
  <c r="BX79" i="1"/>
  <c r="BU78" i="1"/>
  <c r="BU63" i="1"/>
  <c r="BX37" i="1"/>
  <c r="BX40" i="1"/>
  <c r="BU44" i="1"/>
  <c r="BU21" i="1"/>
  <c r="BX20" i="1"/>
  <c r="BX17" i="1"/>
  <c r="BX22" i="1"/>
  <c r="BX189" i="1"/>
  <c r="BX13" i="1"/>
  <c r="BU188" i="1"/>
  <c r="BU172" i="1"/>
  <c r="BX187" i="1"/>
  <c r="BU87" i="1"/>
  <c r="BU170" i="1"/>
  <c r="BX190" i="1"/>
  <c r="BX163" i="1"/>
  <c r="BX173" i="1"/>
  <c r="BU80" i="1"/>
  <c r="BX176" i="1"/>
  <c r="BU173" i="1"/>
  <c r="BX172" i="1"/>
  <c r="BU166" i="1"/>
  <c r="BU180" i="1"/>
  <c r="BU177" i="1"/>
  <c r="BX164" i="1"/>
  <c r="BX132" i="1"/>
  <c r="BU132" i="1"/>
  <c r="BX128" i="1"/>
  <c r="BX121" i="1"/>
  <c r="BU79" i="1"/>
  <c r="BU43" i="1"/>
  <c r="BU141" i="1"/>
  <c r="BU129" i="1"/>
  <c r="BU82" i="1"/>
  <c r="BX174" i="1"/>
  <c r="BU9" i="1"/>
  <c r="BX10" i="1"/>
  <c r="BX9" i="1"/>
</calcChain>
</file>

<file path=xl/sharedStrings.xml><?xml version="1.0" encoding="utf-8"?>
<sst xmlns="http://schemas.openxmlformats.org/spreadsheetml/2006/main" count="1090" uniqueCount="301">
  <si>
    <t>Season</t>
  </si>
  <si>
    <t>Team</t>
  </si>
  <si>
    <t>Player</t>
  </si>
  <si>
    <t>출전 경기 수</t>
  </si>
  <si>
    <t>m</t>
  </si>
  <si>
    <t>s</t>
  </si>
  <si>
    <t>출전 시간(초)</t>
  </si>
  <si>
    <t>득점</t>
  </si>
  <si>
    <t>평균 득점</t>
  </si>
  <si>
    <t>FGA</t>
  </si>
  <si>
    <t>FG%</t>
  </si>
  <si>
    <t>2PA</t>
  </si>
  <si>
    <t>2P%</t>
  </si>
  <si>
    <t>3P%</t>
  </si>
  <si>
    <t>평균 FT 시도</t>
  </si>
  <si>
    <t>FT%</t>
  </si>
  <si>
    <t>리바운드</t>
  </si>
  <si>
    <t>평균 리바운드</t>
  </si>
  <si>
    <t>공격 리바운드</t>
  </si>
  <si>
    <t>평균 공격 리바운드</t>
  </si>
  <si>
    <t>수비 리바운드</t>
  </si>
  <si>
    <t>평균 수비 리바운드</t>
  </si>
  <si>
    <t>어시스트</t>
  </si>
  <si>
    <t>평균 어시스트</t>
  </si>
  <si>
    <t>파울</t>
  </si>
  <si>
    <t>평균 파울</t>
  </si>
  <si>
    <t>WS</t>
  </si>
  <si>
    <t>WS/40</t>
  </si>
  <si>
    <t>Offensive_WS</t>
  </si>
  <si>
    <t>Defensive_WS</t>
  </si>
  <si>
    <t>Offensive_rating</t>
  </si>
  <si>
    <t>Defensive_rating</t>
  </si>
  <si>
    <t>PER</t>
  </si>
  <si>
    <t>EFF</t>
  </si>
  <si>
    <t>EFF/40</t>
  </si>
  <si>
    <t>TS%</t>
  </si>
  <si>
    <t>eFG%</t>
  </si>
  <si>
    <t>USG%</t>
  </si>
  <si>
    <t>3PAr</t>
  </si>
  <si>
    <t>FTr</t>
  </si>
  <si>
    <t>ORB%</t>
  </si>
  <si>
    <t>DRB%</t>
  </si>
  <si>
    <t>TRB%</t>
  </si>
  <si>
    <t>AST%</t>
  </si>
  <si>
    <t>STL%</t>
  </si>
  <si>
    <t>BS%</t>
  </si>
  <si>
    <t>TOV%</t>
  </si>
  <si>
    <t>자밀 워니</t>
  </si>
  <si>
    <t>오세근</t>
  </si>
  <si>
    <t>최부경</t>
  </si>
  <si>
    <t>최원혁</t>
  </si>
  <si>
    <t>허일영</t>
  </si>
  <si>
    <t>리온 윌리엄스</t>
  </si>
  <si>
    <t>오재현</t>
  </si>
  <si>
    <t>김선형</t>
  </si>
  <si>
    <t>양우섭</t>
  </si>
  <si>
    <t>송창용</t>
  </si>
  <si>
    <t>김형빈</t>
  </si>
  <si>
    <t>선상혁</t>
  </si>
  <si>
    <t>하윤기</t>
  </si>
  <si>
    <t>문성곤</t>
  </si>
  <si>
    <t>이두원</t>
  </si>
  <si>
    <t>한희원</t>
  </si>
  <si>
    <t>정성우</t>
  </si>
  <si>
    <t>최창진</t>
  </si>
  <si>
    <t>이현석</t>
  </si>
  <si>
    <t>최성모</t>
  </si>
  <si>
    <t>김준환</t>
  </si>
  <si>
    <t>박찬호</t>
  </si>
  <si>
    <t>라건아</t>
  </si>
  <si>
    <t>이승현</t>
  </si>
  <si>
    <t>최준용</t>
  </si>
  <si>
    <t>이호현</t>
  </si>
  <si>
    <t>정창영</t>
  </si>
  <si>
    <t>이근휘</t>
  </si>
  <si>
    <t>곽정훈</t>
  </si>
  <si>
    <t>허웅</t>
  </si>
  <si>
    <t>송동훈</t>
  </si>
  <si>
    <t>서정현</t>
  </si>
  <si>
    <t>전준범</t>
  </si>
  <si>
    <t>김동현</t>
  </si>
  <si>
    <t>이진욱</t>
  </si>
  <si>
    <t>게이지 프림</t>
  </si>
  <si>
    <t>함지훈</t>
  </si>
  <si>
    <t>장재석</t>
  </si>
  <si>
    <t>이우석</t>
  </si>
  <si>
    <t>김준일</t>
  </si>
  <si>
    <t>김국찬</t>
  </si>
  <si>
    <t>최진수</t>
  </si>
  <si>
    <t>신민석</t>
  </si>
  <si>
    <t>김지완</t>
  </si>
  <si>
    <t>김태완</t>
  </si>
  <si>
    <t>김현민</t>
  </si>
  <si>
    <t>김현수</t>
  </si>
  <si>
    <t>박준은</t>
  </si>
  <si>
    <t>서명진</t>
  </si>
  <si>
    <t>김종규</t>
  </si>
  <si>
    <t>디드릭 로슨</t>
  </si>
  <si>
    <t>강상재</t>
  </si>
  <si>
    <t>박인웅</t>
  </si>
  <si>
    <t>최승욱</t>
  </si>
  <si>
    <t>이선 알바노</t>
  </si>
  <si>
    <t>서민수</t>
  </si>
  <si>
    <t>김영현</t>
  </si>
  <si>
    <t>두경민</t>
  </si>
  <si>
    <t>이윤수</t>
  </si>
  <si>
    <t>김형준</t>
  </si>
  <si>
    <t>박찬희</t>
  </si>
  <si>
    <t>이준희</t>
  </si>
  <si>
    <t>김현호</t>
  </si>
  <si>
    <t>인승찬</t>
  </si>
  <si>
    <t>김진유</t>
  </si>
  <si>
    <t>김민욱</t>
  </si>
  <si>
    <t>최현민</t>
  </si>
  <si>
    <t>이정현</t>
  </si>
  <si>
    <t>김강선</t>
  </si>
  <si>
    <t>한호빈</t>
  </si>
  <si>
    <t>함준후</t>
  </si>
  <si>
    <t>김지후</t>
  </si>
  <si>
    <t>전성현</t>
  </si>
  <si>
    <t>조재우</t>
  </si>
  <si>
    <t>안정욱</t>
  </si>
  <si>
    <t>김진용</t>
  </si>
  <si>
    <t>조은후</t>
  </si>
  <si>
    <t>이원석</t>
  </si>
  <si>
    <t>차민석</t>
  </si>
  <si>
    <t>이동엽</t>
  </si>
  <si>
    <t>윤성원</t>
  </si>
  <si>
    <t>김승원</t>
  </si>
  <si>
    <t>신동혁</t>
  </si>
  <si>
    <t>김시래</t>
  </si>
  <si>
    <t>조우성</t>
  </si>
  <si>
    <t>홍경기</t>
  </si>
  <si>
    <t>김무성</t>
  </si>
  <si>
    <t>김광철</t>
  </si>
  <si>
    <t>김한솔</t>
  </si>
  <si>
    <t>아셈 마레이</t>
  </si>
  <si>
    <t>양홍석</t>
  </si>
  <si>
    <t>이재도</t>
  </si>
  <si>
    <t>저스틴 구탕</t>
  </si>
  <si>
    <t>정희재</t>
  </si>
  <si>
    <t>이관희</t>
  </si>
  <si>
    <t>단테 커닝햄</t>
  </si>
  <si>
    <t>양준석</t>
  </si>
  <si>
    <t>정인덕</t>
  </si>
  <si>
    <t>윤원상</t>
  </si>
  <si>
    <t>이승우</t>
  </si>
  <si>
    <t>임동섭</t>
  </si>
  <si>
    <t>김준형</t>
  </si>
  <si>
    <t>박인태</t>
  </si>
  <si>
    <t>한상혁</t>
  </si>
  <si>
    <t>차바위</t>
  </si>
  <si>
    <t>이대헌</t>
  </si>
  <si>
    <t>신승민</t>
  </si>
  <si>
    <t>박봉진</t>
  </si>
  <si>
    <t>박지훈</t>
  </si>
  <si>
    <t>샘조세프 벨란겔</t>
  </si>
  <si>
    <t>김동량</t>
  </si>
  <si>
    <t>양준우</t>
  </si>
  <si>
    <t>조상열</t>
  </si>
  <si>
    <t>염유성</t>
  </si>
  <si>
    <t>이원대</t>
  </si>
  <si>
    <t>이종현</t>
  </si>
  <si>
    <t>김경원</t>
  </si>
  <si>
    <t>정효근</t>
  </si>
  <si>
    <t>렌즈 아반도</t>
  </si>
  <si>
    <t>정준원</t>
  </si>
  <si>
    <t>최성원</t>
  </si>
  <si>
    <t>배병준</t>
  </si>
  <si>
    <t>김철욱</t>
  </si>
  <si>
    <t>이우정</t>
  </si>
  <si>
    <t>고찬혁</t>
  </si>
  <si>
    <t>김상규</t>
  </si>
  <si>
    <t>유진</t>
  </si>
  <si>
    <t>구분</t>
    <phoneticPr fontId="1" type="noConversion"/>
  </si>
  <si>
    <t>연봉</t>
    <phoneticPr fontId="1" type="noConversion"/>
  </si>
  <si>
    <t>FG</t>
    <phoneticPr fontId="1" type="noConversion"/>
  </si>
  <si>
    <t>2P</t>
    <phoneticPr fontId="1" type="noConversion"/>
  </si>
  <si>
    <t>3P</t>
    <phoneticPr fontId="1" type="noConversion"/>
  </si>
  <si>
    <t>3PA</t>
    <phoneticPr fontId="1" type="noConversion"/>
  </si>
  <si>
    <t>김진영</t>
  </si>
  <si>
    <t>FTA</t>
    <phoneticPr fontId="1" type="noConversion"/>
  </si>
  <si>
    <t>FT</t>
    <phoneticPr fontId="1" type="noConversion"/>
  </si>
  <si>
    <t>평균 3p 성공</t>
    <phoneticPr fontId="1" type="noConversion"/>
  </si>
  <si>
    <t>평균 3p 시도</t>
    <phoneticPr fontId="1" type="noConversion"/>
  </si>
  <si>
    <t>평균 2p 시도</t>
    <phoneticPr fontId="1" type="noConversion"/>
  </si>
  <si>
    <t>평균 2p 성공</t>
    <phoneticPr fontId="1" type="noConversion"/>
  </si>
  <si>
    <t>평균 FG 성공</t>
    <phoneticPr fontId="1" type="noConversion"/>
  </si>
  <si>
    <t>평균 FG 시도</t>
    <phoneticPr fontId="1" type="noConversion"/>
  </si>
  <si>
    <t>국내</t>
  </si>
  <si>
    <t>평균 FT 성공</t>
    <phoneticPr fontId="1" type="noConversion"/>
  </si>
  <si>
    <t>서울 SK</t>
  </si>
  <si>
    <t>대구 가스공사</t>
  </si>
  <si>
    <t>서울 삼성</t>
  </si>
  <si>
    <t>수원 KT</t>
  </si>
  <si>
    <t>안양 KGC</t>
  </si>
  <si>
    <t>원주 DB</t>
  </si>
  <si>
    <t>창원 LG</t>
  </si>
  <si>
    <t>임현택</t>
  </si>
  <si>
    <t>레스터 프로스퍼</t>
  </si>
  <si>
    <t>박지원</t>
  </si>
  <si>
    <t>재로드 존스</t>
  </si>
  <si>
    <t>디온 탐슨</t>
  </si>
  <si>
    <t>유병훈</t>
  </si>
  <si>
    <t>김동준</t>
  </si>
  <si>
    <t>박재한</t>
  </si>
  <si>
    <t>저스틴 녹스</t>
  </si>
  <si>
    <t>정종현</t>
  </si>
  <si>
    <t>디존 데이비스</t>
  </si>
  <si>
    <t>레나드 프리먼</t>
  </si>
  <si>
    <t>이민석</t>
  </si>
  <si>
    <t>정호영</t>
  </si>
  <si>
    <t>김세창</t>
  </si>
  <si>
    <t>모리구치 히사시</t>
  </si>
  <si>
    <t>박진철</t>
  </si>
  <si>
    <t>조나단 알렛지</t>
  </si>
  <si>
    <t>조한진</t>
  </si>
  <si>
    <t>강바일</t>
  </si>
  <si>
    <t>다랄 윌리스</t>
  </si>
  <si>
    <t>박민채</t>
  </si>
  <si>
    <t>이광진</t>
  </si>
  <si>
    <t>이승훈</t>
  </si>
  <si>
    <t>데본 스캇</t>
  </si>
  <si>
    <t>머피 할로웨이</t>
  </si>
  <si>
    <t>우동현</t>
  </si>
  <si>
    <t>이대성</t>
  </si>
  <si>
    <t>전현우</t>
  </si>
  <si>
    <t>대릴 먼로</t>
  </si>
  <si>
    <t>변준형</t>
  </si>
  <si>
    <t>오마리 스펠맨</t>
  </si>
  <si>
    <t>한승희</t>
  </si>
  <si>
    <t>2022-23</t>
    <phoneticPr fontId="1" type="noConversion"/>
  </si>
  <si>
    <t>외국인</t>
    <phoneticPr fontId="1" type="noConversion"/>
  </si>
  <si>
    <t>아시아쿼터</t>
    <phoneticPr fontId="1" type="noConversion"/>
  </si>
  <si>
    <t>이정현1</t>
    <phoneticPr fontId="1" type="noConversion"/>
  </si>
  <si>
    <t>박지훈1</t>
    <phoneticPr fontId="1" type="noConversion"/>
  </si>
  <si>
    <t>SK to 삼성</t>
    <phoneticPr fontId="1" type="noConversion"/>
  </si>
  <si>
    <t>김승원</t>
    <phoneticPr fontId="1" type="noConversion"/>
  </si>
  <si>
    <t>이종현</t>
    <phoneticPr fontId="1" type="noConversion"/>
  </si>
  <si>
    <t>임동섭</t>
    <phoneticPr fontId="1" type="noConversion"/>
  </si>
  <si>
    <t>삼성 to LG</t>
    <phoneticPr fontId="1" type="noConversion"/>
  </si>
  <si>
    <t>조나단 알렛지</t>
    <phoneticPr fontId="1" type="noConversion"/>
  </si>
  <si>
    <t>최승욱1</t>
    <phoneticPr fontId="1" type="noConversion"/>
  </si>
  <si>
    <t>LG to 삼성</t>
    <phoneticPr fontId="1" type="noConversion"/>
  </si>
  <si>
    <t>캐롯 to KCC</t>
    <phoneticPr fontId="1" type="noConversion"/>
  </si>
  <si>
    <t>삼성 to 캐롯</t>
    <phoneticPr fontId="1" type="noConversion"/>
  </si>
  <si>
    <t>전주 KCC</t>
    <phoneticPr fontId="1" type="noConversion"/>
  </si>
  <si>
    <t>고양 캐롯</t>
    <phoneticPr fontId="1" type="noConversion"/>
  </si>
  <si>
    <t>울산 모비스</t>
    <phoneticPr fontId="1" type="noConversion"/>
  </si>
  <si>
    <t>포지션</t>
    <phoneticPr fontId="1" type="noConversion"/>
  </si>
  <si>
    <t>숀 데이브 일데폰소</t>
    <phoneticPr fontId="1" type="noConversion"/>
  </si>
  <si>
    <t>앤쏘니 모스</t>
    <phoneticPr fontId="1" type="noConversion"/>
  </si>
  <si>
    <t>캘빈 제프리 에피스톨라</t>
  </si>
  <si>
    <t>F</t>
  </si>
  <si>
    <t>C</t>
  </si>
  <si>
    <t>G</t>
  </si>
  <si>
    <t>승</t>
  </si>
  <si>
    <t>패</t>
  </si>
  <si>
    <t>KBL 공헌도</t>
    <phoneticPr fontId="1" type="noConversion"/>
  </si>
  <si>
    <t>KBL 공헌도_가점</t>
    <phoneticPr fontId="1" type="noConversion"/>
  </si>
  <si>
    <t>KBL 공헌도_감점</t>
    <phoneticPr fontId="1" type="noConversion"/>
  </si>
  <si>
    <t>KBL 공헌도/경기당</t>
    <phoneticPr fontId="1" type="noConversion"/>
  </si>
  <si>
    <t>KBL 공헌도_가점/경기당</t>
    <phoneticPr fontId="1" type="noConversion"/>
  </si>
  <si>
    <t>KBL 공헌도_감점/경기당</t>
    <phoneticPr fontId="1" type="noConversion"/>
  </si>
  <si>
    <t>KBL 공헌도/40분</t>
    <phoneticPr fontId="1" type="noConversion"/>
  </si>
  <si>
    <t>KBL 공헌도_가점/40분</t>
    <phoneticPr fontId="1" type="noConversion"/>
  </si>
  <si>
    <t>KBL 공헌도_감점/40분</t>
    <phoneticPr fontId="1" type="noConversion"/>
  </si>
  <si>
    <t>김동욱</t>
    <phoneticPr fontId="1" type="noConversion"/>
  </si>
  <si>
    <t>김영환</t>
  </si>
  <si>
    <t>김종범</t>
    <phoneticPr fontId="1" type="noConversion"/>
  </si>
  <si>
    <t>데이비드 사이먼</t>
  </si>
  <si>
    <t>드미트리우스 트레드웰</t>
  </si>
  <si>
    <t>드완 에르난데스</t>
  </si>
  <si>
    <t>랜드리 은노코</t>
  </si>
  <si>
    <t>론데 홀리스 제퍼슨</t>
  </si>
  <si>
    <t>론제이 아바리엔토스</t>
  </si>
  <si>
    <t>마커스 데릭슨</t>
  </si>
  <si>
    <t>말콤 토마스</t>
  </si>
  <si>
    <t>고양 캐롯</t>
  </si>
  <si>
    <t>전주 KCC</t>
  </si>
  <si>
    <t>박경상</t>
  </si>
  <si>
    <t>박상권</t>
    <phoneticPr fontId="1" type="noConversion"/>
  </si>
  <si>
    <t>양희종</t>
  </si>
  <si>
    <t>원종훈</t>
  </si>
  <si>
    <t>유슈 은도예</t>
  </si>
  <si>
    <t>윤호영</t>
  </si>
  <si>
    <t>이매뉴얼 테리</t>
  </si>
  <si>
    <t>이정제</t>
  </si>
  <si>
    <t>이제이 아노시케</t>
  </si>
  <si>
    <t>임종일</t>
  </si>
  <si>
    <t>장문호</t>
  </si>
  <si>
    <t>장민국</t>
  </si>
  <si>
    <t>정해원</t>
  </si>
  <si>
    <t>헨리 심스</t>
  </si>
  <si>
    <t>턴오버</t>
    <phoneticPr fontId="1" type="noConversion"/>
  </si>
  <si>
    <t>블록</t>
    <phoneticPr fontId="1" type="noConversion"/>
  </si>
  <si>
    <t>스틸</t>
    <phoneticPr fontId="1" type="noConversion"/>
  </si>
  <si>
    <t>평균 턴오버</t>
    <phoneticPr fontId="1" type="noConversion"/>
  </si>
  <si>
    <t>평균 스틸</t>
    <phoneticPr fontId="1" type="noConversion"/>
  </si>
  <si>
    <t>평균 블록</t>
    <phoneticPr fontId="1" type="noConversion"/>
  </si>
  <si>
    <t>외국인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</si>
</sst>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176" formatCode="#,##0_);[Red]\(#,##0\)"/>
    <numFmt numFmtId="177" formatCode="0_);[Red]\(0\)"/>
    <numFmt numFmtId="178" formatCode="0.00_);[Red]\(0.00\)"/>
    <numFmt numFmtId="179" formatCode="0.000_ "/>
    <numFmt numFmtId="180" formatCode="#,##0.000_);[Red]\(#,##0.000\)"/>
    <numFmt numFmtId="181" formatCode="0.000_);[Red]\(0.000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1"/>
      <color theme="1"/>
      <name val="돋움"/>
      <family val="2"/>
      <charset val="129"/>
    </font>
    <font>
      <sz val="10"/>
      <color rgb="FF44444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1" fontId="0" fillId="0" borderId="0" xfId="2" applyFont="1">
      <alignment vertical="center"/>
    </xf>
    <xf numFmtId="0" fontId="6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7" fontId="7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0" fontId="7" fillId="0" borderId="0" xfId="1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41" fontId="7" fillId="0" borderId="0" xfId="2" applyFont="1">
      <alignment vertical="center"/>
    </xf>
    <xf numFmtId="0" fontId="7" fillId="4" borderId="0" xfId="0" applyFont="1" applyFill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78" fontId="7" fillId="0" borderId="6" xfId="0" applyNumberFormat="1" applyFont="1" applyBorder="1" applyAlignment="1">
      <alignment horizontal="center" vertical="center"/>
    </xf>
    <xf numFmtId="181" fontId="7" fillId="0" borderId="6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 vertical="center"/>
    </xf>
    <xf numFmtId="177" fontId="9" fillId="0" borderId="5" xfId="0" applyNumberFormat="1" applyFont="1" applyBorder="1" applyAlignment="1">
      <alignment horizontal="center" vertical="center" wrapText="1"/>
    </xf>
    <xf numFmtId="177" fontId="9" fillId="5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7" fontId="7" fillId="0" borderId="0" xfId="0" applyNumberFormat="1" applyFont="1">
      <alignment vertical="center"/>
    </xf>
    <xf numFmtId="0" fontId="9" fillId="7" borderId="0" xfId="0" applyFont="1" applyFill="1" applyAlignment="1">
      <alignment horizontal="center" vertical="center" wrapText="1"/>
    </xf>
    <xf numFmtId="177" fontId="9" fillId="0" borderId="7" xfId="0" applyNumberFormat="1" applyFont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4">
    <cellStyle name="백분율" xfId="1" builtinId="5"/>
    <cellStyle name="쉼표 [0]" xfId="2" builtinId="6"/>
    <cellStyle name="표준" xfId="0" builtinId="0"/>
    <cellStyle name="표준 2 8" xfId="3" xr:uid="{F1B91AA9-50A4-4F18-BB08-7E54A1316908}"/>
  </cellStyles>
  <dxfs count="0"/>
  <tableStyles count="1" defaultTableStyle="TableStyleMedium2" defaultPivotStyle="PivotStyleLight16">
    <tableStyle name="Invisible" pivot="0" table="0" count="0" xr9:uid="{76F0114F-B418-455F-ADC7-0A849209B8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B66F-BA9D-4F4E-80F0-8D4A27B7E2E2}">
  <dimension ref="A1:CB223"/>
  <sheetViews>
    <sheetView tabSelected="1" zoomScale="115" zoomScaleNormal="115" workbookViewId="0">
      <pane xSplit="3" ySplit="1" topLeftCell="BR31" activePane="bottomRight" state="frozen"/>
      <selection pane="topRight" activeCell="E1" sqref="E1"/>
      <selection pane="bottomLeft" activeCell="A2" sqref="A2"/>
      <selection pane="bottomRight" activeCell="BS202" sqref="BR202:BZ202"/>
    </sheetView>
  </sheetViews>
  <sheetFormatPr defaultRowHeight="17.399999999999999" x14ac:dyDescent="0.4"/>
  <cols>
    <col min="1" max="1" width="12" bestFit="1" customWidth="1"/>
    <col min="2" max="2" width="13.69921875" bestFit="1" customWidth="1"/>
    <col min="3" max="3" width="22.69921875" bestFit="1" customWidth="1"/>
    <col min="4" max="4" width="15" bestFit="1" customWidth="1"/>
    <col min="5" max="5" width="7.09765625" bestFit="1" customWidth="1"/>
    <col min="6" max="6" width="17.3984375" style="3" bestFit="1" customWidth="1"/>
    <col min="7" max="7" width="10" style="3" bestFit="1" customWidth="1"/>
    <col min="8" max="8" width="14.09765625" bestFit="1" customWidth="1"/>
    <col min="9" max="9" width="9.59765625" style="3" bestFit="1" customWidth="1"/>
    <col min="10" max="10" width="8.5" bestFit="1" customWidth="1"/>
    <col min="11" max="12" width="16.8984375" bestFit="1" customWidth="1"/>
    <col min="13" max="13" width="10" bestFit="1" customWidth="1"/>
    <col min="14" max="14" width="9.59765625" bestFit="1" customWidth="1"/>
    <col min="15" max="15" width="8.5" bestFit="1" customWidth="1"/>
    <col min="16" max="17" width="16.8984375" bestFit="1" customWidth="1"/>
    <col min="18" max="18" width="10" bestFit="1" customWidth="1"/>
    <col min="19" max="19" width="9.59765625" bestFit="1" customWidth="1"/>
    <col min="20" max="20" width="8.5" bestFit="1" customWidth="1"/>
    <col min="21" max="22" width="16.8984375" bestFit="1" customWidth="1"/>
    <col min="23" max="23" width="10" bestFit="1" customWidth="1"/>
    <col min="24" max="24" width="9.3984375" bestFit="1" customWidth="1"/>
    <col min="25" max="25" width="8.19921875" bestFit="1" customWidth="1"/>
    <col min="26" max="27" width="16.59765625" bestFit="1" customWidth="1"/>
    <col min="28" max="28" width="9.59765625" bestFit="1" customWidth="1"/>
    <col min="29" max="29" width="13.5" bestFit="1" customWidth="1"/>
    <col min="30" max="31" width="17.8984375" bestFit="1" customWidth="1"/>
    <col min="32" max="32" width="22.59765625" bestFit="1" customWidth="1"/>
    <col min="33" max="33" width="17.8984375" bestFit="1" customWidth="1"/>
    <col min="34" max="34" width="22.59765625" bestFit="1" customWidth="1"/>
    <col min="35" max="35" width="13.5" bestFit="1" customWidth="1"/>
    <col min="36" max="36" width="17.8984375" bestFit="1" customWidth="1"/>
    <col min="37" max="37" width="10" bestFit="1" customWidth="1"/>
    <col min="38" max="38" width="14.09765625" bestFit="1" customWidth="1"/>
    <col min="39" max="39" width="11.69921875" bestFit="1" customWidth="1"/>
    <col min="40" max="40" width="16" bestFit="1" customWidth="1"/>
    <col min="41" max="41" width="10" bestFit="1" customWidth="1"/>
    <col min="42" max="42" width="14.09765625" bestFit="1" customWidth="1"/>
    <col min="43" max="43" width="10" bestFit="1" customWidth="1"/>
    <col min="44" max="44" width="14.09765625" bestFit="1" customWidth="1"/>
    <col min="45" max="45" width="9.09765625" bestFit="1" customWidth="1"/>
    <col min="46" max="46" width="11.8984375" bestFit="1" customWidth="1"/>
    <col min="47" max="47" width="17.5" bestFit="1" customWidth="1"/>
    <col min="48" max="48" width="17.69921875" bestFit="1" customWidth="1"/>
    <col min="49" max="49" width="19.8984375" bestFit="1" customWidth="1"/>
    <col min="50" max="50" width="20.09765625" bestFit="1" customWidth="1"/>
    <col min="51" max="51" width="9.3984375" bestFit="1" customWidth="1"/>
    <col min="52" max="52" width="9.09765625" bestFit="1" customWidth="1"/>
    <col min="53" max="53" width="11.8984375" bestFit="1" customWidth="1"/>
    <col min="54" max="54" width="9.8984375" bestFit="1" customWidth="1"/>
    <col min="55" max="55" width="10.8984375" bestFit="1" customWidth="1"/>
    <col min="56" max="56" width="11.19921875" bestFit="1" customWidth="1"/>
    <col min="57" max="57" width="10.19921875" bestFit="1" customWidth="1"/>
    <col min="58" max="58" width="8.69921875" bestFit="1" customWidth="1"/>
    <col min="59" max="60" width="11.19921875" bestFit="1" customWidth="1"/>
    <col min="61" max="61" width="10.8984375" bestFit="1" customWidth="1"/>
    <col min="62" max="62" width="11" bestFit="1" customWidth="1"/>
    <col min="63" max="63" width="10.69921875" bestFit="1" customWidth="1"/>
    <col min="64" max="64" width="10" bestFit="1" customWidth="1"/>
    <col min="65" max="65" width="11.19921875" bestFit="1" customWidth="1"/>
    <col min="66" max="66" width="11" bestFit="1" customWidth="1"/>
    <col min="67" max="67" width="10" bestFit="1" customWidth="1"/>
    <col min="69" max="69" width="16.59765625" bestFit="1" customWidth="1"/>
    <col min="70" max="70" width="10.8984375" bestFit="1" customWidth="1"/>
    <col min="71" max="72" width="15.69921875" bestFit="1" customWidth="1"/>
    <col min="73" max="73" width="17.59765625" bestFit="1" customWidth="1"/>
    <col min="74" max="75" width="22.5" bestFit="1" customWidth="1"/>
    <col min="76" max="78" width="20.59765625" bestFit="1" customWidth="1"/>
    <col min="79" max="79" width="7" customWidth="1"/>
    <col min="80" max="80" width="5.69921875" customWidth="1"/>
  </cols>
  <sheetData>
    <row r="1" spans="1:80" ht="18" thickBot="1" x14ac:dyDescent="0.45">
      <c r="A1" s="17" t="s">
        <v>0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9" t="s">
        <v>7</v>
      </c>
      <c r="I1" s="17" t="s">
        <v>8</v>
      </c>
      <c r="J1" s="18" t="s">
        <v>176</v>
      </c>
      <c r="K1" s="18" t="s">
        <v>9</v>
      </c>
      <c r="L1" s="17" t="s">
        <v>187</v>
      </c>
      <c r="M1" s="17" t="s">
        <v>188</v>
      </c>
      <c r="N1" s="17" t="s">
        <v>10</v>
      </c>
      <c r="O1" s="20" t="s">
        <v>177</v>
      </c>
      <c r="P1" s="20" t="s">
        <v>11</v>
      </c>
      <c r="Q1" s="17" t="s">
        <v>186</v>
      </c>
      <c r="R1" s="17" t="s">
        <v>185</v>
      </c>
      <c r="S1" s="17" t="s">
        <v>12</v>
      </c>
      <c r="T1" s="20" t="s">
        <v>178</v>
      </c>
      <c r="U1" s="20" t="s">
        <v>179</v>
      </c>
      <c r="V1" s="17" t="s">
        <v>183</v>
      </c>
      <c r="W1" s="17" t="s">
        <v>184</v>
      </c>
      <c r="X1" s="17" t="s">
        <v>13</v>
      </c>
      <c r="Y1" s="20" t="s">
        <v>182</v>
      </c>
      <c r="Z1" s="20" t="s">
        <v>181</v>
      </c>
      <c r="AA1" s="17" t="s">
        <v>190</v>
      </c>
      <c r="AB1" s="17" t="s">
        <v>14</v>
      </c>
      <c r="AC1" s="17" t="s">
        <v>15</v>
      </c>
      <c r="AD1" s="20" t="s">
        <v>16</v>
      </c>
      <c r="AE1" s="17" t="s">
        <v>17</v>
      </c>
      <c r="AF1" s="20" t="s">
        <v>18</v>
      </c>
      <c r="AG1" s="17" t="s">
        <v>19</v>
      </c>
      <c r="AH1" s="20" t="s">
        <v>20</v>
      </c>
      <c r="AI1" s="17" t="s">
        <v>21</v>
      </c>
      <c r="AJ1" s="20" t="s">
        <v>22</v>
      </c>
      <c r="AK1" s="17" t="s">
        <v>23</v>
      </c>
      <c r="AL1" s="20" t="s">
        <v>296</v>
      </c>
      <c r="AM1" s="17" t="s">
        <v>298</v>
      </c>
      <c r="AN1" s="20" t="s">
        <v>295</v>
      </c>
      <c r="AO1" s="17" t="s">
        <v>299</v>
      </c>
      <c r="AP1" s="20" t="s">
        <v>294</v>
      </c>
      <c r="AQ1" s="17" t="s">
        <v>297</v>
      </c>
      <c r="AR1" s="20" t="s">
        <v>24</v>
      </c>
      <c r="AS1" s="17" t="s">
        <v>25</v>
      </c>
      <c r="AT1" s="17" t="s">
        <v>26</v>
      </c>
      <c r="AU1" s="17" t="s">
        <v>27</v>
      </c>
      <c r="AV1" s="17" t="s">
        <v>28</v>
      </c>
      <c r="AW1" s="17" t="s">
        <v>29</v>
      </c>
      <c r="AX1" s="17" t="s">
        <v>30</v>
      </c>
      <c r="AY1" s="17" t="s">
        <v>31</v>
      </c>
      <c r="AZ1" s="17" t="s">
        <v>32</v>
      </c>
      <c r="BA1" s="17" t="s">
        <v>33</v>
      </c>
      <c r="BB1" s="17" t="s">
        <v>34</v>
      </c>
      <c r="BC1" s="17" t="s">
        <v>35</v>
      </c>
      <c r="BD1" s="17" t="s">
        <v>36</v>
      </c>
      <c r="BE1" s="17" t="s">
        <v>37</v>
      </c>
      <c r="BF1" s="17" t="s">
        <v>38</v>
      </c>
      <c r="BG1" s="17" t="s">
        <v>39</v>
      </c>
      <c r="BH1" s="17" t="s">
        <v>40</v>
      </c>
      <c r="BI1" s="17" t="s">
        <v>41</v>
      </c>
      <c r="BJ1" s="17" t="s">
        <v>42</v>
      </c>
      <c r="BK1" s="17" t="s">
        <v>43</v>
      </c>
      <c r="BL1" s="17" t="s">
        <v>44</v>
      </c>
      <c r="BM1" s="17" t="s">
        <v>45</v>
      </c>
      <c r="BN1" s="17" t="s">
        <v>46</v>
      </c>
      <c r="BO1" s="17" t="s">
        <v>174</v>
      </c>
      <c r="BP1" s="17" t="s">
        <v>175</v>
      </c>
      <c r="BQ1" s="17" t="s">
        <v>249</v>
      </c>
      <c r="BR1" s="45" t="s">
        <v>258</v>
      </c>
      <c r="BS1" s="45" t="s">
        <v>259</v>
      </c>
      <c r="BT1" s="45" t="s">
        <v>260</v>
      </c>
      <c r="BU1" s="45" t="s">
        <v>261</v>
      </c>
      <c r="BV1" s="45" t="s">
        <v>262</v>
      </c>
      <c r="BW1" s="45" t="s">
        <v>263</v>
      </c>
      <c r="BX1" s="45" t="s">
        <v>264</v>
      </c>
      <c r="BY1" s="45" t="s">
        <v>265</v>
      </c>
      <c r="BZ1" s="45" t="s">
        <v>266</v>
      </c>
      <c r="CA1" s="45" t="s">
        <v>256</v>
      </c>
      <c r="CB1" s="45" t="s">
        <v>257</v>
      </c>
    </row>
    <row r="2" spans="1:80" ht="18" thickTop="1" x14ac:dyDescent="0.4">
      <c r="A2" s="21" t="s">
        <v>231</v>
      </c>
      <c r="B2" s="20" t="s">
        <v>243</v>
      </c>
      <c r="C2" s="29" t="s">
        <v>242</v>
      </c>
      <c r="D2" s="16">
        <v>13</v>
      </c>
      <c r="E2" s="16">
        <v>4</v>
      </c>
      <c r="F2" s="16">
        <v>58</v>
      </c>
      <c r="G2" s="23">
        <v>3873</v>
      </c>
      <c r="H2" s="23">
        <v>12</v>
      </c>
      <c r="I2" s="24">
        <v>0.92307692307692313</v>
      </c>
      <c r="J2" s="22">
        <v>4</v>
      </c>
      <c r="K2" s="22">
        <v>18</v>
      </c>
      <c r="L2" s="24">
        <v>0.30769230769230771</v>
      </c>
      <c r="M2" s="24">
        <v>1.384615384615385</v>
      </c>
      <c r="N2" s="25">
        <v>0.22222222222222221</v>
      </c>
      <c r="O2" s="23">
        <v>4</v>
      </c>
      <c r="P2" s="23">
        <v>12</v>
      </c>
      <c r="Q2" s="24">
        <v>0.30769230769230771</v>
      </c>
      <c r="R2" s="24">
        <v>0.92307692307692313</v>
      </c>
      <c r="S2" s="25">
        <v>0.33333333333333331</v>
      </c>
      <c r="T2" s="23">
        <v>0</v>
      </c>
      <c r="U2" s="23">
        <v>6</v>
      </c>
      <c r="V2" s="24">
        <v>0</v>
      </c>
      <c r="W2" s="24">
        <v>0.46153846153846162</v>
      </c>
      <c r="X2" s="25">
        <v>0</v>
      </c>
      <c r="Y2" s="23">
        <v>4</v>
      </c>
      <c r="Z2" s="23">
        <v>8</v>
      </c>
      <c r="AA2" s="24">
        <v>0.30769230769230771</v>
      </c>
      <c r="AB2" s="24">
        <v>0.61538461538461542</v>
      </c>
      <c r="AC2" s="25">
        <v>0.5</v>
      </c>
      <c r="AD2" s="23">
        <v>11</v>
      </c>
      <c r="AE2" s="24">
        <v>0.84615384615384615</v>
      </c>
      <c r="AF2" s="23">
        <v>7</v>
      </c>
      <c r="AG2" s="24">
        <v>0.53846153846153844</v>
      </c>
      <c r="AH2" s="23">
        <v>4</v>
      </c>
      <c r="AI2" s="24">
        <v>0.30769230769230771</v>
      </c>
      <c r="AJ2" s="23">
        <v>6</v>
      </c>
      <c r="AK2" s="24">
        <v>0.46153846153846162</v>
      </c>
      <c r="AL2" s="23">
        <v>4</v>
      </c>
      <c r="AM2" s="24">
        <v>0.30769230769230771</v>
      </c>
      <c r="AN2" s="30">
        <v>0</v>
      </c>
      <c r="AO2" s="24">
        <v>0</v>
      </c>
      <c r="AP2" s="23">
        <v>4</v>
      </c>
      <c r="AQ2" s="24">
        <v>0.30769230769230771</v>
      </c>
      <c r="AR2" s="23">
        <v>12</v>
      </c>
      <c r="AS2" s="24">
        <v>0.92307692307692313</v>
      </c>
      <c r="AT2" s="31">
        <v>-0.11990379249604501</v>
      </c>
      <c r="AU2" s="26">
        <v>-7.4301343142398169E-2</v>
      </c>
      <c r="AV2" s="26">
        <v>-0.17434690243050249</v>
      </c>
      <c r="AW2" s="26">
        <v>5.4443109934457452E-2</v>
      </c>
      <c r="AX2" s="26">
        <v>76.785418613855029</v>
      </c>
      <c r="AY2" s="26">
        <v>109.19147910135089</v>
      </c>
      <c r="AZ2" s="26">
        <v>3.0955718575360319E-2</v>
      </c>
      <c r="BA2" s="26">
        <v>0.84615384615384615</v>
      </c>
      <c r="BB2" s="26">
        <v>6.816421378776143</v>
      </c>
      <c r="BC2" s="25">
        <v>0.27881040892193309</v>
      </c>
      <c r="BD2" s="25">
        <v>0.22222222222222221</v>
      </c>
      <c r="BE2" s="26">
        <v>2.2160267826943501</v>
      </c>
      <c r="BF2" s="25">
        <v>0.33333333333333331</v>
      </c>
      <c r="BG2" s="25">
        <v>0.44444444444444442</v>
      </c>
      <c r="BH2" s="26">
        <v>1.4149291912353179</v>
      </c>
      <c r="BI2" s="26">
        <v>0.83609452209359669</v>
      </c>
      <c r="BJ2" s="26">
        <v>1.075824081246235</v>
      </c>
      <c r="BK2" s="26">
        <v>1.350042405818253</v>
      </c>
      <c r="BL2" s="26">
        <v>3.3703537145224649</v>
      </c>
      <c r="BM2" s="26">
        <v>0</v>
      </c>
      <c r="BN2" s="26">
        <v>17.037254778846261</v>
      </c>
      <c r="BO2" s="27" t="s">
        <v>189</v>
      </c>
      <c r="BP2" s="28"/>
      <c r="BQ2" s="17" t="s">
        <v>253</v>
      </c>
      <c r="BR2" s="58">
        <v>137.43</v>
      </c>
      <c r="BS2" s="58">
        <v>179.63</v>
      </c>
      <c r="BT2" s="58">
        <v>42.2</v>
      </c>
      <c r="BU2" s="35">
        <f t="shared" ref="BU2:BU8" si="0">BV2-BW2</f>
        <v>10.571538461538463</v>
      </c>
      <c r="BV2" s="35">
        <f t="shared" ref="BV2:BV8" si="1">BS2/$D2</f>
        <v>13.817692307692308</v>
      </c>
      <c r="BW2" s="35">
        <f t="shared" ref="BW2:BW8" si="2">BT2/$D2</f>
        <v>3.2461538461538462</v>
      </c>
      <c r="BX2" s="36">
        <f t="shared" ref="BX2:BX8" si="3">BY2-BZ2</f>
        <v>85.161890007745939</v>
      </c>
      <c r="BY2" s="36">
        <f t="shared" ref="BY2:BY8" si="4">BS2*2400/$G2</f>
        <v>111.31216111541441</v>
      </c>
      <c r="BZ2" s="36">
        <f t="shared" ref="BZ2:BZ8" si="5">BT2*2400/$G2</f>
        <v>26.150271107668473</v>
      </c>
      <c r="CA2" s="50">
        <v>4</v>
      </c>
      <c r="CB2" s="50">
        <v>9</v>
      </c>
    </row>
    <row r="3" spans="1:80" x14ac:dyDescent="0.4">
      <c r="A3" s="21" t="s">
        <v>231</v>
      </c>
      <c r="B3" s="17" t="s">
        <v>236</v>
      </c>
      <c r="C3" s="29" t="s">
        <v>237</v>
      </c>
      <c r="D3" s="16">
        <v>19</v>
      </c>
      <c r="E3" s="16">
        <v>12</v>
      </c>
      <c r="F3" s="16">
        <v>47</v>
      </c>
      <c r="G3" s="23">
        <v>14572</v>
      </c>
      <c r="H3" s="23">
        <v>40</v>
      </c>
      <c r="I3" s="24">
        <v>2.1052631578947372</v>
      </c>
      <c r="J3" s="22">
        <v>14</v>
      </c>
      <c r="K3" s="22">
        <v>33</v>
      </c>
      <c r="L3" s="24">
        <v>0.73684210526315785</v>
      </c>
      <c r="M3" s="24">
        <v>1.736842105263158</v>
      </c>
      <c r="N3" s="25">
        <v>0.42424242424242431</v>
      </c>
      <c r="O3" s="23">
        <v>14</v>
      </c>
      <c r="P3" s="23">
        <v>32</v>
      </c>
      <c r="Q3" s="24">
        <v>0.73684210526315785</v>
      </c>
      <c r="R3" s="24">
        <v>1.6842105263157889</v>
      </c>
      <c r="S3" s="25">
        <v>0.4375</v>
      </c>
      <c r="T3" s="23">
        <v>0</v>
      </c>
      <c r="U3" s="23">
        <v>1</v>
      </c>
      <c r="V3" s="24">
        <v>0</v>
      </c>
      <c r="W3" s="24">
        <v>5.2631578947368418E-2</v>
      </c>
      <c r="X3" s="25">
        <v>0</v>
      </c>
      <c r="Y3" s="23">
        <v>12</v>
      </c>
      <c r="Z3" s="23">
        <v>17</v>
      </c>
      <c r="AA3" s="24">
        <v>0.63157894736842102</v>
      </c>
      <c r="AB3" s="24">
        <v>0.89473684210526316</v>
      </c>
      <c r="AC3" s="25">
        <v>0.70588235294117652</v>
      </c>
      <c r="AD3" s="23">
        <v>70</v>
      </c>
      <c r="AE3" s="24">
        <v>3.6842105263157889</v>
      </c>
      <c r="AF3" s="23">
        <v>34</v>
      </c>
      <c r="AG3" s="24">
        <v>1.7894736842105261</v>
      </c>
      <c r="AH3" s="23">
        <v>36</v>
      </c>
      <c r="AI3" s="24">
        <v>1.8947368421052631</v>
      </c>
      <c r="AJ3" s="23">
        <v>11</v>
      </c>
      <c r="AK3" s="24">
        <v>0.57894736842105265</v>
      </c>
      <c r="AL3" s="23">
        <v>7</v>
      </c>
      <c r="AM3" s="24">
        <v>0.36842105263157893</v>
      </c>
      <c r="AN3" s="30">
        <v>0</v>
      </c>
      <c r="AO3" s="24">
        <v>0</v>
      </c>
      <c r="AP3" s="23">
        <v>6</v>
      </c>
      <c r="AQ3" s="24">
        <v>0.31578947368421051</v>
      </c>
      <c r="AR3" s="23">
        <v>40</v>
      </c>
      <c r="AS3" s="24">
        <v>2.1052631578947372</v>
      </c>
      <c r="AT3" s="31">
        <v>0.49489549133602151</v>
      </c>
      <c r="AU3" s="26">
        <v>8.1509002141535239E-2</v>
      </c>
      <c r="AV3" s="26">
        <v>0.36701435185072112</v>
      </c>
      <c r="AW3" s="26">
        <v>0.1278811394853003</v>
      </c>
      <c r="AX3" s="26">
        <v>122.5498073331806</v>
      </c>
      <c r="AY3" s="26">
        <v>112.16020496494789</v>
      </c>
      <c r="AZ3" s="26">
        <v>1.8348711681518011</v>
      </c>
      <c r="BA3" s="26">
        <v>5.1578947368421053</v>
      </c>
      <c r="BB3" s="26">
        <v>16.140543508097721</v>
      </c>
      <c r="BC3" s="25">
        <v>0.49407114624505932</v>
      </c>
      <c r="BD3" s="25">
        <v>0.42424242424242431</v>
      </c>
      <c r="BE3" s="26">
        <v>2.2912663160873969</v>
      </c>
      <c r="BF3" s="25">
        <v>3.03030303030303E-2</v>
      </c>
      <c r="BG3" s="25">
        <v>0.51515151515151514</v>
      </c>
      <c r="BH3" s="26">
        <v>3.8888550968431752</v>
      </c>
      <c r="BI3" s="26">
        <v>4.0512468481399244</v>
      </c>
      <c r="BJ3" s="26">
        <v>3.7947858253924678</v>
      </c>
      <c r="BK3" s="26">
        <v>1.3674058806614029</v>
      </c>
      <c r="BL3" s="26">
        <v>1.567623860046983</v>
      </c>
      <c r="BM3" s="26">
        <v>0</v>
      </c>
      <c r="BN3" s="26">
        <v>13.68884181608539</v>
      </c>
      <c r="BO3" s="27" t="s">
        <v>189</v>
      </c>
      <c r="BP3" s="28"/>
      <c r="BQ3" s="17" t="s">
        <v>253</v>
      </c>
      <c r="BR3" s="35">
        <v>179.34</v>
      </c>
      <c r="BS3" s="35">
        <v>211.24</v>
      </c>
      <c r="BT3" s="35">
        <v>31.9</v>
      </c>
      <c r="BU3" s="35">
        <f t="shared" si="0"/>
        <v>9.4389473684210525</v>
      </c>
      <c r="BV3" s="35">
        <f>BS3/$D3</f>
        <v>11.117894736842105</v>
      </c>
      <c r="BW3" s="35">
        <f>BT3/$D3</f>
        <v>1.6789473684210525</v>
      </c>
      <c r="BX3" s="36">
        <f t="shared" si="3"/>
        <v>29.53719461981883</v>
      </c>
      <c r="BY3" s="36">
        <f>BS3*2400/$G3</f>
        <v>34.79110623112819</v>
      </c>
      <c r="BZ3" s="36">
        <f>BT3*2400/$G3</f>
        <v>5.25391161130936</v>
      </c>
      <c r="CA3" s="50">
        <v>5</v>
      </c>
      <c r="CB3" s="50">
        <v>14</v>
      </c>
    </row>
    <row r="4" spans="1:80" x14ac:dyDescent="0.4">
      <c r="A4" s="21" t="s">
        <v>231</v>
      </c>
      <c r="B4" s="17" t="s">
        <v>240</v>
      </c>
      <c r="C4" s="29" t="s">
        <v>239</v>
      </c>
      <c r="D4" s="39">
        <v>52</v>
      </c>
      <c r="E4" s="39">
        <v>14</v>
      </c>
      <c r="F4" s="39">
        <v>2</v>
      </c>
      <c r="G4" s="23">
        <v>43798</v>
      </c>
      <c r="H4" s="23">
        <v>194</v>
      </c>
      <c r="I4" s="24">
        <v>3.7307692307692308</v>
      </c>
      <c r="J4" s="22">
        <v>71</v>
      </c>
      <c r="K4" s="22">
        <v>181</v>
      </c>
      <c r="L4" s="24">
        <v>1.365384615384615</v>
      </c>
      <c r="M4" s="24">
        <v>3.4807692307692308</v>
      </c>
      <c r="N4" s="25">
        <v>0.39226519337016569</v>
      </c>
      <c r="O4" s="23">
        <v>39</v>
      </c>
      <c r="P4" s="23">
        <v>73</v>
      </c>
      <c r="Q4" s="24">
        <v>0.75</v>
      </c>
      <c r="R4" s="24">
        <v>1.403846153846154</v>
      </c>
      <c r="S4" s="25">
        <v>0.53424657534246578</v>
      </c>
      <c r="T4" s="23">
        <v>32</v>
      </c>
      <c r="U4" s="23">
        <v>108</v>
      </c>
      <c r="V4" s="24">
        <v>0.61538461538461542</v>
      </c>
      <c r="W4" s="24">
        <v>2.0769230769230771</v>
      </c>
      <c r="X4" s="25">
        <v>0.29629629629629628</v>
      </c>
      <c r="Y4" s="23">
        <v>20</v>
      </c>
      <c r="Z4" s="23">
        <v>31</v>
      </c>
      <c r="AA4" s="24">
        <v>0.38461538461538458</v>
      </c>
      <c r="AB4" s="24">
        <v>0.59615384615384615</v>
      </c>
      <c r="AC4" s="25">
        <v>0.64516129032258063</v>
      </c>
      <c r="AD4" s="23">
        <v>118</v>
      </c>
      <c r="AE4" s="24">
        <v>2.2692307692307692</v>
      </c>
      <c r="AF4" s="23">
        <v>44</v>
      </c>
      <c r="AG4" s="24">
        <v>0.84615384615384615</v>
      </c>
      <c r="AH4" s="23">
        <v>74</v>
      </c>
      <c r="AI4" s="24">
        <v>1.4230769230769229</v>
      </c>
      <c r="AJ4" s="23">
        <v>23</v>
      </c>
      <c r="AK4" s="24">
        <v>0.44230769230769229</v>
      </c>
      <c r="AL4" s="23">
        <v>16</v>
      </c>
      <c r="AM4" s="24">
        <v>0.30769230769230771</v>
      </c>
      <c r="AN4" s="30">
        <v>5</v>
      </c>
      <c r="AO4" s="24">
        <v>9.6153846153846159E-2</v>
      </c>
      <c r="AP4" s="23">
        <v>22</v>
      </c>
      <c r="AQ4" s="24">
        <v>0.42307692307692307</v>
      </c>
      <c r="AR4" s="23">
        <v>93</v>
      </c>
      <c r="AS4" s="24">
        <v>1.788461538461539</v>
      </c>
      <c r="AT4" s="31">
        <v>0.59923131110045103</v>
      </c>
      <c r="AU4" s="26">
        <v>3.283609175398608E-2</v>
      </c>
      <c r="AV4" s="26">
        <v>0.2573467846418393</v>
      </c>
      <c r="AW4" s="26">
        <v>0.34188452645861173</v>
      </c>
      <c r="AX4" s="26">
        <v>104.1829460779162</v>
      </c>
      <c r="AY4" s="26">
        <v>112.5717220254059</v>
      </c>
      <c r="AZ4" s="26">
        <v>2.640141176784045</v>
      </c>
      <c r="BA4" s="26">
        <v>4.0961538461538458</v>
      </c>
      <c r="BB4" s="26">
        <v>11.67176583405635</v>
      </c>
      <c r="BC4" s="25">
        <v>0.4983559391697493</v>
      </c>
      <c r="BD4" s="25">
        <v>0.48066298342541441</v>
      </c>
      <c r="BE4" s="26">
        <v>6.8994691053727184</v>
      </c>
      <c r="BF4" s="25">
        <v>0.59668508287292821</v>
      </c>
      <c r="BG4" s="25">
        <v>0.17127071823204421</v>
      </c>
      <c r="BH4" s="26">
        <v>3.4237475518889822</v>
      </c>
      <c r="BI4" s="26">
        <v>5.6588518507135168</v>
      </c>
      <c r="BJ4" s="26">
        <v>4.3408157363132478</v>
      </c>
      <c r="BK4" s="26">
        <v>2.0511889250507989</v>
      </c>
      <c r="BL4" s="26">
        <v>1.192143927699485</v>
      </c>
      <c r="BM4" s="26">
        <v>0.32016755588982482</v>
      </c>
      <c r="BN4" s="26">
        <v>10.136571906834421</v>
      </c>
      <c r="BO4" s="27" t="s">
        <v>189</v>
      </c>
      <c r="BP4" s="28"/>
      <c r="BQ4" s="17" t="s">
        <v>255</v>
      </c>
      <c r="BR4" s="58">
        <v>427.78</v>
      </c>
      <c r="BS4" s="58">
        <v>571.98</v>
      </c>
      <c r="BT4" s="58">
        <v>144.19999999999999</v>
      </c>
      <c r="BU4" s="35">
        <f t="shared" si="0"/>
        <v>8.2265384615384622</v>
      </c>
      <c r="BV4" s="35">
        <f t="shared" si="1"/>
        <v>10.999615384615385</v>
      </c>
      <c r="BW4" s="35">
        <f t="shared" si="2"/>
        <v>2.773076923076923</v>
      </c>
      <c r="BX4" s="36">
        <f t="shared" si="3"/>
        <v>23.441070368509976</v>
      </c>
      <c r="BY4" s="36">
        <f t="shared" si="4"/>
        <v>31.342801041143431</v>
      </c>
      <c r="BZ4" s="36">
        <f t="shared" si="5"/>
        <v>7.9017306726334535</v>
      </c>
      <c r="CA4" s="50">
        <v>26</v>
      </c>
      <c r="CB4" s="50">
        <v>26</v>
      </c>
    </row>
    <row r="5" spans="1:80" x14ac:dyDescent="0.4">
      <c r="A5" s="21" t="s">
        <v>231</v>
      </c>
      <c r="B5" s="17" t="s">
        <v>245</v>
      </c>
      <c r="C5" s="29" t="s">
        <v>241</v>
      </c>
      <c r="D5" s="16">
        <v>33</v>
      </c>
      <c r="E5" s="16">
        <v>15</v>
      </c>
      <c r="F5" s="16">
        <v>55</v>
      </c>
      <c r="G5" s="23">
        <v>31519</v>
      </c>
      <c r="H5" s="23">
        <v>329</v>
      </c>
      <c r="I5" s="24">
        <v>9.9696969696969688</v>
      </c>
      <c r="J5" s="22">
        <v>107</v>
      </c>
      <c r="K5" s="22">
        <v>274</v>
      </c>
      <c r="L5" s="24">
        <v>3.2424242424242422</v>
      </c>
      <c r="M5" s="24">
        <v>8.3030303030303028</v>
      </c>
      <c r="N5" s="25">
        <v>0.39051094890510951</v>
      </c>
      <c r="O5" s="23">
        <v>58</v>
      </c>
      <c r="P5" s="23">
        <v>146</v>
      </c>
      <c r="Q5" s="24">
        <v>1.757575757575758</v>
      </c>
      <c r="R5" s="24">
        <v>4.4242424242424239</v>
      </c>
      <c r="S5" s="25">
        <v>0.39726027397260272</v>
      </c>
      <c r="T5" s="23">
        <v>49</v>
      </c>
      <c r="U5" s="23">
        <v>128</v>
      </c>
      <c r="V5" s="24">
        <v>1.4848484848484851</v>
      </c>
      <c r="W5" s="24">
        <v>3.8787878787878789</v>
      </c>
      <c r="X5" s="25">
        <v>0.3828125</v>
      </c>
      <c r="Y5" s="23">
        <v>66</v>
      </c>
      <c r="Z5" s="23">
        <v>79</v>
      </c>
      <c r="AA5" s="24">
        <v>2</v>
      </c>
      <c r="AB5" s="24">
        <v>2.393939393939394</v>
      </c>
      <c r="AC5" s="25">
        <v>0.83544303797468356</v>
      </c>
      <c r="AD5" s="23">
        <v>130</v>
      </c>
      <c r="AE5" s="24">
        <v>3.939393939393939</v>
      </c>
      <c r="AF5" s="23">
        <v>34</v>
      </c>
      <c r="AG5" s="24">
        <v>1.0303030303030301</v>
      </c>
      <c r="AH5" s="23">
        <v>96</v>
      </c>
      <c r="AI5" s="24">
        <v>2.9090909090909092</v>
      </c>
      <c r="AJ5" s="23">
        <v>31</v>
      </c>
      <c r="AK5" s="24">
        <v>0.93939393939393945</v>
      </c>
      <c r="AL5" s="23">
        <v>14</v>
      </c>
      <c r="AM5" s="24">
        <v>0.42424242424242431</v>
      </c>
      <c r="AN5" s="23">
        <v>13</v>
      </c>
      <c r="AO5" s="24">
        <v>0.39393939393939392</v>
      </c>
      <c r="AP5" s="23">
        <v>26</v>
      </c>
      <c r="AQ5" s="24">
        <v>0.78787878787878785</v>
      </c>
      <c r="AR5" s="23">
        <v>68</v>
      </c>
      <c r="AS5" s="24">
        <v>2.060606060606061</v>
      </c>
      <c r="AT5" s="31">
        <v>1.211736312464379</v>
      </c>
      <c r="AU5" s="26">
        <v>9.2267113484390706E-2</v>
      </c>
      <c r="AV5" s="26">
        <v>0.79770045536562573</v>
      </c>
      <c r="AW5" s="26">
        <v>0.41403585709875362</v>
      </c>
      <c r="AX5" s="26">
        <v>108.6778717498171</v>
      </c>
      <c r="AY5" s="26">
        <v>109.66502784898709</v>
      </c>
      <c r="AZ5" s="26">
        <v>4.8485466510821951</v>
      </c>
      <c r="BA5" s="26">
        <v>9.4242424242424239</v>
      </c>
      <c r="BB5" s="26">
        <v>23.680954344998248</v>
      </c>
      <c r="BC5" s="25">
        <v>0.5327762663557456</v>
      </c>
      <c r="BD5" s="25">
        <v>0.47992700729927013</v>
      </c>
      <c r="BE5" s="26">
        <v>10.42046152326572</v>
      </c>
      <c r="BF5" s="25">
        <v>0.46715328467153278</v>
      </c>
      <c r="BG5" s="25">
        <v>0.28832116788321172</v>
      </c>
      <c r="BH5" s="26">
        <v>2.4736111510601431</v>
      </c>
      <c r="BI5" s="26">
        <v>6.7727947490688267</v>
      </c>
      <c r="BJ5" s="26">
        <v>4.4191032166538999</v>
      </c>
      <c r="BK5" s="26">
        <v>3.052761640633237</v>
      </c>
      <c r="BL5" s="26">
        <v>1.4495012461438901</v>
      </c>
      <c r="BM5" s="26">
        <v>0.87378989201933344</v>
      </c>
      <c r="BN5" s="26">
        <v>7.7446663008816898</v>
      </c>
      <c r="BO5" s="27" t="s">
        <v>300</v>
      </c>
      <c r="BP5" s="28"/>
      <c r="BQ5" s="17" t="s">
        <v>253</v>
      </c>
      <c r="BR5" s="58">
        <v>475.37</v>
      </c>
      <c r="BS5" s="58">
        <v>683.87</v>
      </c>
      <c r="BT5" s="58">
        <v>208.5</v>
      </c>
      <c r="BU5" s="35">
        <f t="shared" si="0"/>
        <v>14.405151515151514</v>
      </c>
      <c r="BV5" s="35">
        <f t="shared" si="1"/>
        <v>20.723333333333333</v>
      </c>
      <c r="BW5" s="35">
        <f t="shared" si="2"/>
        <v>6.3181818181818183</v>
      </c>
      <c r="BX5" s="36">
        <f t="shared" si="3"/>
        <v>36.196833655890096</v>
      </c>
      <c r="BY5" s="36">
        <f t="shared" si="4"/>
        <v>52.07297185824423</v>
      </c>
      <c r="BZ5" s="36">
        <f t="shared" si="5"/>
        <v>15.876138202354136</v>
      </c>
      <c r="CA5" s="47">
        <v>14</v>
      </c>
      <c r="CB5" s="47">
        <v>19</v>
      </c>
    </row>
    <row r="6" spans="1:80" x14ac:dyDescent="0.4">
      <c r="A6" s="21" t="s">
        <v>231</v>
      </c>
      <c r="B6" s="37" t="s">
        <v>244</v>
      </c>
      <c r="C6" s="42" t="s">
        <v>238</v>
      </c>
      <c r="D6" s="16">
        <v>39</v>
      </c>
      <c r="E6" s="16">
        <v>12</v>
      </c>
      <c r="F6" s="16">
        <v>58</v>
      </c>
      <c r="G6" s="23">
        <v>30330</v>
      </c>
      <c r="H6" s="23">
        <v>143</v>
      </c>
      <c r="I6" s="24">
        <v>3.666666666666667</v>
      </c>
      <c r="J6" s="22">
        <v>57</v>
      </c>
      <c r="K6" s="22">
        <v>95</v>
      </c>
      <c r="L6" s="24">
        <v>1.461538461538461</v>
      </c>
      <c r="M6" s="24">
        <v>2.4358974358974361</v>
      </c>
      <c r="N6" s="25">
        <v>0.6</v>
      </c>
      <c r="O6" s="23">
        <v>55</v>
      </c>
      <c r="P6" s="23">
        <v>88</v>
      </c>
      <c r="Q6" s="24">
        <v>1.4102564102564099</v>
      </c>
      <c r="R6" s="24">
        <v>2.2564102564102559</v>
      </c>
      <c r="S6" s="25">
        <v>0.625</v>
      </c>
      <c r="T6" s="23">
        <v>2</v>
      </c>
      <c r="U6" s="23">
        <v>7</v>
      </c>
      <c r="V6" s="24">
        <v>5.128205128205128E-2</v>
      </c>
      <c r="W6" s="24">
        <v>0.17948717948717949</v>
      </c>
      <c r="X6" s="25">
        <v>0.2857142857142857</v>
      </c>
      <c r="Y6" s="23">
        <v>27</v>
      </c>
      <c r="Z6" s="23">
        <v>37</v>
      </c>
      <c r="AA6" s="24">
        <v>0.69230769230769229</v>
      </c>
      <c r="AB6" s="24">
        <v>0.94871794871794868</v>
      </c>
      <c r="AC6" s="25">
        <v>0.72972972972972971</v>
      </c>
      <c r="AD6" s="23">
        <v>88</v>
      </c>
      <c r="AE6" s="24">
        <v>2.2564102564102559</v>
      </c>
      <c r="AF6" s="23">
        <v>27</v>
      </c>
      <c r="AG6" s="24">
        <v>0.69230769230769229</v>
      </c>
      <c r="AH6" s="23">
        <v>61</v>
      </c>
      <c r="AI6" s="24">
        <v>1.5641025641025641</v>
      </c>
      <c r="AJ6" s="23">
        <v>35</v>
      </c>
      <c r="AK6" s="24">
        <v>0.89743589743589747</v>
      </c>
      <c r="AL6" s="23">
        <v>6</v>
      </c>
      <c r="AM6" s="24">
        <v>0.15384615384615391</v>
      </c>
      <c r="AN6" s="43">
        <v>18</v>
      </c>
      <c r="AO6" s="24">
        <v>0.46153846153846162</v>
      </c>
      <c r="AP6" s="23">
        <v>25</v>
      </c>
      <c r="AQ6" s="24">
        <v>0.64102564102564108</v>
      </c>
      <c r="AR6" s="23">
        <v>39</v>
      </c>
      <c r="AS6" s="24">
        <v>1</v>
      </c>
      <c r="AT6" s="31">
        <v>0.91674678252561359</v>
      </c>
      <c r="AU6" s="26">
        <v>7.2541782989168246E-2</v>
      </c>
      <c r="AV6" s="26">
        <v>0.76467231325662122</v>
      </c>
      <c r="AW6" s="26">
        <v>0.1520744692689924</v>
      </c>
      <c r="AX6" s="26">
        <v>120.39841419847031</v>
      </c>
      <c r="AY6" s="26">
        <v>114.06663109760029</v>
      </c>
      <c r="AZ6" s="26">
        <v>3.8940436910092462</v>
      </c>
      <c r="BA6" s="26">
        <v>5.5641025641025639</v>
      </c>
      <c r="BB6" s="26">
        <v>17.171117705242331</v>
      </c>
      <c r="BC6" s="25">
        <v>0.64252336448598135</v>
      </c>
      <c r="BD6" s="25">
        <v>0.61052631578947369</v>
      </c>
      <c r="BE6" s="26">
        <v>4.5744651430058108</v>
      </c>
      <c r="BF6" s="25">
        <v>7.3684210526315783E-2</v>
      </c>
      <c r="BG6" s="25">
        <v>0.38947368421052631</v>
      </c>
      <c r="BH6" s="26">
        <v>2.2543921379614069</v>
      </c>
      <c r="BI6" s="26">
        <v>5.1986529083044477</v>
      </c>
      <c r="BJ6" s="26">
        <v>3.5620083839668411</v>
      </c>
      <c r="BK6" s="26">
        <v>3.4320811750034048</v>
      </c>
      <c r="BL6" s="26">
        <v>0.64556775155022283</v>
      </c>
      <c r="BM6" s="26">
        <v>1.3470986862045871</v>
      </c>
      <c r="BN6" s="26">
        <v>18.012050391250781</v>
      </c>
      <c r="BO6" s="27" t="s">
        <v>189</v>
      </c>
      <c r="BP6" s="28"/>
      <c r="BQ6" s="17" t="s">
        <v>253</v>
      </c>
      <c r="BR6" s="35">
        <v>365.88</v>
      </c>
      <c r="BS6" s="35">
        <v>448.88</v>
      </c>
      <c r="BT6" s="35">
        <v>83</v>
      </c>
      <c r="BU6" s="35">
        <f t="shared" si="0"/>
        <v>9.3815384615384616</v>
      </c>
      <c r="BV6" s="35">
        <f t="shared" si="1"/>
        <v>11.509743589743589</v>
      </c>
      <c r="BW6" s="35">
        <f t="shared" si="2"/>
        <v>2.1282051282051282</v>
      </c>
      <c r="BX6" s="36">
        <f t="shared" si="3"/>
        <v>28.95192878338279</v>
      </c>
      <c r="BY6" s="36">
        <f t="shared" si="4"/>
        <v>35.519683481701286</v>
      </c>
      <c r="BZ6" s="36">
        <f t="shared" si="5"/>
        <v>6.5677546983184962</v>
      </c>
      <c r="CA6" s="48">
        <v>21</v>
      </c>
      <c r="CB6" s="48">
        <v>18</v>
      </c>
    </row>
    <row r="7" spans="1:80" x14ac:dyDescent="0.4">
      <c r="A7" s="21" t="s">
        <v>231</v>
      </c>
      <c r="B7" s="17" t="s">
        <v>247</v>
      </c>
      <c r="C7" s="17" t="s">
        <v>115</v>
      </c>
      <c r="D7" s="33">
        <v>48</v>
      </c>
      <c r="E7" s="33">
        <v>18</v>
      </c>
      <c r="F7" s="33">
        <v>42</v>
      </c>
      <c r="G7" s="23">
        <v>53856</v>
      </c>
      <c r="H7" s="23">
        <v>252</v>
      </c>
      <c r="I7" s="24">
        <f t="shared" ref="I7:I65" si="6">H7/$D7</f>
        <v>5.25</v>
      </c>
      <c r="J7" s="22">
        <v>87</v>
      </c>
      <c r="K7" s="22">
        <v>222</v>
      </c>
      <c r="L7" s="24">
        <f t="shared" ref="L7:L66" si="7">J7/$D7</f>
        <v>1.8125</v>
      </c>
      <c r="M7" s="24">
        <f t="shared" ref="M7:M66" si="8">K7/$D7</f>
        <v>4.625</v>
      </c>
      <c r="N7" s="25">
        <f t="shared" ref="N7:N66" si="9">J7/K7</f>
        <v>0.39189189189189189</v>
      </c>
      <c r="O7" s="23">
        <v>28</v>
      </c>
      <c r="P7" s="22">
        <v>45</v>
      </c>
      <c r="Q7" s="24">
        <f t="shared" ref="Q7:Q65" si="10">O7/$D7</f>
        <v>0.58333333333333337</v>
      </c>
      <c r="R7" s="24">
        <f t="shared" ref="R7:R65" si="11">P7/$D7</f>
        <v>0.9375</v>
      </c>
      <c r="S7" s="25">
        <f t="shared" ref="S7:S65" si="12">O7/P7</f>
        <v>0.62222222222222223</v>
      </c>
      <c r="T7" s="22">
        <v>59</v>
      </c>
      <c r="U7" s="22">
        <v>177</v>
      </c>
      <c r="V7" s="24">
        <f t="shared" ref="V7:V65" si="13">T7/$D7</f>
        <v>1.2291666666666667</v>
      </c>
      <c r="W7" s="24">
        <f t="shared" ref="W7:W65" si="14">U7/$D7</f>
        <v>3.6875</v>
      </c>
      <c r="X7" s="25">
        <f t="shared" ref="X7:X65" si="15">T7/U7</f>
        <v>0.33333333333333331</v>
      </c>
      <c r="Y7" s="22">
        <v>19</v>
      </c>
      <c r="Z7" s="22">
        <v>20</v>
      </c>
      <c r="AA7" s="24">
        <f t="shared" ref="AA7:AA65" si="16">Y7/$D7</f>
        <v>0.39583333333333331</v>
      </c>
      <c r="AB7" s="24">
        <f t="shared" ref="AB7:AB65" si="17">Z7/$D7</f>
        <v>0.41666666666666669</v>
      </c>
      <c r="AC7" s="25">
        <f t="shared" ref="AC7:AC65" si="18">Y7/Z7</f>
        <v>0.95</v>
      </c>
      <c r="AD7" s="22">
        <v>80</v>
      </c>
      <c r="AE7" s="24">
        <f t="shared" ref="AE7:AE65" si="19">AD7/$D7</f>
        <v>1.6666666666666667</v>
      </c>
      <c r="AF7" s="22">
        <v>25</v>
      </c>
      <c r="AG7" s="24">
        <f t="shared" ref="AG7:AG65" si="20">AF7/$D7</f>
        <v>0.52083333333333337</v>
      </c>
      <c r="AH7" s="22">
        <v>55</v>
      </c>
      <c r="AI7" s="24">
        <f t="shared" ref="AI7:AI65" si="21">AH7/$D7</f>
        <v>1.1458333333333333</v>
      </c>
      <c r="AJ7" s="22">
        <v>29</v>
      </c>
      <c r="AK7" s="24">
        <f t="shared" ref="AK7:AK65" si="22">AJ7/$D7</f>
        <v>0.60416666666666663</v>
      </c>
      <c r="AL7" s="22">
        <v>34</v>
      </c>
      <c r="AM7" s="24">
        <f t="shared" ref="AM7:AM65" si="23">AL7/$D7</f>
        <v>0.70833333333333337</v>
      </c>
      <c r="AN7" s="10">
        <v>3</v>
      </c>
      <c r="AO7" s="24">
        <f t="shared" ref="AO7:AO65" si="24">AN7/$D7</f>
        <v>6.25E-2</v>
      </c>
      <c r="AP7" s="22">
        <v>17</v>
      </c>
      <c r="AQ7" s="24">
        <f t="shared" ref="AQ7:AQ38" si="25">AP7/$D7</f>
        <v>0.35416666666666669</v>
      </c>
      <c r="AR7" s="22">
        <v>102</v>
      </c>
      <c r="AS7" s="24">
        <f t="shared" ref="AS7:AS65" si="26">AR7/$D7</f>
        <v>2.125</v>
      </c>
      <c r="AT7" s="26">
        <v>0.94084560442930942</v>
      </c>
      <c r="AU7" s="26">
        <v>4.1927165972785625E-2</v>
      </c>
      <c r="AV7" s="26">
        <v>0.75091054920216871</v>
      </c>
      <c r="AW7" s="26">
        <v>0.18993505522714071</v>
      </c>
      <c r="AX7" s="26">
        <v>111.50817799537087</v>
      </c>
      <c r="AY7" s="26">
        <v>114.8583636019108</v>
      </c>
      <c r="AZ7" s="26">
        <v>5.3433582461001574</v>
      </c>
      <c r="BA7" s="26">
        <v>5.104166666666667</v>
      </c>
      <c r="BB7" s="26">
        <v>10.918003565062389</v>
      </c>
      <c r="BC7" s="25">
        <v>0.54592720970537256</v>
      </c>
      <c r="BD7" s="25">
        <v>0.52477477477477474</v>
      </c>
      <c r="BE7" s="26">
        <v>11.435396011732589</v>
      </c>
      <c r="BF7" s="25">
        <v>0.79729729729729726</v>
      </c>
      <c r="BG7" s="25">
        <v>9.0090090090090086E-2</v>
      </c>
      <c r="BH7" s="26">
        <v>2.775087484632953</v>
      </c>
      <c r="BI7" s="26">
        <v>6.1051924661924968</v>
      </c>
      <c r="BJ7" s="26">
        <v>4.2441218911807148</v>
      </c>
      <c r="BK7" s="26">
        <v>3.941288393585213</v>
      </c>
      <c r="BL7" s="26">
        <v>2.060192540458571</v>
      </c>
      <c r="BM7" s="26">
        <v>0.26973990329824471</v>
      </c>
      <c r="BN7" s="26">
        <v>6.8603712671509278</v>
      </c>
      <c r="BO7" s="27" t="s">
        <v>189</v>
      </c>
      <c r="BP7" s="28"/>
      <c r="BQ7" s="17" t="s">
        <v>255</v>
      </c>
      <c r="BR7" s="57">
        <v>513.49</v>
      </c>
      <c r="BS7" s="57">
        <v>662.99</v>
      </c>
      <c r="BT7" s="57">
        <v>149.5</v>
      </c>
      <c r="BU7" s="35">
        <f t="shared" si="0"/>
        <v>10.697708333333333</v>
      </c>
      <c r="BV7" s="35">
        <f t="shared" si="1"/>
        <v>13.812291666666667</v>
      </c>
      <c r="BW7" s="35">
        <f t="shared" si="2"/>
        <v>3.1145833333333335</v>
      </c>
      <c r="BX7" s="36">
        <f t="shared" si="3"/>
        <v>22.882798573975045</v>
      </c>
      <c r="BY7" s="36">
        <f t="shared" si="4"/>
        <v>29.545008912655973</v>
      </c>
      <c r="BZ7" s="36">
        <f t="shared" si="5"/>
        <v>6.6622103386809268</v>
      </c>
      <c r="CA7" s="47">
        <v>23</v>
      </c>
      <c r="CB7" s="47">
        <v>25</v>
      </c>
    </row>
    <row r="8" spans="1:80" x14ac:dyDescent="0.4">
      <c r="A8" s="21" t="s">
        <v>231</v>
      </c>
      <c r="B8" s="17" t="s">
        <v>247</v>
      </c>
      <c r="C8" s="17" t="s">
        <v>112</v>
      </c>
      <c r="D8" s="33">
        <v>11</v>
      </c>
      <c r="E8" s="33">
        <v>7</v>
      </c>
      <c r="F8" s="33">
        <v>56</v>
      </c>
      <c r="G8" s="23">
        <v>5236</v>
      </c>
      <c r="H8" s="23">
        <v>24</v>
      </c>
      <c r="I8" s="24">
        <f t="shared" si="6"/>
        <v>2.1818181818181817</v>
      </c>
      <c r="J8" s="22">
        <v>9</v>
      </c>
      <c r="K8" s="22">
        <v>27</v>
      </c>
      <c r="L8" s="24">
        <f t="shared" si="7"/>
        <v>0.81818181818181823</v>
      </c>
      <c r="M8" s="24">
        <f t="shared" si="8"/>
        <v>2.4545454545454546</v>
      </c>
      <c r="N8" s="25">
        <f t="shared" si="9"/>
        <v>0.33333333333333331</v>
      </c>
      <c r="O8" s="23">
        <v>5</v>
      </c>
      <c r="P8" s="22">
        <v>11</v>
      </c>
      <c r="Q8" s="24">
        <f t="shared" si="10"/>
        <v>0.45454545454545453</v>
      </c>
      <c r="R8" s="24">
        <f t="shared" si="11"/>
        <v>1</v>
      </c>
      <c r="S8" s="25">
        <f t="shared" si="12"/>
        <v>0.45454545454545453</v>
      </c>
      <c r="T8" s="22">
        <v>4</v>
      </c>
      <c r="U8" s="22">
        <v>16</v>
      </c>
      <c r="V8" s="24">
        <f t="shared" si="13"/>
        <v>0.36363636363636365</v>
      </c>
      <c r="W8" s="24">
        <f t="shared" si="14"/>
        <v>1.4545454545454546</v>
      </c>
      <c r="X8" s="25">
        <f t="shared" si="15"/>
        <v>0.25</v>
      </c>
      <c r="Y8" s="22">
        <v>2</v>
      </c>
      <c r="Z8" s="22">
        <v>2</v>
      </c>
      <c r="AA8" s="24">
        <f t="shared" si="16"/>
        <v>0.18181818181818182</v>
      </c>
      <c r="AB8" s="24">
        <f t="shared" si="17"/>
        <v>0.18181818181818182</v>
      </c>
      <c r="AC8" s="25">
        <f t="shared" si="18"/>
        <v>1</v>
      </c>
      <c r="AD8" s="22">
        <v>22</v>
      </c>
      <c r="AE8" s="24">
        <f t="shared" si="19"/>
        <v>2</v>
      </c>
      <c r="AF8" s="22">
        <v>5</v>
      </c>
      <c r="AG8" s="24">
        <f t="shared" si="20"/>
        <v>0.45454545454545453</v>
      </c>
      <c r="AH8" s="22">
        <v>17</v>
      </c>
      <c r="AI8" s="24">
        <f t="shared" si="21"/>
        <v>1.5454545454545454</v>
      </c>
      <c r="AJ8" s="22">
        <v>2</v>
      </c>
      <c r="AK8" s="24">
        <f t="shared" si="22"/>
        <v>0.18181818181818182</v>
      </c>
      <c r="AL8" s="22">
        <v>1</v>
      </c>
      <c r="AM8" s="24">
        <f t="shared" si="23"/>
        <v>9.0909090909090912E-2</v>
      </c>
      <c r="AN8" s="10">
        <v>3</v>
      </c>
      <c r="AO8" s="24">
        <f t="shared" si="24"/>
        <v>0.27272727272727271</v>
      </c>
      <c r="AP8" s="22">
        <v>1</v>
      </c>
      <c r="AQ8" s="24">
        <f t="shared" si="25"/>
        <v>9.0909090909090912E-2</v>
      </c>
      <c r="AR8" s="22">
        <v>8</v>
      </c>
      <c r="AS8" s="24">
        <f t="shared" si="26"/>
        <v>0.72727272727272729</v>
      </c>
      <c r="AT8" s="26">
        <v>4.9263781459579332E-2</v>
      </c>
      <c r="AU8" s="26">
        <v>2.2580801280173875E-2</v>
      </c>
      <c r="AV8" s="26">
        <v>-1.0661712282674441E-2</v>
      </c>
      <c r="AW8" s="26">
        <v>5.9925493742253776E-2</v>
      </c>
      <c r="AX8" s="26">
        <v>98.082921940183226</v>
      </c>
      <c r="AY8" s="26">
        <v>110.41954614381932</v>
      </c>
      <c r="AZ8" s="26">
        <v>1.4402855991514047</v>
      </c>
      <c r="BA8" s="26">
        <v>3</v>
      </c>
      <c r="BB8" s="26">
        <v>15.126050420168067</v>
      </c>
      <c r="BC8" s="25">
        <v>0.43041606886657102</v>
      </c>
      <c r="BD8" s="25">
        <v>0.40740740740740738</v>
      </c>
      <c r="BE8" s="26">
        <v>3.1414706027388521</v>
      </c>
      <c r="BF8" s="25">
        <v>0.59259259259259256</v>
      </c>
      <c r="BG8" s="25">
        <v>7.407407407407407E-2</v>
      </c>
      <c r="BH8" s="26">
        <v>1.3082555284698207</v>
      </c>
      <c r="BI8" s="26">
        <v>4.4480687967973909</v>
      </c>
      <c r="BJ8" s="26">
        <v>2.7511004401760704</v>
      </c>
      <c r="BK8" s="26">
        <v>0.58811997647520098</v>
      </c>
      <c r="BL8" s="26">
        <v>0.62325152484460966</v>
      </c>
      <c r="BM8" s="26">
        <v>0.63581548634586238</v>
      </c>
      <c r="BN8" s="26">
        <v>3.4626038781163437</v>
      </c>
      <c r="BO8" s="27" t="s">
        <v>189</v>
      </c>
      <c r="BP8" s="28"/>
      <c r="BQ8" s="17" t="s">
        <v>253</v>
      </c>
      <c r="BR8" s="57">
        <v>59.02</v>
      </c>
      <c r="BS8" s="57">
        <v>77.319999999999993</v>
      </c>
      <c r="BT8" s="57">
        <v>18.3</v>
      </c>
      <c r="BU8" s="35">
        <f t="shared" si="0"/>
        <v>5.3654545454545444</v>
      </c>
      <c r="BV8" s="35">
        <f t="shared" si="1"/>
        <v>7.0290909090909084</v>
      </c>
      <c r="BW8" s="35">
        <f t="shared" si="2"/>
        <v>1.6636363636363638</v>
      </c>
      <c r="BX8" s="36">
        <f t="shared" si="3"/>
        <v>27.052711993888458</v>
      </c>
      <c r="BY8" s="36">
        <f t="shared" si="4"/>
        <v>35.440794499618022</v>
      </c>
      <c r="BZ8" s="36">
        <f t="shared" si="5"/>
        <v>8.3880825057295638</v>
      </c>
      <c r="CA8" s="47">
        <v>3</v>
      </c>
      <c r="CB8" s="47">
        <v>8</v>
      </c>
    </row>
    <row r="9" spans="1:80" x14ac:dyDescent="0.4">
      <c r="A9" s="21" t="s">
        <v>231</v>
      </c>
      <c r="B9" s="17" t="s">
        <v>247</v>
      </c>
      <c r="C9" s="17" t="s">
        <v>212</v>
      </c>
      <c r="D9" s="22">
        <v>25</v>
      </c>
      <c r="E9" s="22">
        <v>6</v>
      </c>
      <c r="F9" s="22">
        <v>50</v>
      </c>
      <c r="G9" s="23">
        <v>10250</v>
      </c>
      <c r="H9" s="23">
        <v>50</v>
      </c>
      <c r="I9" s="24">
        <f t="shared" si="6"/>
        <v>2</v>
      </c>
      <c r="J9" s="22">
        <v>15</v>
      </c>
      <c r="K9" s="22">
        <v>34</v>
      </c>
      <c r="L9" s="24">
        <f t="shared" si="7"/>
        <v>0.6</v>
      </c>
      <c r="M9" s="24">
        <f t="shared" si="8"/>
        <v>1.36</v>
      </c>
      <c r="N9" s="25">
        <f t="shared" si="9"/>
        <v>0.44117647058823528</v>
      </c>
      <c r="O9" s="23">
        <v>8</v>
      </c>
      <c r="P9" s="22">
        <v>19</v>
      </c>
      <c r="Q9" s="24">
        <f t="shared" si="10"/>
        <v>0.32</v>
      </c>
      <c r="R9" s="24">
        <f t="shared" si="11"/>
        <v>0.76</v>
      </c>
      <c r="S9" s="25">
        <f t="shared" si="12"/>
        <v>0.42105263157894735</v>
      </c>
      <c r="T9" s="22">
        <v>7</v>
      </c>
      <c r="U9" s="22">
        <v>15</v>
      </c>
      <c r="V9" s="24">
        <f t="shared" si="13"/>
        <v>0.28000000000000003</v>
      </c>
      <c r="W9" s="24">
        <f t="shared" si="14"/>
        <v>0.6</v>
      </c>
      <c r="X9" s="25">
        <f t="shared" si="15"/>
        <v>0.46666666666666667</v>
      </c>
      <c r="Y9" s="22">
        <v>13</v>
      </c>
      <c r="Z9" s="22">
        <v>19</v>
      </c>
      <c r="AA9" s="24">
        <f t="shared" si="16"/>
        <v>0.52</v>
      </c>
      <c r="AB9" s="24">
        <f t="shared" si="17"/>
        <v>0.76</v>
      </c>
      <c r="AC9" s="25">
        <f t="shared" si="18"/>
        <v>0.68421052631578949</v>
      </c>
      <c r="AD9" s="22">
        <v>15</v>
      </c>
      <c r="AE9" s="24">
        <f t="shared" si="19"/>
        <v>0.6</v>
      </c>
      <c r="AF9" s="22">
        <v>3</v>
      </c>
      <c r="AG9" s="24">
        <f t="shared" si="20"/>
        <v>0.12</v>
      </c>
      <c r="AH9" s="22">
        <v>12</v>
      </c>
      <c r="AI9" s="24">
        <f t="shared" si="21"/>
        <v>0.48</v>
      </c>
      <c r="AJ9" s="22">
        <v>23</v>
      </c>
      <c r="AK9" s="24">
        <f t="shared" si="22"/>
        <v>0.92</v>
      </c>
      <c r="AL9" s="22">
        <v>4</v>
      </c>
      <c r="AM9" s="24">
        <f t="shared" si="23"/>
        <v>0.16</v>
      </c>
      <c r="AN9" s="10">
        <v>0</v>
      </c>
      <c r="AO9" s="24">
        <f t="shared" si="24"/>
        <v>0</v>
      </c>
      <c r="AP9" s="22">
        <v>9</v>
      </c>
      <c r="AQ9" s="24">
        <f t="shared" si="25"/>
        <v>0.36</v>
      </c>
      <c r="AR9" s="22">
        <v>21</v>
      </c>
      <c r="AS9" s="24">
        <f t="shared" si="26"/>
        <v>0.84</v>
      </c>
      <c r="AT9" s="26">
        <v>0.2644894859603002</v>
      </c>
      <c r="AU9" s="26">
        <v>6.1929245493143457E-2</v>
      </c>
      <c r="AV9" s="26">
        <v>0.25551477910207576</v>
      </c>
      <c r="AW9" s="26">
        <v>8.9747068582244158E-3</v>
      </c>
      <c r="AX9" s="26">
        <v>116.86101333483019</v>
      </c>
      <c r="AY9" s="26">
        <v>116.34455419812105</v>
      </c>
      <c r="AZ9" s="26">
        <v>3.1505050081574923</v>
      </c>
      <c r="BA9" s="26">
        <v>2.3199999999999998</v>
      </c>
      <c r="BB9" s="26">
        <v>13.580487804878047</v>
      </c>
      <c r="BC9" s="25">
        <v>0.59017941454202083</v>
      </c>
      <c r="BD9" s="25">
        <v>0.54411764705882348</v>
      </c>
      <c r="BE9" s="26">
        <v>6.4861042120949346</v>
      </c>
      <c r="BF9" s="25">
        <v>0.44117647058823528</v>
      </c>
      <c r="BG9" s="25">
        <v>0.55882352941176472</v>
      </c>
      <c r="BH9" s="26">
        <v>0.91131165592922136</v>
      </c>
      <c r="BI9" s="26">
        <v>3.6452466237168855</v>
      </c>
      <c r="BJ9" s="26">
        <v>2.1777003484320558</v>
      </c>
      <c r="BK9" s="26">
        <v>8.0513418903150527</v>
      </c>
      <c r="BL9" s="26">
        <v>1.2735004815946835</v>
      </c>
      <c r="BM9" s="26">
        <v>0</v>
      </c>
      <c r="BN9" s="26">
        <v>17.523364485981308</v>
      </c>
      <c r="BO9" s="27" t="s">
        <v>189</v>
      </c>
      <c r="BP9" s="28"/>
      <c r="BQ9" s="17" t="s">
        <v>255</v>
      </c>
      <c r="BR9" s="57">
        <v>115.7</v>
      </c>
      <c r="BS9" s="57">
        <v>152.19999999999999</v>
      </c>
      <c r="BT9" s="57">
        <v>36.5</v>
      </c>
      <c r="BU9" s="35">
        <f>BV9-BW9</f>
        <v>4.6279999999999992</v>
      </c>
      <c r="BV9" s="35">
        <f t="shared" ref="BV9:BW10" si="27">BS9/$D9</f>
        <v>6.0879999999999992</v>
      </c>
      <c r="BW9" s="35">
        <f t="shared" si="27"/>
        <v>1.46</v>
      </c>
      <c r="BX9" s="36">
        <f>BY9-BZ9</f>
        <v>27.090731707317076</v>
      </c>
      <c r="BY9" s="36">
        <f t="shared" ref="BY9:BZ10" si="28">BS9*2400/$G9</f>
        <v>35.637073170731711</v>
      </c>
      <c r="BZ9" s="36">
        <f t="shared" si="28"/>
        <v>8.5463414634146346</v>
      </c>
      <c r="CA9" s="46">
        <v>10</v>
      </c>
      <c r="CB9" s="46">
        <v>15</v>
      </c>
    </row>
    <row r="10" spans="1:80" x14ac:dyDescent="0.4">
      <c r="A10" s="21" t="s">
        <v>231</v>
      </c>
      <c r="B10" s="17" t="s">
        <v>247</v>
      </c>
      <c r="C10" s="17" t="s">
        <v>122</v>
      </c>
      <c r="D10" s="33">
        <v>11</v>
      </c>
      <c r="E10" s="33">
        <v>14</v>
      </c>
      <c r="F10" s="33">
        <v>10</v>
      </c>
      <c r="G10" s="23">
        <v>9350</v>
      </c>
      <c r="H10" s="23">
        <v>66</v>
      </c>
      <c r="I10" s="24">
        <f t="shared" si="6"/>
        <v>6</v>
      </c>
      <c r="J10" s="22">
        <v>28</v>
      </c>
      <c r="K10" s="22">
        <v>50</v>
      </c>
      <c r="L10" s="24">
        <f t="shared" si="7"/>
        <v>2.5454545454545454</v>
      </c>
      <c r="M10" s="24">
        <f t="shared" si="8"/>
        <v>4.5454545454545459</v>
      </c>
      <c r="N10" s="25">
        <f t="shared" si="9"/>
        <v>0.56000000000000005</v>
      </c>
      <c r="O10" s="23">
        <v>28</v>
      </c>
      <c r="P10" s="22">
        <v>47</v>
      </c>
      <c r="Q10" s="24">
        <f t="shared" si="10"/>
        <v>2.5454545454545454</v>
      </c>
      <c r="R10" s="24">
        <f t="shared" si="11"/>
        <v>4.2727272727272725</v>
      </c>
      <c r="S10" s="25">
        <f t="shared" si="12"/>
        <v>0.5957446808510638</v>
      </c>
      <c r="T10" s="22">
        <v>0</v>
      </c>
      <c r="U10" s="22">
        <v>3</v>
      </c>
      <c r="V10" s="24">
        <f t="shared" si="13"/>
        <v>0</v>
      </c>
      <c r="W10" s="24">
        <f t="shared" si="14"/>
        <v>0.27272727272727271</v>
      </c>
      <c r="X10" s="25">
        <f t="shared" si="15"/>
        <v>0</v>
      </c>
      <c r="Y10" s="22">
        <v>10</v>
      </c>
      <c r="Z10" s="22">
        <v>13</v>
      </c>
      <c r="AA10" s="24">
        <f t="shared" si="16"/>
        <v>0.90909090909090906</v>
      </c>
      <c r="AB10" s="24">
        <f t="shared" si="17"/>
        <v>1.1818181818181819</v>
      </c>
      <c r="AC10" s="25">
        <f t="shared" si="18"/>
        <v>0.76923076923076927</v>
      </c>
      <c r="AD10" s="22">
        <v>36</v>
      </c>
      <c r="AE10" s="24">
        <f t="shared" si="19"/>
        <v>3.2727272727272729</v>
      </c>
      <c r="AF10" s="22">
        <v>14</v>
      </c>
      <c r="AG10" s="24">
        <f t="shared" si="20"/>
        <v>1.2727272727272727</v>
      </c>
      <c r="AH10" s="22">
        <v>22</v>
      </c>
      <c r="AI10" s="24">
        <f t="shared" si="21"/>
        <v>2</v>
      </c>
      <c r="AJ10" s="22">
        <v>2</v>
      </c>
      <c r="AK10" s="24">
        <f t="shared" si="22"/>
        <v>0.18181818181818182</v>
      </c>
      <c r="AL10" s="22">
        <v>3</v>
      </c>
      <c r="AM10" s="24">
        <f t="shared" si="23"/>
        <v>0.27272727272727271</v>
      </c>
      <c r="AN10" s="10">
        <v>3</v>
      </c>
      <c r="AO10" s="24">
        <f t="shared" si="24"/>
        <v>0.27272727272727271</v>
      </c>
      <c r="AP10" s="22">
        <v>2</v>
      </c>
      <c r="AQ10" s="24">
        <f t="shared" si="25"/>
        <v>0.18181818181818182</v>
      </c>
      <c r="AR10" s="22">
        <v>22</v>
      </c>
      <c r="AS10" s="24">
        <f t="shared" si="26"/>
        <v>2</v>
      </c>
      <c r="AT10" s="26">
        <v>0.44835006896919505</v>
      </c>
      <c r="AU10" s="26">
        <v>0.1150845096819324</v>
      </c>
      <c r="AV10" s="26">
        <v>0.37667562835562379</v>
      </c>
      <c r="AW10" s="26">
        <v>7.1674440613571241E-2</v>
      </c>
      <c r="AX10" s="26">
        <v>125.12975969296821</v>
      </c>
      <c r="AY10" s="26">
        <v>112.53810236916667</v>
      </c>
      <c r="AZ10" s="26">
        <v>2.4545783677712518</v>
      </c>
      <c r="BA10" s="26">
        <v>7.5454545454545459</v>
      </c>
      <c r="BB10" s="26">
        <v>21.304812834224599</v>
      </c>
      <c r="BC10" s="25">
        <v>0.59224694903086861</v>
      </c>
      <c r="BD10" s="25">
        <v>0.56000000000000005</v>
      </c>
      <c r="BE10" s="26">
        <v>3.5160104773700991</v>
      </c>
      <c r="BF10" s="25">
        <v>0.06</v>
      </c>
      <c r="BG10" s="25">
        <v>0.26</v>
      </c>
      <c r="BH10" s="26">
        <v>2.0513446686406791</v>
      </c>
      <c r="BI10" s="26">
        <v>3.223541622149638</v>
      </c>
      <c r="BJ10" s="26">
        <v>2.5210084033613445</v>
      </c>
      <c r="BK10" s="26">
        <v>0.33594624860022393</v>
      </c>
      <c r="BL10" s="26">
        <v>1.0470625617389442</v>
      </c>
      <c r="BM10" s="26">
        <v>0.35605667235368299</v>
      </c>
      <c r="BN10" s="26">
        <v>3.4650034650034649</v>
      </c>
      <c r="BO10" s="27" t="s">
        <v>189</v>
      </c>
      <c r="BP10" s="28"/>
      <c r="BQ10" s="17" t="s">
        <v>255</v>
      </c>
      <c r="BR10" s="57">
        <v>129.87</v>
      </c>
      <c r="BS10" s="57">
        <v>156.97</v>
      </c>
      <c r="BT10" s="57">
        <v>27.1</v>
      </c>
      <c r="BU10" s="35">
        <f t="shared" ref="BU10:BU12" si="29">BV10-BW10</f>
        <v>11.806363636363635</v>
      </c>
      <c r="BV10" s="35">
        <f t="shared" si="27"/>
        <v>14.27</v>
      </c>
      <c r="BW10" s="35">
        <f t="shared" si="27"/>
        <v>2.4636363636363638</v>
      </c>
      <c r="BX10" s="36">
        <f>BY10-BZ10</f>
        <v>33.335614973262032</v>
      </c>
      <c r="BY10" s="36">
        <f t="shared" si="28"/>
        <v>40.29176470588235</v>
      </c>
      <c r="BZ10" s="36">
        <f t="shared" si="28"/>
        <v>6.9561497326203208</v>
      </c>
      <c r="CA10" s="46">
        <v>6</v>
      </c>
      <c r="CB10" s="46">
        <v>5</v>
      </c>
    </row>
    <row r="11" spans="1:80" x14ac:dyDescent="0.4">
      <c r="A11" s="21" t="s">
        <v>231</v>
      </c>
      <c r="B11" s="17" t="s">
        <v>247</v>
      </c>
      <c r="C11" s="17" t="s">
        <v>111</v>
      </c>
      <c r="D11" s="33">
        <v>41</v>
      </c>
      <c r="E11" s="33">
        <v>17</v>
      </c>
      <c r="F11" s="33">
        <v>52</v>
      </c>
      <c r="G11" s="23">
        <v>43952</v>
      </c>
      <c r="H11" s="23">
        <v>97</v>
      </c>
      <c r="I11" s="24">
        <f t="shared" si="6"/>
        <v>2.3658536585365852</v>
      </c>
      <c r="J11" s="22">
        <v>33</v>
      </c>
      <c r="K11" s="22">
        <v>111</v>
      </c>
      <c r="L11" s="24">
        <f t="shared" si="7"/>
        <v>0.80487804878048785</v>
      </c>
      <c r="M11" s="24">
        <f t="shared" si="8"/>
        <v>2.7073170731707319</v>
      </c>
      <c r="N11" s="25">
        <f t="shared" si="9"/>
        <v>0.29729729729729731</v>
      </c>
      <c r="O11" s="23">
        <v>14</v>
      </c>
      <c r="P11" s="22">
        <v>22</v>
      </c>
      <c r="Q11" s="24">
        <f t="shared" si="10"/>
        <v>0.34146341463414637</v>
      </c>
      <c r="R11" s="24">
        <f t="shared" si="11"/>
        <v>0.53658536585365857</v>
      </c>
      <c r="S11" s="25">
        <f t="shared" si="12"/>
        <v>0.63636363636363635</v>
      </c>
      <c r="T11" s="22">
        <v>19</v>
      </c>
      <c r="U11" s="22">
        <v>89</v>
      </c>
      <c r="V11" s="24">
        <f t="shared" si="13"/>
        <v>0.46341463414634149</v>
      </c>
      <c r="W11" s="24">
        <f t="shared" si="14"/>
        <v>2.1707317073170733</v>
      </c>
      <c r="X11" s="25">
        <f t="shared" si="15"/>
        <v>0.21348314606741572</v>
      </c>
      <c r="Y11" s="22">
        <v>12</v>
      </c>
      <c r="Z11" s="22">
        <v>16</v>
      </c>
      <c r="AA11" s="24">
        <f t="shared" si="16"/>
        <v>0.29268292682926828</v>
      </c>
      <c r="AB11" s="24">
        <f t="shared" si="17"/>
        <v>0.3902439024390244</v>
      </c>
      <c r="AC11" s="25">
        <f t="shared" si="18"/>
        <v>0.75</v>
      </c>
      <c r="AD11" s="22">
        <v>165</v>
      </c>
      <c r="AE11" s="24">
        <f t="shared" si="19"/>
        <v>4.024390243902439</v>
      </c>
      <c r="AF11" s="22">
        <v>64</v>
      </c>
      <c r="AG11" s="24">
        <f t="shared" si="20"/>
        <v>1.5609756097560976</v>
      </c>
      <c r="AH11" s="22">
        <v>101</v>
      </c>
      <c r="AI11" s="24">
        <f t="shared" si="21"/>
        <v>2.4634146341463414</v>
      </c>
      <c r="AJ11" s="22">
        <v>47</v>
      </c>
      <c r="AK11" s="24">
        <f t="shared" si="22"/>
        <v>1.1463414634146341</v>
      </c>
      <c r="AL11" s="22">
        <v>41</v>
      </c>
      <c r="AM11" s="24">
        <f t="shared" si="23"/>
        <v>1</v>
      </c>
      <c r="AN11" s="10">
        <v>6</v>
      </c>
      <c r="AO11" s="24">
        <f t="shared" si="24"/>
        <v>0.14634146341463414</v>
      </c>
      <c r="AP11" s="22">
        <v>12</v>
      </c>
      <c r="AQ11" s="24">
        <f t="shared" si="25"/>
        <v>0.29268292682926828</v>
      </c>
      <c r="AR11" s="22">
        <v>97</v>
      </c>
      <c r="AS11" s="24">
        <f t="shared" si="26"/>
        <v>2.3658536585365852</v>
      </c>
      <c r="AT11" s="26">
        <v>1.1293912935971377</v>
      </c>
      <c r="AU11" s="26">
        <v>6.1670438310728312E-2</v>
      </c>
      <c r="AV11" s="26">
        <v>0.49546531469860389</v>
      </c>
      <c r="AW11" s="26">
        <v>0.63392597889853386</v>
      </c>
      <c r="AX11" s="26">
        <v>111.76404626829812</v>
      </c>
      <c r="AY11" s="26">
        <v>108.74998563779889</v>
      </c>
      <c r="AZ11" s="26">
        <v>4.7904965478665682</v>
      </c>
      <c r="BA11" s="26">
        <v>6.3902439024390247</v>
      </c>
      <c r="BB11" s="26">
        <v>14.306516199490353</v>
      </c>
      <c r="BC11" s="25">
        <v>0.41087766858691965</v>
      </c>
      <c r="BD11" s="25">
        <v>0.38288288288288286</v>
      </c>
      <c r="BE11" s="26">
        <v>6.2809442604031984</v>
      </c>
      <c r="BF11" s="25">
        <v>0.80180180180180183</v>
      </c>
      <c r="BG11" s="25">
        <v>0.14414414414414414</v>
      </c>
      <c r="BH11" s="26">
        <v>7.4355776901687722</v>
      </c>
      <c r="BI11" s="26">
        <v>11.734271042297593</v>
      </c>
      <c r="BJ11" s="26">
        <v>9.1617803837953087</v>
      </c>
      <c r="BK11" s="26">
        <v>6.2405948481897848</v>
      </c>
      <c r="BL11" s="26">
        <v>3.0441650970955001</v>
      </c>
      <c r="BM11" s="26">
        <v>0.56464211100863904</v>
      </c>
      <c r="BN11" s="26">
        <v>9.2279298677330033</v>
      </c>
      <c r="BO11" s="27" t="s">
        <v>189</v>
      </c>
      <c r="BP11" s="28"/>
      <c r="BQ11" s="17" t="s">
        <v>254</v>
      </c>
      <c r="BR11" s="58">
        <v>521.99</v>
      </c>
      <c r="BS11" s="58">
        <v>614.19000000000005</v>
      </c>
      <c r="BT11" s="58">
        <v>92.2</v>
      </c>
      <c r="BU11" s="35">
        <f t="shared" si="29"/>
        <v>12.731463414634149</v>
      </c>
      <c r="BV11" s="35">
        <f t="shared" ref="BV11:BV72" si="30">BS11/$D11</f>
        <v>14.980243902439026</v>
      </c>
      <c r="BW11" s="35">
        <f t="shared" ref="BW11:BW72" si="31">BT11/$D11</f>
        <v>2.2487804878048783</v>
      </c>
      <c r="BX11" s="36">
        <f t="shared" ref="BX11:BX72" si="32">BY11-BZ11</f>
        <v>28.503276301419731</v>
      </c>
      <c r="BY11" s="36">
        <f t="shared" ref="BY11:BY72" si="33">BS11*2400/$G11</f>
        <v>33.537859483072445</v>
      </c>
      <c r="BZ11" s="36">
        <f t="shared" ref="BZ11:BZ72" si="34">BT11*2400/$G11</f>
        <v>5.034583181652712</v>
      </c>
      <c r="CA11" s="46">
        <v>21</v>
      </c>
      <c r="CB11" s="46">
        <v>20</v>
      </c>
    </row>
    <row r="12" spans="1:80" x14ac:dyDescent="0.4">
      <c r="A12" s="21" t="s">
        <v>231</v>
      </c>
      <c r="B12" s="49" t="s">
        <v>278</v>
      </c>
      <c r="C12" s="49" t="s">
        <v>270</v>
      </c>
      <c r="D12" s="22">
        <v>21</v>
      </c>
      <c r="E12" s="22">
        <v>16</v>
      </c>
      <c r="F12" s="22">
        <v>8</v>
      </c>
      <c r="G12" s="23">
        <v>20328</v>
      </c>
      <c r="H12" s="23">
        <v>222</v>
      </c>
      <c r="I12" s="24">
        <f t="shared" si="6"/>
        <v>10.571428571428571</v>
      </c>
      <c r="J12" s="22">
        <v>94</v>
      </c>
      <c r="K12" s="22">
        <v>196</v>
      </c>
      <c r="L12" s="24">
        <f t="shared" si="7"/>
        <v>4.4761904761904763</v>
      </c>
      <c r="M12" s="24">
        <f t="shared" si="8"/>
        <v>9.3333333333333339</v>
      </c>
      <c r="N12" s="25">
        <f t="shared" si="9"/>
        <v>0.47959183673469385</v>
      </c>
      <c r="O12" s="23">
        <v>87</v>
      </c>
      <c r="P12" s="22">
        <v>172</v>
      </c>
      <c r="Q12" s="24">
        <f t="shared" si="10"/>
        <v>4.1428571428571432</v>
      </c>
      <c r="R12" s="24">
        <f t="shared" si="11"/>
        <v>8.1904761904761898</v>
      </c>
      <c r="S12" s="25">
        <f t="shared" si="12"/>
        <v>0.5058139534883721</v>
      </c>
      <c r="T12" s="22">
        <v>7</v>
      </c>
      <c r="U12" s="22">
        <v>24</v>
      </c>
      <c r="V12" s="24">
        <f t="shared" si="13"/>
        <v>0.33333333333333331</v>
      </c>
      <c r="W12" s="24">
        <f t="shared" si="14"/>
        <v>1.1428571428571428</v>
      </c>
      <c r="X12" s="25">
        <f t="shared" si="15"/>
        <v>0.29166666666666669</v>
      </c>
      <c r="Y12" s="22">
        <v>27</v>
      </c>
      <c r="Z12" s="22">
        <v>41</v>
      </c>
      <c r="AA12" s="24">
        <f t="shared" si="16"/>
        <v>1.2857142857142858</v>
      </c>
      <c r="AB12" s="24">
        <f t="shared" si="17"/>
        <v>1.9523809523809523</v>
      </c>
      <c r="AC12" s="25">
        <f t="shared" si="18"/>
        <v>0.65853658536585369</v>
      </c>
      <c r="AD12" s="22">
        <v>112</v>
      </c>
      <c r="AE12" s="24">
        <f t="shared" si="19"/>
        <v>5.333333333333333</v>
      </c>
      <c r="AF12" s="22">
        <v>15</v>
      </c>
      <c r="AG12" s="24">
        <f t="shared" si="20"/>
        <v>0.7142857142857143</v>
      </c>
      <c r="AH12" s="22">
        <v>97</v>
      </c>
      <c r="AI12" s="24">
        <f t="shared" si="21"/>
        <v>4.6190476190476186</v>
      </c>
      <c r="AJ12" s="22">
        <v>18</v>
      </c>
      <c r="AK12" s="24">
        <f t="shared" si="22"/>
        <v>0.8571428571428571</v>
      </c>
      <c r="AL12" s="22">
        <v>7</v>
      </c>
      <c r="AM12" s="24">
        <f t="shared" si="23"/>
        <v>0.33333333333333331</v>
      </c>
      <c r="AN12" s="10">
        <v>11</v>
      </c>
      <c r="AO12" s="24">
        <f t="shared" si="24"/>
        <v>0.52380952380952384</v>
      </c>
      <c r="AP12" s="22">
        <v>15</v>
      </c>
      <c r="AQ12" s="24">
        <f t="shared" si="25"/>
        <v>0.7142857142857143</v>
      </c>
      <c r="AR12" s="22">
        <v>30</v>
      </c>
      <c r="AS12" s="24">
        <f t="shared" si="26"/>
        <v>1.4285714285714286</v>
      </c>
      <c r="AT12" s="26">
        <v>0.61579387420960385</v>
      </c>
      <c r="AU12" s="26">
        <v>7.2702936742574234E-2</v>
      </c>
      <c r="AV12" s="26">
        <v>0.19052063415138795</v>
      </c>
      <c r="AW12" s="26">
        <v>0.42527324005821587</v>
      </c>
      <c r="AX12" s="26">
        <v>102.91790136099735</v>
      </c>
      <c r="AY12" s="26">
        <v>105.10762430207954</v>
      </c>
      <c r="AZ12" s="26">
        <v>6.5531890389474006</v>
      </c>
      <c r="BA12" s="26">
        <v>11.380952380952381</v>
      </c>
      <c r="BB12" s="26">
        <v>28.217237308146398</v>
      </c>
      <c r="BC12" s="25">
        <v>0.51859465520463466</v>
      </c>
      <c r="BD12" s="25">
        <v>0.49744897959183676</v>
      </c>
      <c r="BE12" s="26">
        <v>12.251203154017979</v>
      </c>
      <c r="BF12" s="25">
        <v>0.12244897959183673</v>
      </c>
      <c r="BG12" s="25">
        <v>0.20918367346938777</v>
      </c>
      <c r="BH12" s="26">
        <v>1.9299472052220084</v>
      </c>
      <c r="BI12" s="26">
        <v>12.480325260435654</v>
      </c>
      <c r="BJ12" s="26">
        <v>6.887052341597796</v>
      </c>
      <c r="BK12" s="26">
        <v>2.9227105434076641</v>
      </c>
      <c r="BL12" s="26">
        <v>1.1237413857046752</v>
      </c>
      <c r="BM12" s="26">
        <v>1.14639458901754</v>
      </c>
      <c r="BN12" s="26">
        <v>6.549074397485156</v>
      </c>
      <c r="BO12" s="27" t="s">
        <v>232</v>
      </c>
      <c r="BP12" s="28"/>
      <c r="BQ12" s="17" t="s">
        <v>255</v>
      </c>
      <c r="BR12" s="57">
        <v>337.23</v>
      </c>
      <c r="BS12" s="57">
        <v>471.23</v>
      </c>
      <c r="BT12" s="57">
        <v>134</v>
      </c>
      <c r="BU12" s="35">
        <f t="shared" si="29"/>
        <v>16.058571428571426</v>
      </c>
      <c r="BV12" s="35">
        <f t="shared" si="30"/>
        <v>22.439523809523809</v>
      </c>
      <c r="BW12" s="35">
        <f t="shared" si="31"/>
        <v>6.3809523809523814</v>
      </c>
      <c r="BX12" s="36">
        <f t="shared" si="32"/>
        <v>39.814639905548994</v>
      </c>
      <c r="BY12" s="36">
        <f t="shared" si="33"/>
        <v>55.63518299881936</v>
      </c>
      <c r="BZ12" s="36">
        <f t="shared" si="34"/>
        <v>15.820543093270366</v>
      </c>
      <c r="CA12" s="47">
        <v>12</v>
      </c>
      <c r="CB12" s="47">
        <v>9</v>
      </c>
    </row>
    <row r="13" spans="1:80" x14ac:dyDescent="0.4">
      <c r="A13" s="21" t="s">
        <v>231</v>
      </c>
      <c r="B13" s="49" t="s">
        <v>278</v>
      </c>
      <c r="C13" s="49" t="s">
        <v>271</v>
      </c>
      <c r="D13" s="22">
        <v>12</v>
      </c>
      <c r="E13" s="22">
        <v>10</v>
      </c>
      <c r="F13" s="22">
        <v>25</v>
      </c>
      <c r="G13" s="23">
        <v>7500</v>
      </c>
      <c r="H13" s="23">
        <v>31</v>
      </c>
      <c r="I13" s="24">
        <f t="shared" si="6"/>
        <v>2.5833333333333335</v>
      </c>
      <c r="J13" s="22">
        <v>13</v>
      </c>
      <c r="K13" s="22">
        <v>29</v>
      </c>
      <c r="L13" s="24">
        <f t="shared" si="7"/>
        <v>1.0833333333333333</v>
      </c>
      <c r="M13" s="24">
        <f t="shared" si="8"/>
        <v>2.4166666666666665</v>
      </c>
      <c r="N13" s="25">
        <f t="shared" si="9"/>
        <v>0.44827586206896552</v>
      </c>
      <c r="O13" s="23">
        <v>13</v>
      </c>
      <c r="P13" s="22">
        <v>29</v>
      </c>
      <c r="Q13" s="24">
        <f t="shared" si="10"/>
        <v>1.0833333333333333</v>
      </c>
      <c r="R13" s="24">
        <f t="shared" si="11"/>
        <v>2.4166666666666665</v>
      </c>
      <c r="S13" s="25">
        <f t="shared" si="12"/>
        <v>0.44827586206896552</v>
      </c>
      <c r="T13" s="22">
        <v>0</v>
      </c>
      <c r="U13" s="22">
        <v>0</v>
      </c>
      <c r="V13" s="24">
        <f t="shared" si="13"/>
        <v>0</v>
      </c>
      <c r="W13" s="24">
        <f t="shared" si="14"/>
        <v>0</v>
      </c>
      <c r="X13" s="25" t="e">
        <f t="shared" si="15"/>
        <v>#DIV/0!</v>
      </c>
      <c r="Y13" s="22">
        <v>5</v>
      </c>
      <c r="Z13" s="22">
        <v>8</v>
      </c>
      <c r="AA13" s="24">
        <f t="shared" si="16"/>
        <v>0.41666666666666669</v>
      </c>
      <c r="AB13" s="24">
        <f t="shared" si="17"/>
        <v>0.66666666666666663</v>
      </c>
      <c r="AC13" s="25">
        <f t="shared" si="18"/>
        <v>0.625</v>
      </c>
      <c r="AD13" s="22">
        <v>36</v>
      </c>
      <c r="AE13" s="24">
        <f t="shared" si="19"/>
        <v>3</v>
      </c>
      <c r="AF13" s="22">
        <v>11</v>
      </c>
      <c r="AG13" s="24">
        <f t="shared" si="20"/>
        <v>0.91666666666666663</v>
      </c>
      <c r="AH13" s="22">
        <v>25</v>
      </c>
      <c r="AI13" s="24">
        <f t="shared" si="21"/>
        <v>2.0833333333333335</v>
      </c>
      <c r="AJ13" s="22">
        <v>6</v>
      </c>
      <c r="AK13" s="24">
        <f t="shared" si="22"/>
        <v>0.5</v>
      </c>
      <c r="AL13" s="22">
        <v>3</v>
      </c>
      <c r="AM13" s="24">
        <f t="shared" si="23"/>
        <v>0.25</v>
      </c>
      <c r="AN13" s="10">
        <v>0</v>
      </c>
      <c r="AO13" s="24">
        <f t="shared" si="24"/>
        <v>0</v>
      </c>
      <c r="AP13" s="22">
        <v>20</v>
      </c>
      <c r="AQ13" s="24">
        <f t="shared" si="25"/>
        <v>1.6666666666666667</v>
      </c>
      <c r="AR13" s="22">
        <v>16</v>
      </c>
      <c r="AS13" s="24">
        <f t="shared" si="26"/>
        <v>1.3333333333333333</v>
      </c>
      <c r="AT13" s="26">
        <v>-0.32803594911553047</v>
      </c>
      <c r="AU13" s="26">
        <v>-0.10497150371696976</v>
      </c>
      <c r="AV13" s="26">
        <v>-0.41709990928615598</v>
      </c>
      <c r="AW13" s="26">
        <v>8.9063960170625497E-2</v>
      </c>
      <c r="AX13" s="26">
        <v>71.962767204301031</v>
      </c>
      <c r="AY13" s="26">
        <v>110.17832883660354</v>
      </c>
      <c r="AZ13" s="26">
        <v>0.31261846161567813</v>
      </c>
      <c r="BA13" s="26">
        <v>3.0833333333333335</v>
      </c>
      <c r="BB13" s="26">
        <v>11.84</v>
      </c>
      <c r="BC13" s="25">
        <v>0.4766297662976629</v>
      </c>
      <c r="BD13" s="25">
        <v>0.44827586206896552</v>
      </c>
      <c r="BE13" s="26">
        <v>4.3509837763203318</v>
      </c>
      <c r="BF13" s="25">
        <v>0</v>
      </c>
      <c r="BG13" s="25">
        <v>0.27586206896551724</v>
      </c>
      <c r="BH13" s="26">
        <v>2.1920083030617539</v>
      </c>
      <c r="BI13" s="26">
        <v>4.9818370524130771</v>
      </c>
      <c r="BJ13" s="26">
        <v>3.4285714285714284</v>
      </c>
      <c r="BK13" s="26">
        <v>1.3473053892215567</v>
      </c>
      <c r="BL13" s="26">
        <v>1.3053379936345506</v>
      </c>
      <c r="BM13" s="26">
        <v>0</v>
      </c>
      <c r="BN13" s="26">
        <v>38.080731150038076</v>
      </c>
      <c r="BO13" s="27" t="s">
        <v>232</v>
      </c>
      <c r="BP13" s="28"/>
      <c r="BQ13" s="17" t="s">
        <v>254</v>
      </c>
      <c r="BR13" s="57">
        <v>68.86</v>
      </c>
      <c r="BS13" s="57">
        <v>117.26</v>
      </c>
      <c r="BT13" s="57">
        <v>48.4</v>
      </c>
      <c r="BU13" s="35">
        <f t="shared" ref="BU13:BU72" si="35">BV13-BW13</f>
        <v>5.7383333333333333</v>
      </c>
      <c r="BV13" s="35">
        <f t="shared" si="30"/>
        <v>9.7716666666666665</v>
      </c>
      <c r="BW13" s="35">
        <f t="shared" si="31"/>
        <v>4.0333333333333332</v>
      </c>
      <c r="BX13" s="36">
        <f t="shared" si="32"/>
        <v>22.035200000000003</v>
      </c>
      <c r="BY13" s="36">
        <f t="shared" si="33"/>
        <v>37.523200000000003</v>
      </c>
      <c r="BZ13" s="36">
        <f t="shared" si="34"/>
        <v>15.488</v>
      </c>
      <c r="CA13" s="47">
        <v>5</v>
      </c>
      <c r="CB13" s="47">
        <v>7</v>
      </c>
    </row>
    <row r="14" spans="1:80" x14ac:dyDescent="0.4">
      <c r="A14" s="21" t="s">
        <v>231</v>
      </c>
      <c r="B14" s="17" t="s">
        <v>247</v>
      </c>
      <c r="C14" s="17" t="s">
        <v>97</v>
      </c>
      <c r="D14" s="22">
        <v>51</v>
      </c>
      <c r="E14" s="22">
        <v>27</v>
      </c>
      <c r="F14" s="22">
        <v>25</v>
      </c>
      <c r="G14" s="23">
        <v>83895</v>
      </c>
      <c r="H14" s="23">
        <v>955</v>
      </c>
      <c r="I14" s="24">
        <f t="shared" si="6"/>
        <v>18.725490196078432</v>
      </c>
      <c r="J14" s="22">
        <v>376</v>
      </c>
      <c r="K14" s="22">
        <v>713</v>
      </c>
      <c r="L14" s="24">
        <f t="shared" si="7"/>
        <v>7.3725490196078427</v>
      </c>
      <c r="M14" s="24">
        <f t="shared" si="8"/>
        <v>13.980392156862745</v>
      </c>
      <c r="N14" s="25">
        <f t="shared" si="9"/>
        <v>0.52734922861150069</v>
      </c>
      <c r="O14" s="23">
        <v>314</v>
      </c>
      <c r="P14" s="22">
        <v>511</v>
      </c>
      <c r="Q14" s="24">
        <f t="shared" si="10"/>
        <v>6.1568627450980395</v>
      </c>
      <c r="R14" s="24">
        <f t="shared" si="11"/>
        <v>10.019607843137255</v>
      </c>
      <c r="S14" s="25">
        <f t="shared" si="12"/>
        <v>0.61448140900195691</v>
      </c>
      <c r="T14" s="22">
        <v>62</v>
      </c>
      <c r="U14" s="22">
        <v>202</v>
      </c>
      <c r="V14" s="24">
        <f t="shared" si="13"/>
        <v>1.2156862745098038</v>
      </c>
      <c r="W14" s="24">
        <f t="shared" si="14"/>
        <v>3.9607843137254903</v>
      </c>
      <c r="X14" s="25">
        <f t="shared" si="15"/>
        <v>0.30693069306930693</v>
      </c>
      <c r="Y14" s="22">
        <v>141</v>
      </c>
      <c r="Z14" s="22">
        <v>177</v>
      </c>
      <c r="AA14" s="24">
        <f t="shared" si="16"/>
        <v>2.7647058823529411</v>
      </c>
      <c r="AB14" s="24">
        <f t="shared" si="17"/>
        <v>3.4705882352941178</v>
      </c>
      <c r="AC14" s="25">
        <f t="shared" si="18"/>
        <v>0.79661016949152541</v>
      </c>
      <c r="AD14" s="22">
        <v>486</v>
      </c>
      <c r="AE14" s="24">
        <f t="shared" si="19"/>
        <v>9.5294117647058822</v>
      </c>
      <c r="AF14" s="22">
        <v>136</v>
      </c>
      <c r="AG14" s="24">
        <f t="shared" si="20"/>
        <v>2.6666666666666665</v>
      </c>
      <c r="AH14" s="22">
        <v>350</v>
      </c>
      <c r="AI14" s="24">
        <f t="shared" si="21"/>
        <v>6.8627450980392153</v>
      </c>
      <c r="AJ14" s="22">
        <v>169</v>
      </c>
      <c r="AK14" s="24">
        <f t="shared" si="22"/>
        <v>3.3137254901960786</v>
      </c>
      <c r="AL14" s="22">
        <v>63</v>
      </c>
      <c r="AM14" s="24">
        <f t="shared" si="23"/>
        <v>1.2352941176470589</v>
      </c>
      <c r="AN14" s="10">
        <v>55</v>
      </c>
      <c r="AO14" s="24">
        <f t="shared" si="24"/>
        <v>1.0784313725490196</v>
      </c>
      <c r="AP14" s="22">
        <v>92</v>
      </c>
      <c r="AQ14" s="24">
        <f t="shared" si="25"/>
        <v>1.803921568627451</v>
      </c>
      <c r="AR14" s="22">
        <v>85</v>
      </c>
      <c r="AS14" s="24">
        <f t="shared" si="26"/>
        <v>1.6666666666666667</v>
      </c>
      <c r="AT14" s="26">
        <v>7.1265437374592917</v>
      </c>
      <c r="AU14" s="26">
        <v>0.20387037332263303</v>
      </c>
      <c r="AV14" s="26">
        <v>5.1397880913450553</v>
      </c>
      <c r="AW14" s="26">
        <v>1.9867556461142364</v>
      </c>
      <c r="AX14" s="26">
        <v>121.27221997807251</v>
      </c>
      <c r="AY14" s="26">
        <v>103.55990901803816</v>
      </c>
      <c r="AZ14" s="26">
        <v>22.824167914652843</v>
      </c>
      <c r="BA14" s="26">
        <v>24.764705882352942</v>
      </c>
      <c r="BB14" s="26">
        <v>36.130877883068123</v>
      </c>
      <c r="BC14" s="25">
        <v>0.60375783936880434</v>
      </c>
      <c r="BD14" s="25">
        <v>0.57082748948106588</v>
      </c>
      <c r="BE14" s="26">
        <v>27.789359708659937</v>
      </c>
      <c r="BF14" s="25">
        <v>0.28330995792426367</v>
      </c>
      <c r="BG14" s="25">
        <v>0.24824684431977559</v>
      </c>
      <c r="BH14" s="26">
        <v>10.296806065777789</v>
      </c>
      <c r="BI14" s="26">
        <v>26.499133257516366</v>
      </c>
      <c r="BJ14" s="26">
        <v>17.585757707338253</v>
      </c>
      <c r="BK14" s="26">
        <v>20.353271778402249</v>
      </c>
      <c r="BL14" s="26">
        <v>2.4505719530060399</v>
      </c>
      <c r="BM14" s="26">
        <v>3.3729786084163478</v>
      </c>
      <c r="BN14" s="26">
        <v>10.420442189198985</v>
      </c>
      <c r="BO14" s="27" t="s">
        <v>232</v>
      </c>
      <c r="BP14" s="28"/>
      <c r="BQ14" s="17" t="s">
        <v>255</v>
      </c>
      <c r="BR14" s="57">
        <v>1740.33</v>
      </c>
      <c r="BS14" s="57">
        <v>2230.13</v>
      </c>
      <c r="BT14" s="57">
        <v>489.8</v>
      </c>
      <c r="BU14" s="35">
        <f t="shared" si="35"/>
        <v>34.124117647058824</v>
      </c>
      <c r="BV14" s="35">
        <f t="shared" si="30"/>
        <v>43.728039215686273</v>
      </c>
      <c r="BW14" s="35">
        <f t="shared" si="31"/>
        <v>9.6039215686274506</v>
      </c>
      <c r="BX14" s="36">
        <f t="shared" si="32"/>
        <v>49.78594671911317</v>
      </c>
      <c r="BY14" s="36">
        <f t="shared" si="33"/>
        <v>63.797747183979972</v>
      </c>
      <c r="BZ14" s="36">
        <f t="shared" si="34"/>
        <v>14.011800464866798</v>
      </c>
      <c r="CA14" s="47">
        <v>28</v>
      </c>
      <c r="CB14" s="47">
        <v>23</v>
      </c>
    </row>
    <row r="15" spans="1:80" x14ac:dyDescent="0.4">
      <c r="A15" s="21" t="s">
        <v>231</v>
      </c>
      <c r="B15" s="17" t="s">
        <v>247</v>
      </c>
      <c r="C15" s="17" t="s">
        <v>213</v>
      </c>
      <c r="D15" s="22">
        <v>18</v>
      </c>
      <c r="E15" s="22">
        <v>7</v>
      </c>
      <c r="F15" s="22">
        <v>20</v>
      </c>
      <c r="G15" s="23">
        <v>7920</v>
      </c>
      <c r="H15" s="23">
        <v>40</v>
      </c>
      <c r="I15" s="24">
        <f t="shared" si="6"/>
        <v>2.2222222222222223</v>
      </c>
      <c r="J15" s="22">
        <v>16</v>
      </c>
      <c r="K15" s="22">
        <v>33</v>
      </c>
      <c r="L15" s="24">
        <f t="shared" si="7"/>
        <v>0.88888888888888884</v>
      </c>
      <c r="M15" s="24">
        <f t="shared" si="8"/>
        <v>1.8333333333333333</v>
      </c>
      <c r="N15" s="25">
        <f t="shared" si="9"/>
        <v>0.48484848484848486</v>
      </c>
      <c r="O15" s="23">
        <v>13</v>
      </c>
      <c r="P15" s="22">
        <v>25</v>
      </c>
      <c r="Q15" s="24">
        <f t="shared" si="10"/>
        <v>0.72222222222222221</v>
      </c>
      <c r="R15" s="24">
        <f t="shared" si="11"/>
        <v>1.3888888888888888</v>
      </c>
      <c r="S15" s="25">
        <f t="shared" si="12"/>
        <v>0.52</v>
      </c>
      <c r="T15" s="22">
        <v>3</v>
      </c>
      <c r="U15" s="22">
        <v>8</v>
      </c>
      <c r="V15" s="24">
        <f t="shared" si="13"/>
        <v>0.16666666666666666</v>
      </c>
      <c r="W15" s="24">
        <f t="shared" si="14"/>
        <v>0.44444444444444442</v>
      </c>
      <c r="X15" s="25">
        <f t="shared" si="15"/>
        <v>0.375</v>
      </c>
      <c r="Y15" s="22">
        <v>5</v>
      </c>
      <c r="Z15" s="22">
        <v>7</v>
      </c>
      <c r="AA15" s="24">
        <f t="shared" si="16"/>
        <v>0.27777777777777779</v>
      </c>
      <c r="AB15" s="24">
        <f t="shared" si="17"/>
        <v>0.3888888888888889</v>
      </c>
      <c r="AC15" s="25">
        <f t="shared" si="18"/>
        <v>0.7142857142857143</v>
      </c>
      <c r="AD15" s="22">
        <v>19</v>
      </c>
      <c r="AE15" s="24">
        <f t="shared" si="19"/>
        <v>1.0555555555555556</v>
      </c>
      <c r="AF15" s="22">
        <v>9</v>
      </c>
      <c r="AG15" s="24">
        <f t="shared" si="20"/>
        <v>0.5</v>
      </c>
      <c r="AH15" s="22">
        <v>10</v>
      </c>
      <c r="AI15" s="24">
        <f t="shared" si="21"/>
        <v>0.55555555555555558</v>
      </c>
      <c r="AJ15" s="22">
        <v>6</v>
      </c>
      <c r="AK15" s="24">
        <f t="shared" si="22"/>
        <v>0.33333333333333331</v>
      </c>
      <c r="AL15" s="22">
        <v>7</v>
      </c>
      <c r="AM15" s="24">
        <f t="shared" si="23"/>
        <v>0.3888888888888889</v>
      </c>
      <c r="AN15" s="10">
        <v>0</v>
      </c>
      <c r="AO15" s="24">
        <f t="shared" si="24"/>
        <v>0</v>
      </c>
      <c r="AP15" s="22">
        <v>3</v>
      </c>
      <c r="AQ15" s="24">
        <f t="shared" si="25"/>
        <v>0.16666666666666666</v>
      </c>
      <c r="AR15" s="22">
        <v>17</v>
      </c>
      <c r="AS15" s="24">
        <f t="shared" si="26"/>
        <v>0.94444444444444442</v>
      </c>
      <c r="AT15" s="26">
        <v>0.25446571833293141</v>
      </c>
      <c r="AU15" s="26">
        <v>7.7110823737251949E-2</v>
      </c>
      <c r="AV15" s="26">
        <v>0.19222230371235291</v>
      </c>
      <c r="AW15" s="26">
        <v>6.2243414620578495E-2</v>
      </c>
      <c r="AX15" s="26">
        <v>117.76687416911528</v>
      </c>
      <c r="AY15" s="26">
        <v>112.42974036726818</v>
      </c>
      <c r="AZ15" s="26">
        <v>2.9026550827926361</v>
      </c>
      <c r="BA15" s="26">
        <v>2.7777777777777777</v>
      </c>
      <c r="BB15" s="26">
        <v>15.151515151515152</v>
      </c>
      <c r="BC15" s="25">
        <v>0.55432372505543237</v>
      </c>
      <c r="BD15" s="25">
        <v>0.53030303030303028</v>
      </c>
      <c r="BE15" s="26">
        <v>4.5988012677691659</v>
      </c>
      <c r="BF15" s="25">
        <v>0.24242424242424243</v>
      </c>
      <c r="BG15" s="25">
        <v>0.21212121212121213</v>
      </c>
      <c r="BH15" s="26">
        <v>2.5475303108930509</v>
      </c>
      <c r="BI15" s="26">
        <v>2.830589234325612</v>
      </c>
      <c r="BJ15" s="26">
        <v>2.5703463203463204</v>
      </c>
      <c r="BK15" s="26">
        <v>1.956521739130435</v>
      </c>
      <c r="BL15" s="26">
        <v>2.8842695566419998</v>
      </c>
      <c r="BM15" s="26">
        <v>0</v>
      </c>
      <c r="BN15" s="26">
        <v>7.6765609007164795</v>
      </c>
      <c r="BO15" s="27" t="s">
        <v>233</v>
      </c>
      <c r="BP15" s="28"/>
      <c r="BQ15" s="17" t="s">
        <v>254</v>
      </c>
      <c r="BR15" s="57">
        <v>89.93</v>
      </c>
      <c r="BS15" s="57">
        <v>112.53</v>
      </c>
      <c r="BT15" s="57">
        <v>22.6</v>
      </c>
      <c r="BU15" s="35">
        <f t="shared" si="35"/>
        <v>4.9961111111111114</v>
      </c>
      <c r="BV15" s="35">
        <f t="shared" si="30"/>
        <v>6.2516666666666669</v>
      </c>
      <c r="BW15" s="35">
        <f t="shared" si="31"/>
        <v>1.2555555555555555</v>
      </c>
      <c r="BX15" s="36">
        <f t="shared" si="32"/>
        <v>27.251515151515154</v>
      </c>
      <c r="BY15" s="36">
        <f t="shared" si="33"/>
        <v>34.1</v>
      </c>
      <c r="BZ15" s="36">
        <f t="shared" si="34"/>
        <v>6.8484848484848486</v>
      </c>
      <c r="CA15" s="46">
        <v>10</v>
      </c>
      <c r="CB15" s="46">
        <v>8</v>
      </c>
    </row>
    <row r="16" spans="1:80" x14ac:dyDescent="0.4">
      <c r="A16" s="21" t="s">
        <v>231</v>
      </c>
      <c r="B16" s="17" t="s">
        <v>247</v>
      </c>
      <c r="C16" s="17" t="s">
        <v>214</v>
      </c>
      <c r="D16" s="22">
        <v>29</v>
      </c>
      <c r="E16" s="22">
        <v>10</v>
      </c>
      <c r="F16" s="22">
        <v>40</v>
      </c>
      <c r="G16" s="23">
        <v>18560</v>
      </c>
      <c r="H16" s="23">
        <v>51</v>
      </c>
      <c r="I16" s="24">
        <f t="shared" si="6"/>
        <v>1.7586206896551724</v>
      </c>
      <c r="J16" s="22">
        <v>22</v>
      </c>
      <c r="K16" s="22">
        <v>35</v>
      </c>
      <c r="L16" s="24">
        <f t="shared" si="7"/>
        <v>0.75862068965517238</v>
      </c>
      <c r="M16" s="24">
        <f t="shared" si="8"/>
        <v>1.2068965517241379</v>
      </c>
      <c r="N16" s="25">
        <f t="shared" si="9"/>
        <v>0.62857142857142856</v>
      </c>
      <c r="O16" s="23">
        <v>22</v>
      </c>
      <c r="P16" s="22">
        <v>34</v>
      </c>
      <c r="Q16" s="24">
        <f t="shared" si="10"/>
        <v>0.75862068965517238</v>
      </c>
      <c r="R16" s="24">
        <f t="shared" si="11"/>
        <v>1.1724137931034482</v>
      </c>
      <c r="S16" s="25">
        <f t="shared" si="12"/>
        <v>0.6470588235294118</v>
      </c>
      <c r="T16" s="22">
        <v>0</v>
      </c>
      <c r="U16" s="22">
        <v>1</v>
      </c>
      <c r="V16" s="24">
        <f t="shared" si="13"/>
        <v>0</v>
      </c>
      <c r="W16" s="24">
        <f t="shared" si="14"/>
        <v>3.4482758620689655E-2</v>
      </c>
      <c r="X16" s="25">
        <f t="shared" si="15"/>
        <v>0</v>
      </c>
      <c r="Y16" s="22">
        <v>7</v>
      </c>
      <c r="Z16" s="22">
        <v>12</v>
      </c>
      <c r="AA16" s="24">
        <f t="shared" si="16"/>
        <v>0.2413793103448276</v>
      </c>
      <c r="AB16" s="24">
        <f t="shared" si="17"/>
        <v>0.41379310344827586</v>
      </c>
      <c r="AC16" s="25">
        <f t="shared" si="18"/>
        <v>0.58333333333333337</v>
      </c>
      <c r="AD16" s="22">
        <v>59</v>
      </c>
      <c r="AE16" s="24">
        <f t="shared" si="19"/>
        <v>2.0344827586206895</v>
      </c>
      <c r="AF16" s="22">
        <v>22</v>
      </c>
      <c r="AG16" s="24">
        <f t="shared" si="20"/>
        <v>0.75862068965517238</v>
      </c>
      <c r="AH16" s="22">
        <v>37</v>
      </c>
      <c r="AI16" s="24">
        <f t="shared" si="21"/>
        <v>1.2758620689655173</v>
      </c>
      <c r="AJ16" s="22">
        <v>10</v>
      </c>
      <c r="AK16" s="24">
        <f t="shared" si="22"/>
        <v>0.34482758620689657</v>
      </c>
      <c r="AL16" s="22">
        <v>7</v>
      </c>
      <c r="AM16" s="24">
        <f t="shared" si="23"/>
        <v>0.2413793103448276</v>
      </c>
      <c r="AN16" s="9">
        <v>2</v>
      </c>
      <c r="AO16" s="24">
        <f t="shared" si="24"/>
        <v>6.8965517241379309E-2</v>
      </c>
      <c r="AP16" s="22">
        <v>12</v>
      </c>
      <c r="AQ16" s="24">
        <f t="shared" si="25"/>
        <v>0.41379310344827586</v>
      </c>
      <c r="AR16" s="22">
        <v>53</v>
      </c>
      <c r="AS16" s="24">
        <f t="shared" si="26"/>
        <v>1.8275862068965518</v>
      </c>
      <c r="AT16" s="26">
        <v>0.35178118352912419</v>
      </c>
      <c r="AU16" s="26">
        <v>4.5488946146007438E-2</v>
      </c>
      <c r="AV16" s="26">
        <v>0.24631088462976147</v>
      </c>
      <c r="AW16" s="26">
        <v>0.10547029889936271</v>
      </c>
      <c r="AX16" s="26">
        <v>115.262500293838</v>
      </c>
      <c r="AY16" s="26">
        <v>113.64977093624606</v>
      </c>
      <c r="AZ16" s="26">
        <v>2.0810276681470001</v>
      </c>
      <c r="BA16" s="26">
        <v>3.4137931034482758</v>
      </c>
      <c r="BB16" s="26">
        <v>12.801724137931034</v>
      </c>
      <c r="BC16" s="25">
        <v>0.6330685203574975</v>
      </c>
      <c r="BD16" s="25">
        <v>0.62857142857142856</v>
      </c>
      <c r="BE16" s="26">
        <v>4.2295909561615463</v>
      </c>
      <c r="BF16" s="25">
        <v>2.8571428571428571E-2</v>
      </c>
      <c r="BG16" s="25">
        <v>0.34285714285714286</v>
      </c>
      <c r="BH16" s="26">
        <v>4.281266216917488</v>
      </c>
      <c r="BI16" s="26">
        <v>7.2003113648157759</v>
      </c>
      <c r="BJ16" s="26">
        <v>5.4873511904761907</v>
      </c>
      <c r="BK16" s="26">
        <v>2.2354694485842028</v>
      </c>
      <c r="BL16" s="26">
        <v>1.2307874401187844</v>
      </c>
      <c r="BM16" s="26">
        <v>0.31525851197982346</v>
      </c>
      <c r="BN16" s="26">
        <v>22.953328232593726</v>
      </c>
      <c r="BO16" s="27" t="s">
        <v>189</v>
      </c>
      <c r="BP16" s="27"/>
      <c r="BQ16" s="17" t="s">
        <v>253</v>
      </c>
      <c r="BR16" s="58">
        <v>188.93</v>
      </c>
      <c r="BS16" s="58">
        <v>223.83</v>
      </c>
      <c r="BT16" s="58">
        <v>34.9</v>
      </c>
      <c r="BU16" s="35">
        <f t="shared" si="35"/>
        <v>6.5148275862068967</v>
      </c>
      <c r="BV16" s="35">
        <f t="shared" si="30"/>
        <v>7.7182758620689658</v>
      </c>
      <c r="BW16" s="35">
        <f t="shared" si="31"/>
        <v>1.2034482758620688</v>
      </c>
      <c r="BX16" s="36">
        <f t="shared" si="32"/>
        <v>24.430603448275864</v>
      </c>
      <c r="BY16" s="36">
        <f t="shared" si="33"/>
        <v>28.943534482758622</v>
      </c>
      <c r="BZ16" s="36">
        <f t="shared" si="34"/>
        <v>4.5129310344827589</v>
      </c>
      <c r="CA16" s="46">
        <v>14</v>
      </c>
      <c r="CB16" s="46">
        <v>15</v>
      </c>
    </row>
    <row r="17" spans="1:80" x14ac:dyDescent="0.4">
      <c r="A17" s="21" t="s">
        <v>231</v>
      </c>
      <c r="B17" s="17" t="s">
        <v>247</v>
      </c>
      <c r="C17" s="17" t="s">
        <v>121</v>
      </c>
      <c r="D17" s="22">
        <v>15</v>
      </c>
      <c r="E17" s="22">
        <v>11</v>
      </c>
      <c r="F17" s="22">
        <v>2</v>
      </c>
      <c r="G17" s="23">
        <v>9930</v>
      </c>
      <c r="H17" s="23">
        <v>48</v>
      </c>
      <c r="I17" s="24">
        <f t="shared" si="6"/>
        <v>3.2</v>
      </c>
      <c r="J17" s="22">
        <v>18</v>
      </c>
      <c r="K17" s="22">
        <v>48</v>
      </c>
      <c r="L17" s="24">
        <f t="shared" si="7"/>
        <v>1.2</v>
      </c>
      <c r="M17" s="24">
        <f t="shared" si="8"/>
        <v>3.2</v>
      </c>
      <c r="N17" s="25">
        <f t="shared" si="9"/>
        <v>0.375</v>
      </c>
      <c r="O17" s="23">
        <v>7</v>
      </c>
      <c r="P17" s="22">
        <v>11</v>
      </c>
      <c r="Q17" s="24">
        <f t="shared" si="10"/>
        <v>0.46666666666666667</v>
      </c>
      <c r="R17" s="24">
        <f t="shared" si="11"/>
        <v>0.73333333333333328</v>
      </c>
      <c r="S17" s="25">
        <f t="shared" si="12"/>
        <v>0.63636363636363635</v>
      </c>
      <c r="T17" s="22">
        <v>11</v>
      </c>
      <c r="U17" s="22">
        <v>37</v>
      </c>
      <c r="V17" s="24">
        <f t="shared" si="13"/>
        <v>0.73333333333333328</v>
      </c>
      <c r="W17" s="24">
        <f t="shared" si="14"/>
        <v>2.4666666666666668</v>
      </c>
      <c r="X17" s="25">
        <f t="shared" si="15"/>
        <v>0.29729729729729731</v>
      </c>
      <c r="Y17" s="22">
        <v>1</v>
      </c>
      <c r="Z17" s="22">
        <v>2</v>
      </c>
      <c r="AA17" s="24">
        <f t="shared" si="16"/>
        <v>6.6666666666666666E-2</v>
      </c>
      <c r="AB17" s="24">
        <f t="shared" si="17"/>
        <v>0.13333333333333333</v>
      </c>
      <c r="AC17" s="25">
        <f t="shared" si="18"/>
        <v>0.5</v>
      </c>
      <c r="AD17" s="22">
        <v>13</v>
      </c>
      <c r="AE17" s="24">
        <f t="shared" si="19"/>
        <v>0.8666666666666667</v>
      </c>
      <c r="AF17" s="22">
        <v>4</v>
      </c>
      <c r="AG17" s="24">
        <f t="shared" si="20"/>
        <v>0.26666666666666666</v>
      </c>
      <c r="AH17" s="22">
        <v>9</v>
      </c>
      <c r="AI17" s="24">
        <f t="shared" si="21"/>
        <v>0.6</v>
      </c>
      <c r="AJ17" s="22">
        <v>5</v>
      </c>
      <c r="AK17" s="24">
        <f t="shared" si="22"/>
        <v>0.33333333333333331</v>
      </c>
      <c r="AL17" s="22">
        <v>4</v>
      </c>
      <c r="AM17" s="24">
        <f t="shared" si="23"/>
        <v>0.26666666666666666</v>
      </c>
      <c r="AN17" s="10">
        <v>1</v>
      </c>
      <c r="AO17" s="24">
        <f t="shared" si="24"/>
        <v>6.6666666666666666E-2</v>
      </c>
      <c r="AP17" s="22">
        <v>5</v>
      </c>
      <c r="AQ17" s="24">
        <f t="shared" si="25"/>
        <v>0.33333333333333331</v>
      </c>
      <c r="AR17" s="22">
        <v>27</v>
      </c>
      <c r="AS17" s="24">
        <f t="shared" si="26"/>
        <v>1.8</v>
      </c>
      <c r="AT17" s="26">
        <v>-3.2283684217788995E-2</v>
      </c>
      <c r="AU17" s="26">
        <v>-7.8027031342088205E-3</v>
      </c>
      <c r="AV17" s="26">
        <v>-3.70858253446988E-2</v>
      </c>
      <c r="AW17" s="26">
        <v>4.8021411269098058E-3</v>
      </c>
      <c r="AX17" s="26">
        <v>96.782352269241045</v>
      </c>
      <c r="AY17" s="26">
        <v>116.56429359275944</v>
      </c>
      <c r="AZ17" s="26">
        <v>0.7669323204170736</v>
      </c>
      <c r="BA17" s="26">
        <v>2.3333333333333335</v>
      </c>
      <c r="BB17" s="26">
        <v>8.4592145015105729</v>
      </c>
      <c r="BC17" s="25">
        <v>0.49099836333878882</v>
      </c>
      <c r="BD17" s="25">
        <v>0.48958333333333331</v>
      </c>
      <c r="BE17" s="26">
        <v>4.214173011564208</v>
      </c>
      <c r="BF17" s="25">
        <v>0.77083333333333337</v>
      </c>
      <c r="BG17" s="25">
        <v>4.1666666666666664E-2</v>
      </c>
      <c r="BH17" s="26">
        <v>0.75254336139170352</v>
      </c>
      <c r="BI17" s="26">
        <v>1.6932225631313331</v>
      </c>
      <c r="BJ17" s="26">
        <v>1.1688965616458065</v>
      </c>
      <c r="BK17" s="26">
        <v>1.069594980034227</v>
      </c>
      <c r="BL17" s="26">
        <v>1.3145397720388226</v>
      </c>
      <c r="BM17" s="26">
        <v>0.15239082150082101</v>
      </c>
      <c r="BN17" s="26">
        <v>9.2798812175204155</v>
      </c>
      <c r="BO17" s="27" t="s">
        <v>189</v>
      </c>
      <c r="BP17" s="28"/>
      <c r="BQ17" s="17" t="s">
        <v>253</v>
      </c>
      <c r="BR17" s="57">
        <v>84.16</v>
      </c>
      <c r="BS17" s="57">
        <v>119.86</v>
      </c>
      <c r="BT17" s="57">
        <v>35.700000000000003</v>
      </c>
      <c r="BU17" s="35">
        <f t="shared" si="35"/>
        <v>5.6106666666666669</v>
      </c>
      <c r="BV17" s="35">
        <f t="shared" si="30"/>
        <v>7.9906666666666668</v>
      </c>
      <c r="BW17" s="35">
        <f t="shared" si="31"/>
        <v>2.3800000000000003</v>
      </c>
      <c r="BX17" s="36">
        <f t="shared" si="32"/>
        <v>20.340785498489424</v>
      </c>
      <c r="BY17" s="36">
        <f t="shared" si="33"/>
        <v>28.96918429003021</v>
      </c>
      <c r="BZ17" s="36">
        <f t="shared" si="34"/>
        <v>8.6283987915407856</v>
      </c>
      <c r="CA17" s="47">
        <v>8</v>
      </c>
      <c r="CB17" s="47">
        <v>8</v>
      </c>
    </row>
    <row r="18" spans="1:80" x14ac:dyDescent="0.4">
      <c r="A18" s="21" t="s">
        <v>231</v>
      </c>
      <c r="B18" s="49" t="s">
        <v>278</v>
      </c>
      <c r="C18" s="49" t="s">
        <v>287</v>
      </c>
      <c r="D18" s="22">
        <v>3</v>
      </c>
      <c r="E18" s="22">
        <v>2</v>
      </c>
      <c r="F18" s="22">
        <v>43</v>
      </c>
      <c r="G18" s="23">
        <v>489</v>
      </c>
      <c r="H18" s="23">
        <v>2</v>
      </c>
      <c r="I18" s="24">
        <f t="shared" si="6"/>
        <v>0.66666666666666663</v>
      </c>
      <c r="J18" s="22">
        <v>1</v>
      </c>
      <c r="K18" s="22">
        <v>2</v>
      </c>
      <c r="L18" s="24">
        <f t="shared" si="7"/>
        <v>0.33333333333333331</v>
      </c>
      <c r="M18" s="24">
        <f t="shared" si="8"/>
        <v>0.66666666666666663</v>
      </c>
      <c r="N18" s="25">
        <f t="shared" si="9"/>
        <v>0.5</v>
      </c>
      <c r="O18" s="23">
        <v>1</v>
      </c>
      <c r="P18" s="22">
        <v>2</v>
      </c>
      <c r="Q18" s="24">
        <f t="shared" si="10"/>
        <v>0.33333333333333331</v>
      </c>
      <c r="R18" s="24">
        <f t="shared" si="11"/>
        <v>0.66666666666666663</v>
      </c>
      <c r="S18" s="25">
        <f t="shared" si="12"/>
        <v>0.5</v>
      </c>
      <c r="T18" s="22">
        <v>0</v>
      </c>
      <c r="U18" s="22">
        <v>0</v>
      </c>
      <c r="V18" s="24">
        <f t="shared" si="13"/>
        <v>0</v>
      </c>
      <c r="W18" s="24">
        <f t="shared" si="14"/>
        <v>0</v>
      </c>
      <c r="X18" s="25" t="e">
        <f t="shared" si="15"/>
        <v>#DIV/0!</v>
      </c>
      <c r="Y18" s="22">
        <v>0</v>
      </c>
      <c r="Z18" s="22">
        <v>0</v>
      </c>
      <c r="AA18" s="24">
        <f t="shared" si="16"/>
        <v>0</v>
      </c>
      <c r="AB18" s="24">
        <f t="shared" si="17"/>
        <v>0</v>
      </c>
      <c r="AC18" s="25" t="e">
        <f t="shared" si="18"/>
        <v>#DIV/0!</v>
      </c>
      <c r="AD18" s="22">
        <v>1</v>
      </c>
      <c r="AE18" s="24">
        <f t="shared" si="19"/>
        <v>0.33333333333333331</v>
      </c>
      <c r="AF18" s="22">
        <v>0</v>
      </c>
      <c r="AG18" s="24">
        <f t="shared" si="20"/>
        <v>0</v>
      </c>
      <c r="AH18" s="22">
        <v>1</v>
      </c>
      <c r="AI18" s="24">
        <f t="shared" si="21"/>
        <v>0.33333333333333331</v>
      </c>
      <c r="AJ18" s="22">
        <v>0</v>
      </c>
      <c r="AK18" s="24">
        <f t="shared" si="22"/>
        <v>0</v>
      </c>
      <c r="AL18" s="22">
        <v>1</v>
      </c>
      <c r="AM18" s="24">
        <f t="shared" si="23"/>
        <v>0.33333333333333331</v>
      </c>
      <c r="AN18" s="10">
        <v>0</v>
      </c>
      <c r="AO18" s="24">
        <f t="shared" si="24"/>
        <v>0</v>
      </c>
      <c r="AP18" s="22">
        <v>0</v>
      </c>
      <c r="AQ18" s="24">
        <f t="shared" si="25"/>
        <v>0</v>
      </c>
      <c r="AR18" s="22">
        <v>2</v>
      </c>
      <c r="AS18" s="24">
        <f t="shared" si="26"/>
        <v>0.66666666666666663</v>
      </c>
      <c r="AT18" s="26">
        <v>1.440757502881209E-2</v>
      </c>
      <c r="AU18" s="26">
        <v>7.0712024681286331E-2</v>
      </c>
      <c r="AV18" s="26">
        <v>8.3629328406169213E-4</v>
      </c>
      <c r="AW18" s="26">
        <v>1.3571281744750398E-2</v>
      </c>
      <c r="AX18" s="26">
        <v>101.35025663701163</v>
      </c>
      <c r="AY18" s="26">
        <v>101.27738500574351</v>
      </c>
      <c r="AZ18" s="26">
        <v>0.29651949178049319</v>
      </c>
      <c r="BA18" s="26">
        <v>1</v>
      </c>
      <c r="BB18" s="26">
        <v>14.723926380368098</v>
      </c>
      <c r="BC18" s="25">
        <v>0.5</v>
      </c>
      <c r="BD18" s="25">
        <v>0.5</v>
      </c>
      <c r="BE18" s="26">
        <v>0.63530921558371156</v>
      </c>
      <c r="BF18" s="25">
        <v>0</v>
      </c>
      <c r="BG18" s="25">
        <v>0</v>
      </c>
      <c r="BH18" s="26">
        <v>0</v>
      </c>
      <c r="BI18" s="26">
        <v>0.76408543748666824</v>
      </c>
      <c r="BJ18" s="26">
        <v>0.36517674554484369</v>
      </c>
      <c r="BK18" s="26">
        <v>0</v>
      </c>
      <c r="BL18" s="26">
        <v>6.6735071249210156</v>
      </c>
      <c r="BM18" s="26">
        <v>0</v>
      </c>
      <c r="BN18" s="26">
        <v>0</v>
      </c>
      <c r="BO18" s="27" t="s">
        <v>189</v>
      </c>
      <c r="BP18" s="27"/>
      <c r="BQ18" s="17" t="s">
        <v>255</v>
      </c>
      <c r="BR18" s="57">
        <v>6.54</v>
      </c>
      <c r="BS18" s="57">
        <v>7.54</v>
      </c>
      <c r="BT18" s="57">
        <v>1</v>
      </c>
      <c r="BU18" s="35">
        <f t="shared" si="35"/>
        <v>2.1799999999999997</v>
      </c>
      <c r="BV18" s="35">
        <f t="shared" si="30"/>
        <v>2.5133333333333332</v>
      </c>
      <c r="BW18" s="35">
        <f t="shared" si="31"/>
        <v>0.33333333333333331</v>
      </c>
      <c r="BX18" s="36">
        <f t="shared" si="32"/>
        <v>32.098159509202453</v>
      </c>
      <c r="BY18" s="36">
        <f t="shared" si="33"/>
        <v>37.006134969325153</v>
      </c>
      <c r="BZ18" s="36">
        <f t="shared" si="34"/>
        <v>4.9079754601226995</v>
      </c>
      <c r="CA18" s="46">
        <v>2</v>
      </c>
      <c r="CB18" s="46">
        <v>1</v>
      </c>
    </row>
    <row r="19" spans="1:80" x14ac:dyDescent="0.4">
      <c r="A19" s="21" t="s">
        <v>231</v>
      </c>
      <c r="B19" s="17" t="s">
        <v>247</v>
      </c>
      <c r="C19" s="17" t="s">
        <v>234</v>
      </c>
      <c r="D19" s="22">
        <v>52</v>
      </c>
      <c r="E19" s="22">
        <v>34</v>
      </c>
      <c r="F19" s="22">
        <v>2</v>
      </c>
      <c r="G19" s="23">
        <v>106184</v>
      </c>
      <c r="H19" s="23">
        <v>781</v>
      </c>
      <c r="I19" s="24">
        <f t="shared" si="6"/>
        <v>15.01923076923077</v>
      </c>
      <c r="J19" s="22">
        <v>260</v>
      </c>
      <c r="K19" s="22">
        <v>617</v>
      </c>
      <c r="L19" s="24">
        <f t="shared" si="7"/>
        <v>5</v>
      </c>
      <c r="M19" s="24">
        <f t="shared" si="8"/>
        <v>11.865384615384615</v>
      </c>
      <c r="N19" s="25">
        <f t="shared" si="9"/>
        <v>0.42139384116693679</v>
      </c>
      <c r="O19" s="23">
        <v>150</v>
      </c>
      <c r="P19" s="22">
        <v>295</v>
      </c>
      <c r="Q19" s="24">
        <f t="shared" si="10"/>
        <v>2.8846153846153846</v>
      </c>
      <c r="R19" s="24">
        <f t="shared" si="11"/>
        <v>5.6730769230769234</v>
      </c>
      <c r="S19" s="25">
        <f t="shared" si="12"/>
        <v>0.50847457627118642</v>
      </c>
      <c r="T19" s="22">
        <v>110</v>
      </c>
      <c r="U19" s="22">
        <v>322</v>
      </c>
      <c r="V19" s="24">
        <f t="shared" si="13"/>
        <v>2.1153846153846154</v>
      </c>
      <c r="W19" s="24">
        <f t="shared" si="14"/>
        <v>6.1923076923076925</v>
      </c>
      <c r="X19" s="25">
        <f t="shared" si="15"/>
        <v>0.34161490683229812</v>
      </c>
      <c r="Y19" s="22">
        <v>151</v>
      </c>
      <c r="Z19" s="22">
        <v>182</v>
      </c>
      <c r="AA19" s="24">
        <f t="shared" si="16"/>
        <v>2.9038461538461537</v>
      </c>
      <c r="AB19" s="24">
        <f t="shared" si="17"/>
        <v>3.5</v>
      </c>
      <c r="AC19" s="25">
        <f t="shared" si="18"/>
        <v>0.82967032967032972</v>
      </c>
      <c r="AD19" s="22">
        <v>135</v>
      </c>
      <c r="AE19" s="24">
        <f t="shared" si="19"/>
        <v>2.5961538461538463</v>
      </c>
      <c r="AF19" s="22">
        <v>30</v>
      </c>
      <c r="AG19" s="24">
        <f t="shared" si="20"/>
        <v>0.57692307692307687</v>
      </c>
      <c r="AH19" s="22">
        <v>105</v>
      </c>
      <c r="AI19" s="24">
        <f t="shared" si="21"/>
        <v>2.0192307692307692</v>
      </c>
      <c r="AJ19" s="22">
        <v>220</v>
      </c>
      <c r="AK19" s="24">
        <f t="shared" si="22"/>
        <v>4.2307692307692308</v>
      </c>
      <c r="AL19" s="22">
        <v>88</v>
      </c>
      <c r="AM19" s="24">
        <f t="shared" si="23"/>
        <v>1.6923076923076923</v>
      </c>
      <c r="AN19" s="10">
        <v>3</v>
      </c>
      <c r="AO19" s="24">
        <f t="shared" si="24"/>
        <v>5.7692307692307696E-2</v>
      </c>
      <c r="AP19" s="22">
        <v>70</v>
      </c>
      <c r="AQ19" s="24">
        <f t="shared" si="25"/>
        <v>1.3461538461538463</v>
      </c>
      <c r="AR19" s="22">
        <v>135</v>
      </c>
      <c r="AS19" s="24">
        <f t="shared" si="26"/>
        <v>2.5961538461538463</v>
      </c>
      <c r="AT19" s="26">
        <v>4.2432017577185439</v>
      </c>
      <c r="AU19" s="26">
        <v>9.5906014263208245E-2</v>
      </c>
      <c r="AV19" s="26">
        <v>3.6497793504963569</v>
      </c>
      <c r="AW19" s="26">
        <v>0.59342240722218664</v>
      </c>
      <c r="AX19" s="26">
        <v>117.39247796063215</v>
      </c>
      <c r="AY19" s="26">
        <v>113.70249030273159</v>
      </c>
      <c r="AZ19" s="26">
        <v>11.656649849838905</v>
      </c>
      <c r="BA19" s="26">
        <v>14.788461538461538</v>
      </c>
      <c r="BB19" s="26">
        <v>17.381149702403377</v>
      </c>
      <c r="BC19" s="25">
        <v>0.56019395191369714</v>
      </c>
      <c r="BD19" s="25">
        <v>0.51053484602917343</v>
      </c>
      <c r="BE19" s="26">
        <v>19.450361869163174</v>
      </c>
      <c r="BF19" s="25">
        <v>0.52188006482982174</v>
      </c>
      <c r="BG19" s="25">
        <v>0.29497568881685576</v>
      </c>
      <c r="BH19" s="26">
        <v>1.8297638537266445</v>
      </c>
      <c r="BI19" s="26">
        <v>6.4041734880432548</v>
      </c>
      <c r="BJ19" s="26">
        <v>3.9352175738071917</v>
      </c>
      <c r="BK19" s="26">
        <v>17.77825665337787</v>
      </c>
      <c r="BL19" s="26">
        <v>2.7044974628908416</v>
      </c>
      <c r="BM19" s="26">
        <v>0.14821164128336464</v>
      </c>
      <c r="BN19" s="26">
        <v>9.1255149397716018</v>
      </c>
      <c r="BO19" s="27" t="s">
        <v>189</v>
      </c>
      <c r="BP19" s="28"/>
      <c r="BQ19" s="17" t="s">
        <v>254</v>
      </c>
      <c r="BR19" s="57">
        <v>1361.76</v>
      </c>
      <c r="BS19" s="57">
        <v>1827.36</v>
      </c>
      <c r="BT19" s="57">
        <v>465.6</v>
      </c>
      <c r="BU19" s="35">
        <f t="shared" si="35"/>
        <v>26.187692307692306</v>
      </c>
      <c r="BV19" s="35">
        <f t="shared" si="30"/>
        <v>35.14153846153846</v>
      </c>
      <c r="BW19" s="35">
        <f t="shared" si="31"/>
        <v>8.953846153846154</v>
      </c>
      <c r="BX19" s="36">
        <f t="shared" si="32"/>
        <v>30.778874406690271</v>
      </c>
      <c r="BY19" s="36">
        <f t="shared" si="33"/>
        <v>41.302493784374292</v>
      </c>
      <c r="BZ19" s="36">
        <f t="shared" si="34"/>
        <v>10.523619377684021</v>
      </c>
      <c r="CA19" s="46">
        <v>28</v>
      </c>
      <c r="CB19" s="46">
        <v>24</v>
      </c>
    </row>
    <row r="20" spans="1:80" x14ac:dyDescent="0.4">
      <c r="A20" s="21" t="s">
        <v>231</v>
      </c>
      <c r="B20" s="17" t="s">
        <v>247</v>
      </c>
      <c r="C20" s="20" t="s">
        <v>162</v>
      </c>
      <c r="D20" s="22">
        <v>24</v>
      </c>
      <c r="E20" s="22">
        <v>13</v>
      </c>
      <c r="F20" s="22">
        <v>25</v>
      </c>
      <c r="G20" s="23">
        <v>19320</v>
      </c>
      <c r="H20" s="23">
        <v>79</v>
      </c>
      <c r="I20" s="24">
        <f t="shared" si="6"/>
        <v>3.2916666666666665</v>
      </c>
      <c r="J20" s="22">
        <v>33</v>
      </c>
      <c r="K20" s="22">
        <v>52</v>
      </c>
      <c r="L20" s="24">
        <f t="shared" si="7"/>
        <v>1.375</v>
      </c>
      <c r="M20" s="24">
        <f t="shared" si="8"/>
        <v>2.1666666666666665</v>
      </c>
      <c r="N20" s="25">
        <f t="shared" si="9"/>
        <v>0.63461538461538458</v>
      </c>
      <c r="O20" s="23">
        <v>31</v>
      </c>
      <c r="P20" s="22">
        <v>45</v>
      </c>
      <c r="Q20" s="24">
        <f t="shared" si="10"/>
        <v>1.2916666666666667</v>
      </c>
      <c r="R20" s="24">
        <f t="shared" si="11"/>
        <v>1.875</v>
      </c>
      <c r="S20" s="25">
        <f t="shared" si="12"/>
        <v>0.68888888888888888</v>
      </c>
      <c r="T20" s="22">
        <v>2</v>
      </c>
      <c r="U20" s="22">
        <v>7</v>
      </c>
      <c r="V20" s="24">
        <f t="shared" si="13"/>
        <v>8.3333333333333329E-2</v>
      </c>
      <c r="W20" s="24">
        <f t="shared" si="14"/>
        <v>0.29166666666666669</v>
      </c>
      <c r="X20" s="25">
        <f t="shared" si="15"/>
        <v>0.2857142857142857</v>
      </c>
      <c r="Y20" s="22">
        <v>11</v>
      </c>
      <c r="Z20" s="22">
        <v>15</v>
      </c>
      <c r="AA20" s="24">
        <f t="shared" si="16"/>
        <v>0.45833333333333331</v>
      </c>
      <c r="AB20" s="24">
        <f t="shared" si="17"/>
        <v>0.625</v>
      </c>
      <c r="AC20" s="25">
        <f t="shared" si="18"/>
        <v>0.73333333333333328</v>
      </c>
      <c r="AD20" s="22">
        <v>55</v>
      </c>
      <c r="AE20" s="24">
        <f t="shared" si="19"/>
        <v>2.2916666666666665</v>
      </c>
      <c r="AF20" s="22">
        <v>16</v>
      </c>
      <c r="AG20" s="24">
        <f t="shared" si="20"/>
        <v>0.66666666666666663</v>
      </c>
      <c r="AH20" s="22">
        <v>39</v>
      </c>
      <c r="AI20" s="24">
        <f t="shared" si="21"/>
        <v>1.625</v>
      </c>
      <c r="AJ20" s="22">
        <v>22</v>
      </c>
      <c r="AK20" s="24">
        <f t="shared" si="22"/>
        <v>0.91666666666666663</v>
      </c>
      <c r="AL20" s="22">
        <v>5</v>
      </c>
      <c r="AM20" s="24">
        <f t="shared" si="23"/>
        <v>0.20833333333333334</v>
      </c>
      <c r="AN20" s="10">
        <v>15</v>
      </c>
      <c r="AO20" s="24">
        <f t="shared" si="24"/>
        <v>0.625</v>
      </c>
      <c r="AP20" s="22">
        <v>12</v>
      </c>
      <c r="AQ20" s="24">
        <f t="shared" si="25"/>
        <v>0.5</v>
      </c>
      <c r="AR20" s="22">
        <v>28</v>
      </c>
      <c r="AS20" s="24">
        <f t="shared" si="26"/>
        <v>1.1666666666666667</v>
      </c>
      <c r="AT20" s="26">
        <v>0.68613012236713489</v>
      </c>
      <c r="AU20" s="26">
        <v>8.5233555573557135E-2</v>
      </c>
      <c r="AV20" s="26">
        <v>0.54689831793361343</v>
      </c>
      <c r="AW20" s="26">
        <v>0.13923180443352146</v>
      </c>
      <c r="AX20" s="26">
        <v>126.63569540106157</v>
      </c>
      <c r="AY20" s="26">
        <v>112.79546748038624</v>
      </c>
      <c r="AZ20" s="26">
        <v>4.3205218499134066</v>
      </c>
      <c r="BA20" s="26">
        <v>5.875</v>
      </c>
      <c r="BB20" s="26">
        <v>17.51552795031056</v>
      </c>
      <c r="BC20" s="25">
        <v>0.67406143344709901</v>
      </c>
      <c r="BD20" s="25">
        <v>0.65384615384615385</v>
      </c>
      <c r="BE20" s="26">
        <v>4.5410008640336867</v>
      </c>
      <c r="BF20" s="25">
        <v>0.13461538461538461</v>
      </c>
      <c r="BG20" s="25">
        <v>0.28846153846153844</v>
      </c>
      <c r="BH20" s="26">
        <v>2.4754469825655043</v>
      </c>
      <c r="BI20" s="26">
        <v>6.0339020200034161</v>
      </c>
      <c r="BJ20" s="26">
        <v>4.0668441289559301</v>
      </c>
      <c r="BK20" s="26">
        <v>3.9473684210526323</v>
      </c>
      <c r="BL20" s="26">
        <v>0.84455097931842049</v>
      </c>
      <c r="BM20" s="26">
        <v>1.8798023074573325</v>
      </c>
      <c r="BN20" s="26">
        <v>16.997167138810198</v>
      </c>
      <c r="BO20" s="27" t="s">
        <v>189</v>
      </c>
      <c r="BP20" s="28"/>
      <c r="BQ20" s="17" t="s">
        <v>253</v>
      </c>
      <c r="BR20" s="57"/>
      <c r="BS20" s="57"/>
      <c r="BT20" s="57"/>
      <c r="BU20" s="35">
        <f t="shared" si="35"/>
        <v>0</v>
      </c>
      <c r="BV20" s="35">
        <f t="shared" si="30"/>
        <v>0</v>
      </c>
      <c r="BW20" s="35">
        <f t="shared" si="31"/>
        <v>0</v>
      </c>
      <c r="BX20" s="36">
        <f t="shared" si="32"/>
        <v>0</v>
      </c>
      <c r="BY20" s="36">
        <f t="shared" si="33"/>
        <v>0</v>
      </c>
      <c r="BZ20" s="36">
        <f t="shared" si="34"/>
        <v>0</v>
      </c>
      <c r="CA20" s="47">
        <v>14</v>
      </c>
      <c r="CB20" s="47">
        <v>10</v>
      </c>
    </row>
    <row r="21" spans="1:80" x14ac:dyDescent="0.4">
      <c r="A21" s="21" t="s">
        <v>231</v>
      </c>
      <c r="B21" s="50" t="s">
        <v>278</v>
      </c>
      <c r="C21" s="49" t="s">
        <v>289</v>
      </c>
      <c r="D21" s="16">
        <v>50</v>
      </c>
      <c r="E21" s="16">
        <v>31</v>
      </c>
      <c r="F21" s="16">
        <v>49</v>
      </c>
      <c r="G21" s="23">
        <v>95450</v>
      </c>
      <c r="H21" s="23">
        <v>881</v>
      </c>
      <c r="I21" s="24">
        <f t="shared" si="6"/>
        <v>17.62</v>
      </c>
      <c r="J21" s="22">
        <v>296</v>
      </c>
      <c r="K21" s="22">
        <v>741</v>
      </c>
      <c r="L21" s="24">
        <f t="shared" si="7"/>
        <v>5.92</v>
      </c>
      <c r="M21" s="24">
        <f t="shared" si="8"/>
        <v>14.82</v>
      </c>
      <c r="N21" s="25">
        <f t="shared" si="9"/>
        <v>0.39946018893387314</v>
      </c>
      <c r="O21" s="23">
        <v>125</v>
      </c>
      <c r="P21" s="23">
        <v>285</v>
      </c>
      <c r="Q21" s="24">
        <f t="shared" si="10"/>
        <v>2.5</v>
      </c>
      <c r="R21" s="24">
        <f t="shared" si="11"/>
        <v>5.7</v>
      </c>
      <c r="S21" s="25">
        <f t="shared" si="12"/>
        <v>0.43859649122807015</v>
      </c>
      <c r="T21" s="23">
        <v>171</v>
      </c>
      <c r="U21" s="23">
        <v>456</v>
      </c>
      <c r="V21" s="24">
        <f t="shared" si="13"/>
        <v>3.42</v>
      </c>
      <c r="W21" s="24">
        <f t="shared" si="14"/>
        <v>9.1199999999999992</v>
      </c>
      <c r="X21" s="25">
        <f t="shared" si="15"/>
        <v>0.375</v>
      </c>
      <c r="Y21" s="23">
        <v>118</v>
      </c>
      <c r="Z21" s="23">
        <v>141</v>
      </c>
      <c r="AA21" s="24">
        <f t="shared" si="16"/>
        <v>2.36</v>
      </c>
      <c r="AB21" s="24">
        <f t="shared" si="17"/>
        <v>2.82</v>
      </c>
      <c r="AC21" s="25">
        <f t="shared" si="18"/>
        <v>0.83687943262411346</v>
      </c>
      <c r="AD21" s="23">
        <v>97</v>
      </c>
      <c r="AE21" s="24">
        <f t="shared" si="19"/>
        <v>1.94</v>
      </c>
      <c r="AF21" s="23">
        <v>21</v>
      </c>
      <c r="AG21" s="24">
        <f t="shared" si="20"/>
        <v>0.42</v>
      </c>
      <c r="AH21" s="23">
        <v>76</v>
      </c>
      <c r="AI21" s="24">
        <f t="shared" si="21"/>
        <v>1.52</v>
      </c>
      <c r="AJ21" s="23">
        <v>131</v>
      </c>
      <c r="AK21" s="24">
        <f t="shared" si="22"/>
        <v>2.62</v>
      </c>
      <c r="AL21" s="23">
        <v>53</v>
      </c>
      <c r="AM21" s="24">
        <f t="shared" si="23"/>
        <v>1.06</v>
      </c>
      <c r="AN21" s="30">
        <v>3</v>
      </c>
      <c r="AO21" s="24">
        <f t="shared" si="24"/>
        <v>0.06</v>
      </c>
      <c r="AP21" s="23">
        <v>103</v>
      </c>
      <c r="AQ21" s="24">
        <f t="shared" si="25"/>
        <v>2.06</v>
      </c>
      <c r="AR21" s="23">
        <v>65</v>
      </c>
      <c r="AS21" s="24">
        <f t="shared" si="26"/>
        <v>1.3</v>
      </c>
      <c r="AT21" s="31">
        <v>1.3840097439604686</v>
      </c>
      <c r="AU21" s="26">
        <v>3.4799616401310893E-2</v>
      </c>
      <c r="AV21" s="26">
        <v>1.3048823277706063</v>
      </c>
      <c r="AW21" s="26">
        <v>7.9127416189862215E-2</v>
      </c>
      <c r="AX21" s="26">
        <v>105.21277786950647</v>
      </c>
      <c r="AY21" s="26">
        <v>116.37067064806382</v>
      </c>
      <c r="AZ21" s="26">
        <v>10.713648925651126</v>
      </c>
      <c r="BA21" s="26">
        <v>11.88</v>
      </c>
      <c r="BB21" s="26">
        <v>14.935568360398115</v>
      </c>
      <c r="BC21" s="25">
        <v>0.54854054592548318</v>
      </c>
      <c r="BD21" s="25">
        <v>0.51484480431848856</v>
      </c>
      <c r="BE21" s="26">
        <v>24.574472644069402</v>
      </c>
      <c r="BF21" s="25">
        <v>0.61538461538461542</v>
      </c>
      <c r="BG21" s="25">
        <v>0.19028340080971659</v>
      </c>
      <c r="BH21" s="26">
        <v>1.370070430862685</v>
      </c>
      <c r="BI21" s="26">
        <v>4.9583501307411453</v>
      </c>
      <c r="BJ21" s="26">
        <v>3.024520442016513</v>
      </c>
      <c r="BK21" s="26">
        <v>11.866658614650643</v>
      </c>
      <c r="BL21" s="26">
        <v>1.8120197397231843</v>
      </c>
      <c r="BM21" s="26">
        <v>0.15853754400242562</v>
      </c>
      <c r="BN21" s="26">
        <v>11.368151516489339</v>
      </c>
      <c r="BO21" s="27" t="s">
        <v>189</v>
      </c>
      <c r="BP21" s="28"/>
      <c r="BQ21" s="17" t="s">
        <v>254</v>
      </c>
      <c r="BR21" s="57">
        <v>28.29</v>
      </c>
      <c r="BS21" s="57">
        <v>37.29</v>
      </c>
      <c r="BT21" s="57">
        <v>9</v>
      </c>
      <c r="BU21" s="35">
        <f t="shared" si="35"/>
        <v>0.56580000000000008</v>
      </c>
      <c r="BV21" s="35">
        <f t="shared" si="30"/>
        <v>0.74580000000000002</v>
      </c>
      <c r="BW21" s="35">
        <f t="shared" si="31"/>
        <v>0.18</v>
      </c>
      <c r="BX21" s="36">
        <f t="shared" si="32"/>
        <v>0.71132530120481929</v>
      </c>
      <c r="BY21" s="36">
        <f t="shared" si="33"/>
        <v>0.93762179151388159</v>
      </c>
      <c r="BZ21" s="36">
        <f t="shared" si="34"/>
        <v>0.22629649030906235</v>
      </c>
      <c r="CA21" s="47">
        <v>3</v>
      </c>
      <c r="CB21" s="47">
        <v>7</v>
      </c>
    </row>
    <row r="22" spans="1:80" x14ac:dyDescent="0.4">
      <c r="A22" s="21" t="s">
        <v>231</v>
      </c>
      <c r="B22" s="17" t="s">
        <v>247</v>
      </c>
      <c r="C22" s="17" t="s">
        <v>119</v>
      </c>
      <c r="D22" s="22">
        <v>50</v>
      </c>
      <c r="E22" s="22">
        <v>31</v>
      </c>
      <c r="F22" s="22">
        <v>49</v>
      </c>
      <c r="G22" s="23">
        <v>95450</v>
      </c>
      <c r="H22" s="23">
        <v>881</v>
      </c>
      <c r="I22" s="24">
        <f t="shared" si="6"/>
        <v>17.62</v>
      </c>
      <c r="J22" s="22">
        <v>296</v>
      </c>
      <c r="K22" s="22">
        <v>741</v>
      </c>
      <c r="L22" s="24">
        <f t="shared" si="7"/>
        <v>5.92</v>
      </c>
      <c r="M22" s="24">
        <f t="shared" si="8"/>
        <v>14.82</v>
      </c>
      <c r="N22" s="25">
        <f t="shared" si="9"/>
        <v>0.39946018893387314</v>
      </c>
      <c r="O22" s="23">
        <v>125</v>
      </c>
      <c r="P22" s="22">
        <v>285</v>
      </c>
      <c r="Q22" s="24">
        <f t="shared" si="10"/>
        <v>2.5</v>
      </c>
      <c r="R22" s="24">
        <f t="shared" si="11"/>
        <v>5.7</v>
      </c>
      <c r="S22" s="25">
        <f t="shared" si="12"/>
        <v>0.43859649122807015</v>
      </c>
      <c r="T22" s="22">
        <v>171</v>
      </c>
      <c r="U22" s="22">
        <v>456</v>
      </c>
      <c r="V22" s="24">
        <f t="shared" si="13"/>
        <v>3.42</v>
      </c>
      <c r="W22" s="24">
        <f t="shared" si="14"/>
        <v>9.1199999999999992</v>
      </c>
      <c r="X22" s="25">
        <f t="shared" si="15"/>
        <v>0.375</v>
      </c>
      <c r="Y22" s="22">
        <v>118</v>
      </c>
      <c r="Z22" s="22">
        <v>141</v>
      </c>
      <c r="AA22" s="24">
        <f t="shared" si="16"/>
        <v>2.36</v>
      </c>
      <c r="AB22" s="24">
        <f t="shared" si="17"/>
        <v>2.82</v>
      </c>
      <c r="AC22" s="25">
        <f t="shared" si="18"/>
        <v>0.83687943262411346</v>
      </c>
      <c r="AD22" s="22">
        <v>97</v>
      </c>
      <c r="AE22" s="24">
        <f t="shared" si="19"/>
        <v>1.94</v>
      </c>
      <c r="AF22" s="22">
        <v>21</v>
      </c>
      <c r="AG22" s="24">
        <f t="shared" si="20"/>
        <v>0.42</v>
      </c>
      <c r="AH22" s="22">
        <v>76</v>
      </c>
      <c r="AI22" s="24">
        <f t="shared" si="21"/>
        <v>1.52</v>
      </c>
      <c r="AJ22" s="22">
        <v>131</v>
      </c>
      <c r="AK22" s="24">
        <f t="shared" si="22"/>
        <v>2.62</v>
      </c>
      <c r="AL22" s="22">
        <v>53</v>
      </c>
      <c r="AM22" s="24">
        <f t="shared" si="23"/>
        <v>1.06</v>
      </c>
      <c r="AN22" s="10">
        <v>3</v>
      </c>
      <c r="AO22" s="24">
        <f t="shared" si="24"/>
        <v>0.06</v>
      </c>
      <c r="AP22" s="22">
        <v>103</v>
      </c>
      <c r="AQ22" s="24">
        <f t="shared" si="25"/>
        <v>2.06</v>
      </c>
      <c r="AR22" s="22">
        <v>65</v>
      </c>
      <c r="AS22" s="24">
        <f t="shared" si="26"/>
        <v>1.3</v>
      </c>
      <c r="AT22" s="26">
        <v>1.3840097439604686</v>
      </c>
      <c r="AU22" s="26">
        <v>3.4799616401310893E-2</v>
      </c>
      <c r="AV22" s="26">
        <v>1.3048823277706063</v>
      </c>
      <c r="AW22" s="26">
        <v>7.9127416189862215E-2</v>
      </c>
      <c r="AX22" s="26">
        <v>105.21277786950647</v>
      </c>
      <c r="AY22" s="26">
        <v>116.37067064806382</v>
      </c>
      <c r="AZ22" s="26">
        <v>10.713648925651126</v>
      </c>
      <c r="BA22" s="26">
        <v>11.88</v>
      </c>
      <c r="BB22" s="26">
        <v>14.935568360398115</v>
      </c>
      <c r="BC22" s="25">
        <v>0.54854054592548318</v>
      </c>
      <c r="BD22" s="25">
        <v>0.51484480431848856</v>
      </c>
      <c r="BE22" s="26">
        <v>24.574472644069402</v>
      </c>
      <c r="BF22" s="25">
        <v>0.61538461538461542</v>
      </c>
      <c r="BG22" s="25">
        <v>0.19028340080971659</v>
      </c>
      <c r="BH22" s="26">
        <v>1.370070430862685</v>
      </c>
      <c r="BI22" s="26">
        <v>4.9583501307411453</v>
      </c>
      <c r="BJ22" s="26">
        <v>3.024520442016513</v>
      </c>
      <c r="BK22" s="26">
        <v>11.866658614650643</v>
      </c>
      <c r="BL22" s="26">
        <v>1.8120197397231843</v>
      </c>
      <c r="BM22" s="26">
        <v>0.15853754400242562</v>
      </c>
      <c r="BN22" s="26">
        <v>11.368151516489339</v>
      </c>
      <c r="BO22" s="27" t="s">
        <v>189</v>
      </c>
      <c r="BP22" s="28"/>
      <c r="BQ22" s="17" t="s">
        <v>255</v>
      </c>
      <c r="BR22" s="58">
        <v>1049.3599999999999</v>
      </c>
      <c r="BS22" s="58">
        <v>1638.76</v>
      </c>
      <c r="BT22" s="58">
        <v>589.4</v>
      </c>
      <c r="BU22" s="35">
        <f t="shared" si="35"/>
        <v>20.987199999999998</v>
      </c>
      <c r="BV22" s="35">
        <f t="shared" si="30"/>
        <v>32.775199999999998</v>
      </c>
      <c r="BW22" s="35">
        <f t="shared" si="31"/>
        <v>11.788</v>
      </c>
      <c r="BX22" s="36">
        <f t="shared" si="32"/>
        <v>26.385165007857516</v>
      </c>
      <c r="BY22" s="36">
        <f t="shared" si="33"/>
        <v>41.205070717653221</v>
      </c>
      <c r="BZ22" s="36">
        <f t="shared" si="34"/>
        <v>14.819905709795705</v>
      </c>
      <c r="CA22" s="46">
        <v>26</v>
      </c>
      <c r="CB22" s="46">
        <v>24</v>
      </c>
    </row>
    <row r="23" spans="1:80" x14ac:dyDescent="0.4">
      <c r="A23" s="21" t="s">
        <v>231</v>
      </c>
      <c r="B23" s="51" t="s">
        <v>278</v>
      </c>
      <c r="C23" s="51" t="s">
        <v>292</v>
      </c>
      <c r="D23" s="22">
        <v>9</v>
      </c>
      <c r="E23" s="22">
        <v>2</v>
      </c>
      <c r="F23" s="22">
        <v>4</v>
      </c>
      <c r="G23" s="23">
        <v>1116</v>
      </c>
      <c r="H23" s="23">
        <v>3</v>
      </c>
      <c r="I23" s="24">
        <f t="shared" si="6"/>
        <v>0.33333333333333331</v>
      </c>
      <c r="J23" s="22">
        <v>1</v>
      </c>
      <c r="K23" s="22">
        <v>8</v>
      </c>
      <c r="L23" s="24">
        <f t="shared" si="7"/>
        <v>0.1111111111111111</v>
      </c>
      <c r="M23" s="24">
        <f t="shared" si="8"/>
        <v>0.88888888888888884</v>
      </c>
      <c r="N23" s="25">
        <f t="shared" si="9"/>
        <v>0.125</v>
      </c>
      <c r="O23" s="23">
        <v>1</v>
      </c>
      <c r="P23" s="22">
        <v>1</v>
      </c>
      <c r="Q23" s="24">
        <f t="shared" si="10"/>
        <v>0.1111111111111111</v>
      </c>
      <c r="R23" s="24">
        <f t="shared" si="11"/>
        <v>0.1111111111111111</v>
      </c>
      <c r="S23" s="25">
        <f t="shared" si="12"/>
        <v>1</v>
      </c>
      <c r="T23" s="22">
        <v>0</v>
      </c>
      <c r="U23" s="22">
        <v>7</v>
      </c>
      <c r="V23" s="24">
        <f t="shared" si="13"/>
        <v>0</v>
      </c>
      <c r="W23" s="24">
        <f t="shared" si="14"/>
        <v>0.77777777777777779</v>
      </c>
      <c r="X23" s="25">
        <f t="shared" si="15"/>
        <v>0</v>
      </c>
      <c r="Y23" s="22">
        <v>1</v>
      </c>
      <c r="Z23" s="22">
        <v>2</v>
      </c>
      <c r="AA23" s="24">
        <f t="shared" si="16"/>
        <v>0.1111111111111111</v>
      </c>
      <c r="AB23" s="24">
        <f t="shared" si="17"/>
        <v>0.22222222222222221</v>
      </c>
      <c r="AC23" s="25">
        <f t="shared" si="18"/>
        <v>0.5</v>
      </c>
      <c r="AD23" s="22">
        <v>3</v>
      </c>
      <c r="AE23" s="24">
        <f t="shared" si="19"/>
        <v>0.33333333333333331</v>
      </c>
      <c r="AF23" s="22">
        <v>1</v>
      </c>
      <c r="AG23" s="24">
        <f t="shared" si="20"/>
        <v>0.1111111111111111</v>
      </c>
      <c r="AH23" s="22">
        <v>2</v>
      </c>
      <c r="AI23" s="24">
        <f t="shared" si="21"/>
        <v>0.22222222222222221</v>
      </c>
      <c r="AJ23" s="22">
        <v>0</v>
      </c>
      <c r="AK23" s="24">
        <f t="shared" si="22"/>
        <v>0</v>
      </c>
      <c r="AL23" s="22">
        <v>2</v>
      </c>
      <c r="AM23" s="24">
        <f t="shared" si="23"/>
        <v>0.22222222222222221</v>
      </c>
      <c r="AN23" s="41">
        <v>0</v>
      </c>
      <c r="AO23" s="24">
        <f t="shared" si="24"/>
        <v>0</v>
      </c>
      <c r="AP23" s="22">
        <v>1</v>
      </c>
      <c r="AQ23" s="24">
        <f t="shared" si="25"/>
        <v>0.1111111111111111</v>
      </c>
      <c r="AR23" s="22">
        <v>3</v>
      </c>
      <c r="AS23" s="24">
        <f t="shared" si="26"/>
        <v>0.33333333333333331</v>
      </c>
      <c r="AT23" s="26">
        <v>-0.11968792771968917</v>
      </c>
      <c r="AU23" s="26">
        <v>-0.25739339294556807</v>
      </c>
      <c r="AV23" s="26">
        <v>-0.144963722500281</v>
      </c>
      <c r="AW23" s="26">
        <v>2.5275794780591825E-2</v>
      </c>
      <c r="AX23" s="26">
        <v>40.822613575067415</v>
      </c>
      <c r="AY23" s="26">
        <v>104.13893406423902</v>
      </c>
      <c r="AZ23" s="26">
        <v>-1.0073510791268376</v>
      </c>
      <c r="BA23" s="26">
        <v>-0.1111111111111111</v>
      </c>
      <c r="BB23" s="26">
        <v>-2.150537634408602</v>
      </c>
      <c r="BC23" s="25">
        <v>0.16891891891891891</v>
      </c>
      <c r="BD23" s="25">
        <v>0.125</v>
      </c>
      <c r="BE23" s="26">
        <v>4.1255136013896481</v>
      </c>
      <c r="BF23" s="25">
        <v>0.875</v>
      </c>
      <c r="BG23" s="25">
        <v>0.25</v>
      </c>
      <c r="BH23" s="26">
        <v>1.0044026315348946</v>
      </c>
      <c r="BI23" s="26">
        <v>2.0088052630697892</v>
      </c>
      <c r="BJ23" s="26">
        <v>1.4400921658986174</v>
      </c>
      <c r="BK23" s="26">
        <v>0</v>
      </c>
      <c r="BL23" s="26">
        <v>5.8482885019469109</v>
      </c>
      <c r="BM23" s="26">
        <v>0</v>
      </c>
      <c r="BN23" s="26">
        <v>10.121457489878543</v>
      </c>
      <c r="BO23" s="27" t="s">
        <v>189</v>
      </c>
      <c r="BP23" s="28"/>
      <c r="BQ23" s="17" t="s">
        <v>255</v>
      </c>
      <c r="BR23" s="58">
        <v>4.54</v>
      </c>
      <c r="BS23" s="58">
        <v>13.14</v>
      </c>
      <c r="BT23" s="58">
        <v>8.6</v>
      </c>
      <c r="BU23" s="35">
        <f t="shared" si="35"/>
        <v>0.50444444444444447</v>
      </c>
      <c r="BV23" s="35">
        <f t="shared" si="30"/>
        <v>1.46</v>
      </c>
      <c r="BW23" s="35">
        <f t="shared" si="31"/>
        <v>0.95555555555555549</v>
      </c>
      <c r="BX23" s="36">
        <f t="shared" si="32"/>
        <v>9.7634408602150522</v>
      </c>
      <c r="BY23" s="36">
        <f t="shared" si="33"/>
        <v>28.258064516129032</v>
      </c>
      <c r="BZ23" s="36">
        <f t="shared" si="34"/>
        <v>18.49462365591398</v>
      </c>
      <c r="CA23" s="46">
        <v>5</v>
      </c>
      <c r="CB23" s="46">
        <v>4</v>
      </c>
    </row>
    <row r="24" spans="1:80" x14ac:dyDescent="0.4">
      <c r="A24" s="21" t="s">
        <v>231</v>
      </c>
      <c r="B24" s="17" t="s">
        <v>247</v>
      </c>
      <c r="C24" s="20" t="s">
        <v>215</v>
      </c>
      <c r="D24" s="16">
        <v>23</v>
      </c>
      <c r="E24" s="16">
        <v>15</v>
      </c>
      <c r="F24" s="16">
        <v>33</v>
      </c>
      <c r="G24" s="23">
        <v>21459</v>
      </c>
      <c r="H24" s="23">
        <v>221</v>
      </c>
      <c r="I24" s="24">
        <f t="shared" si="6"/>
        <v>9.6086956521739122</v>
      </c>
      <c r="J24" s="22">
        <v>72</v>
      </c>
      <c r="K24" s="22">
        <v>188</v>
      </c>
      <c r="L24" s="24">
        <f t="shared" si="7"/>
        <v>3.1304347826086958</v>
      </c>
      <c r="M24" s="24">
        <f t="shared" si="8"/>
        <v>8.1739130434782616</v>
      </c>
      <c r="N24" s="25">
        <f t="shared" si="9"/>
        <v>0.38297872340425532</v>
      </c>
      <c r="O24" s="23">
        <v>36</v>
      </c>
      <c r="P24" s="22">
        <v>90</v>
      </c>
      <c r="Q24" s="24">
        <f t="shared" si="10"/>
        <v>1.5652173913043479</v>
      </c>
      <c r="R24" s="24">
        <f t="shared" si="11"/>
        <v>3.9130434782608696</v>
      </c>
      <c r="S24" s="25">
        <f t="shared" si="12"/>
        <v>0.4</v>
      </c>
      <c r="T24" s="22">
        <v>36</v>
      </c>
      <c r="U24" s="22">
        <v>98</v>
      </c>
      <c r="V24" s="24">
        <f t="shared" si="13"/>
        <v>1.5652173913043479</v>
      </c>
      <c r="W24" s="24">
        <f t="shared" si="14"/>
        <v>4.2608695652173916</v>
      </c>
      <c r="X24" s="25">
        <f t="shared" si="15"/>
        <v>0.36734693877551022</v>
      </c>
      <c r="Y24" s="15">
        <v>41</v>
      </c>
      <c r="Z24" s="15">
        <v>51</v>
      </c>
      <c r="AA24" s="24">
        <f t="shared" si="16"/>
        <v>1.7826086956521738</v>
      </c>
      <c r="AB24" s="24">
        <f t="shared" si="17"/>
        <v>2.2173913043478262</v>
      </c>
      <c r="AC24" s="25">
        <f t="shared" si="18"/>
        <v>0.80392156862745101</v>
      </c>
      <c r="AD24" s="22">
        <v>80</v>
      </c>
      <c r="AE24" s="24">
        <f t="shared" si="19"/>
        <v>3.4782608695652173</v>
      </c>
      <c r="AF24" s="22">
        <v>22</v>
      </c>
      <c r="AG24" s="24">
        <f t="shared" si="20"/>
        <v>0.95652173913043481</v>
      </c>
      <c r="AH24" s="22">
        <v>58</v>
      </c>
      <c r="AI24" s="24">
        <f t="shared" si="21"/>
        <v>2.5217391304347827</v>
      </c>
      <c r="AJ24" s="22">
        <v>25</v>
      </c>
      <c r="AK24" s="24">
        <f t="shared" si="22"/>
        <v>1.0869565217391304</v>
      </c>
      <c r="AL24" s="13">
        <v>9</v>
      </c>
      <c r="AM24" s="24">
        <f t="shared" si="23"/>
        <v>0.39130434782608697</v>
      </c>
      <c r="AN24" s="12">
        <v>11</v>
      </c>
      <c r="AO24" s="24">
        <f t="shared" si="24"/>
        <v>0.47826086956521741</v>
      </c>
      <c r="AP24" s="22">
        <v>20</v>
      </c>
      <c r="AQ24" s="24">
        <f t="shared" si="25"/>
        <v>0.86956521739130432</v>
      </c>
      <c r="AR24" s="22">
        <v>46</v>
      </c>
      <c r="AS24" s="24">
        <f t="shared" si="26"/>
        <v>2</v>
      </c>
      <c r="AT24" s="26">
        <v>0.65996405388408963</v>
      </c>
      <c r="AU24" s="26">
        <v>7.3811162184715756E-2</v>
      </c>
      <c r="AV24" s="26">
        <v>0.41033463532493086</v>
      </c>
      <c r="AW24" s="26">
        <v>0.24962941855915874</v>
      </c>
      <c r="AX24" s="26">
        <v>106.50657599705073</v>
      </c>
      <c r="AY24" s="26">
        <v>110.31418142694213</v>
      </c>
      <c r="AZ24" s="26">
        <v>5.6894989657584318</v>
      </c>
      <c r="BA24" s="26">
        <v>8.695652173913043</v>
      </c>
      <c r="BB24" s="26">
        <v>22.368237103313295</v>
      </c>
      <c r="BC24" s="25">
        <v>0.52509028701767724</v>
      </c>
      <c r="BD24" s="25">
        <v>0.47872340425531917</v>
      </c>
      <c r="BE24" s="26">
        <v>12.788481709097004</v>
      </c>
      <c r="BF24" s="25">
        <v>0.52127659574468088</v>
      </c>
      <c r="BG24" s="25">
        <v>0.27127659574468083</v>
      </c>
      <c r="BH24" s="26">
        <v>2.9367742538340758</v>
      </c>
      <c r="BI24" s="26">
        <v>7.742404851017108</v>
      </c>
      <c r="BJ24" s="26">
        <v>5.1038636247639459</v>
      </c>
      <c r="BK24" s="26">
        <v>4.0836327997386483</v>
      </c>
      <c r="BL24" s="26">
        <v>1.3686613941366044</v>
      </c>
      <c r="BM24" s="26">
        <v>1.1893997450900089</v>
      </c>
      <c r="BN24" s="26">
        <v>8.6790487762541222</v>
      </c>
      <c r="BO24" s="27" t="s">
        <v>232</v>
      </c>
      <c r="BP24" s="28"/>
      <c r="BQ24" s="17" t="s">
        <v>253</v>
      </c>
      <c r="BR24" s="58"/>
      <c r="BS24" s="58"/>
      <c r="BT24" s="58"/>
      <c r="CA24" s="54">
        <v>12</v>
      </c>
      <c r="CB24" s="54">
        <v>11</v>
      </c>
    </row>
    <row r="25" spans="1:80" x14ac:dyDescent="0.4">
      <c r="A25" s="21" t="s">
        <v>231</v>
      </c>
      <c r="B25" s="17" t="s">
        <v>247</v>
      </c>
      <c r="C25" s="17" t="s">
        <v>120</v>
      </c>
      <c r="D25" s="22">
        <v>3</v>
      </c>
      <c r="E25" s="22">
        <v>8</v>
      </c>
      <c r="F25" s="22">
        <v>23</v>
      </c>
      <c r="G25" s="23">
        <v>1509</v>
      </c>
      <c r="H25" s="23">
        <v>5</v>
      </c>
      <c r="I25" s="24">
        <f t="shared" si="6"/>
        <v>1.6666666666666667</v>
      </c>
      <c r="J25" s="22">
        <v>2</v>
      </c>
      <c r="K25" s="22">
        <v>4</v>
      </c>
      <c r="L25" s="24">
        <f t="shared" si="7"/>
        <v>0.66666666666666663</v>
      </c>
      <c r="M25" s="24">
        <f t="shared" si="8"/>
        <v>1.3333333333333333</v>
      </c>
      <c r="N25" s="25">
        <f t="shared" si="9"/>
        <v>0.5</v>
      </c>
      <c r="O25" s="23">
        <v>2</v>
      </c>
      <c r="P25" s="22">
        <v>4</v>
      </c>
      <c r="Q25" s="24">
        <f t="shared" si="10"/>
        <v>0.66666666666666663</v>
      </c>
      <c r="R25" s="24">
        <f t="shared" si="11"/>
        <v>1.3333333333333333</v>
      </c>
      <c r="S25" s="25">
        <f t="shared" si="12"/>
        <v>0.5</v>
      </c>
      <c r="T25" s="22">
        <v>0</v>
      </c>
      <c r="U25" s="22">
        <v>0</v>
      </c>
      <c r="V25" s="24">
        <f t="shared" si="13"/>
        <v>0</v>
      </c>
      <c r="W25" s="24">
        <f t="shared" si="14"/>
        <v>0</v>
      </c>
      <c r="X25" s="25" t="e">
        <f t="shared" si="15"/>
        <v>#DIV/0!</v>
      </c>
      <c r="Y25" s="22">
        <v>1</v>
      </c>
      <c r="Z25" s="22">
        <v>2</v>
      </c>
      <c r="AA25" s="24">
        <f t="shared" si="16"/>
        <v>0.33333333333333331</v>
      </c>
      <c r="AB25" s="24">
        <f t="shared" si="17"/>
        <v>0.66666666666666663</v>
      </c>
      <c r="AC25" s="25">
        <f t="shared" si="18"/>
        <v>0.5</v>
      </c>
      <c r="AD25" s="22">
        <v>3</v>
      </c>
      <c r="AE25" s="24">
        <f t="shared" si="19"/>
        <v>1</v>
      </c>
      <c r="AF25" s="22">
        <v>1</v>
      </c>
      <c r="AG25" s="24">
        <f t="shared" si="20"/>
        <v>0.33333333333333331</v>
      </c>
      <c r="AH25" s="22">
        <v>2</v>
      </c>
      <c r="AI25" s="24">
        <f t="shared" si="21"/>
        <v>0.66666666666666663</v>
      </c>
      <c r="AJ25" s="22">
        <v>0</v>
      </c>
      <c r="AK25" s="24">
        <f t="shared" si="22"/>
        <v>0</v>
      </c>
      <c r="AL25" s="22">
        <v>0</v>
      </c>
      <c r="AM25" s="24">
        <f t="shared" si="23"/>
        <v>0</v>
      </c>
      <c r="AN25" s="10">
        <v>1</v>
      </c>
      <c r="AO25" s="24">
        <f t="shared" si="24"/>
        <v>0.33333333333333331</v>
      </c>
      <c r="AP25" s="22">
        <v>1</v>
      </c>
      <c r="AQ25" s="24">
        <f t="shared" si="25"/>
        <v>0.33333333333333331</v>
      </c>
      <c r="AR25" s="22">
        <v>3</v>
      </c>
      <c r="AS25" s="24">
        <f t="shared" si="26"/>
        <v>1</v>
      </c>
      <c r="AT25" s="26">
        <v>-1.2061977139531811E-2</v>
      </c>
      <c r="AU25" s="26">
        <v>-1.9184059068837873E-2</v>
      </c>
      <c r="AV25" s="26">
        <v>-1.196816266588268E-2</v>
      </c>
      <c r="AW25" s="26">
        <v>-9.3814473649131506E-5</v>
      </c>
      <c r="AX25" s="26">
        <v>91.76501663900973</v>
      </c>
      <c r="AY25" s="26">
        <v>116.8702440070501</v>
      </c>
      <c r="AZ25" s="26">
        <v>0.12431895346849274</v>
      </c>
      <c r="BA25" s="26">
        <v>1.6666666666666667</v>
      </c>
      <c r="BB25" s="26">
        <v>7.9522862823061633</v>
      </c>
      <c r="BC25" s="25">
        <v>0.51229508196721307</v>
      </c>
      <c r="BD25" s="25">
        <v>0.5</v>
      </c>
      <c r="BE25" s="26">
        <v>0.60527411986486324</v>
      </c>
      <c r="BF25" s="25">
        <v>0</v>
      </c>
      <c r="BG25" s="25">
        <v>0.5</v>
      </c>
      <c r="BH25" s="26">
        <v>0.24760621532868179</v>
      </c>
      <c r="BI25" s="26">
        <v>0.49521243065736359</v>
      </c>
      <c r="BJ25" s="26">
        <v>0.35501278046009654</v>
      </c>
      <c r="BK25" s="26">
        <v>0</v>
      </c>
      <c r="BL25" s="26">
        <v>0</v>
      </c>
      <c r="BM25" s="26">
        <v>0.20056207521579228</v>
      </c>
      <c r="BN25" s="26">
        <v>17.006802721088437</v>
      </c>
      <c r="BO25" s="27" t="s">
        <v>189</v>
      </c>
      <c r="BP25" s="28"/>
      <c r="BQ25" s="17" t="s">
        <v>253</v>
      </c>
      <c r="BR25" s="58">
        <v>11.49</v>
      </c>
      <c r="BS25" s="58">
        <v>15.79</v>
      </c>
      <c r="BT25" s="58">
        <v>4.3</v>
      </c>
      <c r="BU25" s="35">
        <f t="shared" si="35"/>
        <v>3.8299999999999992</v>
      </c>
      <c r="BV25" s="35">
        <f t="shared" si="30"/>
        <v>5.2633333333333328</v>
      </c>
      <c r="BW25" s="35">
        <f t="shared" si="31"/>
        <v>1.4333333333333333</v>
      </c>
      <c r="BX25" s="36">
        <f t="shared" si="32"/>
        <v>18.274353876739561</v>
      </c>
      <c r="BY25" s="36">
        <f t="shared" si="33"/>
        <v>25.113320079522861</v>
      </c>
      <c r="BZ25" s="36">
        <f t="shared" si="34"/>
        <v>6.8389662027833005</v>
      </c>
      <c r="CA25" s="46">
        <v>2</v>
      </c>
      <c r="CB25" s="46">
        <v>1</v>
      </c>
    </row>
    <row r="26" spans="1:80" x14ac:dyDescent="0.4">
      <c r="A26" s="21" t="s">
        <v>231</v>
      </c>
      <c r="B26" s="17" t="s">
        <v>247</v>
      </c>
      <c r="C26" s="17" t="s">
        <v>216</v>
      </c>
      <c r="D26" s="22">
        <v>50</v>
      </c>
      <c r="E26" s="22">
        <v>15</v>
      </c>
      <c r="F26" s="22">
        <v>18</v>
      </c>
      <c r="G26" s="23">
        <v>45900</v>
      </c>
      <c r="H26" s="23">
        <v>206</v>
      </c>
      <c r="I26" s="24">
        <f t="shared" si="6"/>
        <v>4.12</v>
      </c>
      <c r="J26" s="22">
        <v>74</v>
      </c>
      <c r="K26" s="22">
        <v>196</v>
      </c>
      <c r="L26" s="24">
        <f t="shared" si="7"/>
        <v>1.48</v>
      </c>
      <c r="M26" s="24">
        <f t="shared" si="8"/>
        <v>3.92</v>
      </c>
      <c r="N26" s="25">
        <f t="shared" si="9"/>
        <v>0.37755102040816324</v>
      </c>
      <c r="O26" s="23">
        <v>27</v>
      </c>
      <c r="P26" s="22">
        <v>43</v>
      </c>
      <c r="Q26" s="24">
        <f t="shared" si="10"/>
        <v>0.54</v>
      </c>
      <c r="R26" s="24">
        <f t="shared" si="11"/>
        <v>0.86</v>
      </c>
      <c r="S26" s="25">
        <f t="shared" si="12"/>
        <v>0.62790697674418605</v>
      </c>
      <c r="T26" s="22">
        <v>47</v>
      </c>
      <c r="U26" s="22">
        <v>153</v>
      </c>
      <c r="V26" s="24">
        <f t="shared" si="13"/>
        <v>0.94</v>
      </c>
      <c r="W26" s="24">
        <f t="shared" si="14"/>
        <v>3.06</v>
      </c>
      <c r="X26" s="25">
        <f t="shared" si="15"/>
        <v>0.30718954248366015</v>
      </c>
      <c r="Y26" s="22">
        <v>11</v>
      </c>
      <c r="Z26" s="22">
        <v>19</v>
      </c>
      <c r="AA26" s="24">
        <f t="shared" si="16"/>
        <v>0.22</v>
      </c>
      <c r="AB26" s="24">
        <f t="shared" si="17"/>
        <v>0.38</v>
      </c>
      <c r="AC26" s="25">
        <f t="shared" si="18"/>
        <v>0.57894736842105265</v>
      </c>
      <c r="AD26" s="22">
        <v>114</v>
      </c>
      <c r="AE26" s="24">
        <f t="shared" si="19"/>
        <v>2.2799999999999998</v>
      </c>
      <c r="AF26" s="22">
        <v>42</v>
      </c>
      <c r="AG26" s="24">
        <f t="shared" si="20"/>
        <v>0.84</v>
      </c>
      <c r="AH26" s="22">
        <v>72</v>
      </c>
      <c r="AI26" s="24">
        <f t="shared" si="21"/>
        <v>1.44</v>
      </c>
      <c r="AJ26" s="22">
        <v>20</v>
      </c>
      <c r="AK26" s="24">
        <f t="shared" si="22"/>
        <v>0.4</v>
      </c>
      <c r="AL26" s="22">
        <v>29</v>
      </c>
      <c r="AM26" s="24">
        <f t="shared" si="23"/>
        <v>0.57999999999999996</v>
      </c>
      <c r="AN26" s="10">
        <v>9</v>
      </c>
      <c r="AO26" s="24">
        <f t="shared" si="24"/>
        <v>0.18</v>
      </c>
      <c r="AP26" s="22">
        <v>15</v>
      </c>
      <c r="AQ26" s="24">
        <f t="shared" si="25"/>
        <v>0.3</v>
      </c>
      <c r="AR26" s="22">
        <v>76</v>
      </c>
      <c r="AS26" s="24">
        <f t="shared" si="26"/>
        <v>1.52</v>
      </c>
      <c r="AT26" s="26">
        <v>0.73133041449170144</v>
      </c>
      <c r="AU26" s="26">
        <v>3.823949879695171E-2</v>
      </c>
      <c r="AV26" s="26">
        <v>0.41379010151148393</v>
      </c>
      <c r="AW26" s="26">
        <v>0.31754031298021757</v>
      </c>
      <c r="AX26" s="26">
        <v>106.78306749428835</v>
      </c>
      <c r="AY26" s="26">
        <v>112.95721074786375</v>
      </c>
      <c r="AZ26" s="26">
        <v>6.3908736973865468</v>
      </c>
      <c r="BA26" s="26">
        <v>4.66</v>
      </c>
      <c r="BB26" s="26">
        <v>12.183006535947712</v>
      </c>
      <c r="BC26" s="25">
        <v>0.50401252691329024</v>
      </c>
      <c r="BD26" s="25">
        <v>0.49744897959183676</v>
      </c>
      <c r="BE26" s="26">
        <v>12.372501641319284</v>
      </c>
      <c r="BF26" s="25">
        <v>0.78061224489795922</v>
      </c>
      <c r="BG26" s="25">
        <v>9.6938775510204078E-2</v>
      </c>
      <c r="BH26" s="26">
        <v>5.6981796351129965</v>
      </c>
      <c r="BI26" s="26">
        <v>9.7683079459079956</v>
      </c>
      <c r="BJ26" s="26">
        <v>7.3918456271397446</v>
      </c>
      <c r="BK26" s="26">
        <v>3.3377837116154869</v>
      </c>
      <c r="BL26" s="26">
        <v>2.0618083777452054</v>
      </c>
      <c r="BM26" s="26">
        <v>0.98904631209356364</v>
      </c>
      <c r="BN26" s="26">
        <v>6.8380743982494527</v>
      </c>
      <c r="BO26" s="27" t="s">
        <v>189</v>
      </c>
      <c r="BP26" s="27"/>
      <c r="BQ26" s="17" t="s">
        <v>254</v>
      </c>
      <c r="BR26" s="57">
        <v>464.42</v>
      </c>
      <c r="BS26" s="57">
        <v>604.72</v>
      </c>
      <c r="BT26" s="57">
        <v>140.30000000000001</v>
      </c>
      <c r="BU26" s="35">
        <f t="shared" si="35"/>
        <v>9.2883999999999993</v>
      </c>
      <c r="BV26" s="35">
        <f t="shared" si="30"/>
        <v>12.0944</v>
      </c>
      <c r="BW26" s="35">
        <f t="shared" si="31"/>
        <v>2.806</v>
      </c>
      <c r="BX26" s="36">
        <f t="shared" si="32"/>
        <v>24.283398692810458</v>
      </c>
      <c r="BY26" s="36">
        <f t="shared" si="33"/>
        <v>31.619346405228757</v>
      </c>
      <c r="BZ26" s="36">
        <f t="shared" si="34"/>
        <v>7.3359477124183003</v>
      </c>
      <c r="CA26" s="47">
        <v>25</v>
      </c>
      <c r="CB26" s="47">
        <v>25</v>
      </c>
    </row>
    <row r="27" spans="1:80" x14ac:dyDescent="0.4">
      <c r="A27" s="21" t="s">
        <v>231</v>
      </c>
      <c r="B27" s="17" t="s">
        <v>247</v>
      </c>
      <c r="C27" s="17" t="s">
        <v>113</v>
      </c>
      <c r="D27" s="22">
        <v>46</v>
      </c>
      <c r="E27" s="22">
        <v>18</v>
      </c>
      <c r="F27" s="22">
        <v>50</v>
      </c>
      <c r="G27" s="23">
        <v>51980</v>
      </c>
      <c r="H27" s="23">
        <v>251</v>
      </c>
      <c r="I27" s="24">
        <f t="shared" si="6"/>
        <v>5.4565217391304346</v>
      </c>
      <c r="J27" s="22">
        <v>82</v>
      </c>
      <c r="K27" s="22">
        <v>234</v>
      </c>
      <c r="L27" s="24">
        <f t="shared" si="7"/>
        <v>1.7826086956521738</v>
      </c>
      <c r="M27" s="24">
        <f t="shared" si="8"/>
        <v>5.0869565217391308</v>
      </c>
      <c r="N27" s="25">
        <f t="shared" si="9"/>
        <v>0.3504273504273504</v>
      </c>
      <c r="O27" s="23">
        <v>26</v>
      </c>
      <c r="P27" s="22">
        <v>62</v>
      </c>
      <c r="Q27" s="24">
        <f t="shared" si="10"/>
        <v>0.56521739130434778</v>
      </c>
      <c r="R27" s="24">
        <f t="shared" si="11"/>
        <v>1.3478260869565217</v>
      </c>
      <c r="S27" s="25">
        <f t="shared" si="12"/>
        <v>0.41935483870967744</v>
      </c>
      <c r="T27" s="22">
        <v>56</v>
      </c>
      <c r="U27" s="22">
        <v>172</v>
      </c>
      <c r="V27" s="24">
        <f t="shared" si="13"/>
        <v>1.2173913043478262</v>
      </c>
      <c r="W27" s="24">
        <f t="shared" si="14"/>
        <v>3.7391304347826089</v>
      </c>
      <c r="X27" s="25">
        <f t="shared" si="15"/>
        <v>0.32558139534883723</v>
      </c>
      <c r="Y27" s="22">
        <v>31</v>
      </c>
      <c r="Z27" s="22">
        <v>43</v>
      </c>
      <c r="AA27" s="24">
        <f t="shared" si="16"/>
        <v>0.67391304347826086</v>
      </c>
      <c r="AB27" s="24">
        <f t="shared" si="17"/>
        <v>0.93478260869565222</v>
      </c>
      <c r="AC27" s="25">
        <f t="shared" si="18"/>
        <v>0.72093023255813948</v>
      </c>
      <c r="AD27" s="22">
        <v>141</v>
      </c>
      <c r="AE27" s="24">
        <f t="shared" si="19"/>
        <v>3.0652173913043477</v>
      </c>
      <c r="AF27" s="22">
        <v>53</v>
      </c>
      <c r="AG27" s="24">
        <f t="shared" si="20"/>
        <v>1.1521739130434783</v>
      </c>
      <c r="AH27" s="22">
        <v>88</v>
      </c>
      <c r="AI27" s="24">
        <f t="shared" si="21"/>
        <v>1.9130434782608696</v>
      </c>
      <c r="AJ27" s="22">
        <v>28</v>
      </c>
      <c r="AK27" s="24">
        <f t="shared" si="22"/>
        <v>0.60869565217391308</v>
      </c>
      <c r="AL27" s="22">
        <v>20</v>
      </c>
      <c r="AM27" s="24">
        <f t="shared" si="23"/>
        <v>0.43478260869565216</v>
      </c>
      <c r="AN27" s="10">
        <v>6</v>
      </c>
      <c r="AO27" s="24">
        <f t="shared" si="24"/>
        <v>0.13043478260869565</v>
      </c>
      <c r="AP27" s="22">
        <v>15</v>
      </c>
      <c r="AQ27" s="24">
        <f t="shared" si="25"/>
        <v>0.32608695652173914</v>
      </c>
      <c r="AR27" s="22">
        <v>100</v>
      </c>
      <c r="AS27" s="24">
        <f t="shared" si="26"/>
        <v>2.1739130434782608</v>
      </c>
      <c r="AT27" s="26">
        <v>0.87326464635072509</v>
      </c>
      <c r="AU27" s="26">
        <v>4.0320029843050019E-2</v>
      </c>
      <c r="AV27" s="26">
        <v>0.66667715442605691</v>
      </c>
      <c r="AW27" s="26">
        <v>0.20658749192466816</v>
      </c>
      <c r="AX27" s="26">
        <v>109.02727777225094</v>
      </c>
      <c r="AY27" s="26">
        <v>114.60742049113007</v>
      </c>
      <c r="AZ27" s="26">
        <v>5.3858318865364483</v>
      </c>
      <c r="BA27" s="26">
        <v>5.8043478260869561</v>
      </c>
      <c r="BB27" s="26">
        <v>12.327818391689112</v>
      </c>
      <c r="BC27" s="25">
        <v>0.49620433338605091</v>
      </c>
      <c r="BD27" s="25">
        <v>0.47008547008547008</v>
      </c>
      <c r="BE27" s="26">
        <v>12.276355460790993</v>
      </c>
      <c r="BF27" s="25">
        <v>0.7350427350427351</v>
      </c>
      <c r="BG27" s="25">
        <v>0.18376068376068377</v>
      </c>
      <c r="BH27" s="26">
        <v>5.8415345968560421</v>
      </c>
      <c r="BI27" s="26">
        <v>9.6991517834590883</v>
      </c>
      <c r="BJ27" s="26">
        <v>7.4273072060682681</v>
      </c>
      <c r="BK27" s="26">
        <v>3.75</v>
      </c>
      <c r="BL27" s="26">
        <v>1.2556156152698639</v>
      </c>
      <c r="BM27" s="26">
        <v>0.53566048053208948</v>
      </c>
      <c r="BN27" s="26">
        <v>5.5986861749776047</v>
      </c>
      <c r="BO27" s="27" t="s">
        <v>189</v>
      </c>
      <c r="BP27" s="28"/>
      <c r="BQ27" s="17" t="s">
        <v>254</v>
      </c>
      <c r="BR27" s="57">
        <v>545.66999999999996</v>
      </c>
      <c r="BS27" s="57">
        <v>718.17</v>
      </c>
      <c r="BT27" s="57">
        <v>172.5</v>
      </c>
      <c r="BU27" s="35">
        <f t="shared" si="35"/>
        <v>11.862391304347826</v>
      </c>
      <c r="BV27" s="35">
        <f t="shared" si="30"/>
        <v>15.612391304347826</v>
      </c>
      <c r="BW27" s="35">
        <f t="shared" si="31"/>
        <v>3.75</v>
      </c>
      <c r="BX27" s="36">
        <f t="shared" si="32"/>
        <v>25.194459407464407</v>
      </c>
      <c r="BY27" s="36">
        <f t="shared" si="33"/>
        <v>33.159061177375911</v>
      </c>
      <c r="BZ27" s="36">
        <f t="shared" si="34"/>
        <v>7.9646017699115044</v>
      </c>
      <c r="CA27" s="47">
        <v>24</v>
      </c>
      <c r="CB27" s="47">
        <v>22</v>
      </c>
    </row>
    <row r="28" spans="1:80" x14ac:dyDescent="0.4">
      <c r="A28" s="21" t="s">
        <v>231</v>
      </c>
      <c r="B28" s="17" t="s">
        <v>247</v>
      </c>
      <c r="C28" s="17" t="s">
        <v>116</v>
      </c>
      <c r="D28" s="22">
        <v>31</v>
      </c>
      <c r="E28" s="22">
        <v>22</v>
      </c>
      <c r="F28" s="22">
        <v>26</v>
      </c>
      <c r="G28" s="23">
        <v>41726</v>
      </c>
      <c r="H28" s="23">
        <v>169</v>
      </c>
      <c r="I28" s="24">
        <f t="shared" si="6"/>
        <v>5.4516129032258061</v>
      </c>
      <c r="J28" s="22">
        <v>59</v>
      </c>
      <c r="K28" s="22">
        <v>155</v>
      </c>
      <c r="L28" s="24">
        <f t="shared" si="7"/>
        <v>1.903225806451613</v>
      </c>
      <c r="M28" s="24">
        <f t="shared" si="8"/>
        <v>5</v>
      </c>
      <c r="N28" s="25">
        <f t="shared" si="9"/>
        <v>0.38064516129032255</v>
      </c>
      <c r="O28" s="23">
        <v>26</v>
      </c>
      <c r="P28" s="22">
        <v>44</v>
      </c>
      <c r="Q28" s="24">
        <f t="shared" si="10"/>
        <v>0.83870967741935487</v>
      </c>
      <c r="R28" s="24">
        <f t="shared" si="11"/>
        <v>1.4193548387096775</v>
      </c>
      <c r="S28" s="25">
        <f t="shared" si="12"/>
        <v>0.59090909090909094</v>
      </c>
      <c r="T28" s="22">
        <v>33</v>
      </c>
      <c r="U28" s="22">
        <v>111</v>
      </c>
      <c r="V28" s="24">
        <f t="shared" si="13"/>
        <v>1.064516129032258</v>
      </c>
      <c r="W28" s="24">
        <f t="shared" si="14"/>
        <v>3.5806451612903225</v>
      </c>
      <c r="X28" s="25">
        <f t="shared" si="15"/>
        <v>0.29729729729729731</v>
      </c>
      <c r="Y28" s="22">
        <v>18</v>
      </c>
      <c r="Z28" s="22">
        <v>22</v>
      </c>
      <c r="AA28" s="24">
        <f t="shared" si="16"/>
        <v>0.58064516129032262</v>
      </c>
      <c r="AB28" s="24">
        <f t="shared" si="17"/>
        <v>0.70967741935483875</v>
      </c>
      <c r="AC28" s="25">
        <f t="shared" si="18"/>
        <v>0.81818181818181823</v>
      </c>
      <c r="AD28" s="22">
        <v>54</v>
      </c>
      <c r="AE28" s="24">
        <f t="shared" si="19"/>
        <v>1.7419354838709677</v>
      </c>
      <c r="AF28" s="22">
        <v>18</v>
      </c>
      <c r="AG28" s="24">
        <f t="shared" si="20"/>
        <v>0.58064516129032262</v>
      </c>
      <c r="AH28" s="22">
        <v>36</v>
      </c>
      <c r="AI28" s="24">
        <f t="shared" si="21"/>
        <v>1.1612903225806452</v>
      </c>
      <c r="AJ28" s="22">
        <v>88</v>
      </c>
      <c r="AK28" s="24">
        <f t="shared" si="22"/>
        <v>2.838709677419355</v>
      </c>
      <c r="AL28" s="22">
        <v>22</v>
      </c>
      <c r="AM28" s="24">
        <f t="shared" si="23"/>
        <v>0.70967741935483875</v>
      </c>
      <c r="AN28" s="10">
        <v>2</v>
      </c>
      <c r="AO28" s="24">
        <f t="shared" si="24"/>
        <v>6.4516129032258063E-2</v>
      </c>
      <c r="AP28" s="22">
        <v>33</v>
      </c>
      <c r="AQ28" s="24">
        <f t="shared" si="25"/>
        <v>1.064516129032258</v>
      </c>
      <c r="AR28" s="22">
        <v>57</v>
      </c>
      <c r="AS28" s="24">
        <f t="shared" si="26"/>
        <v>1.8387096774193548</v>
      </c>
      <c r="AT28" s="26">
        <v>0.49577657174796097</v>
      </c>
      <c r="AU28" s="26">
        <v>2.8516123572715008E-2</v>
      </c>
      <c r="AV28" s="26">
        <v>0.44858542424130876</v>
      </c>
      <c r="AW28" s="26">
        <v>4.7191147506652237E-2</v>
      </c>
      <c r="AX28" s="26">
        <v>107.45310316339977</v>
      </c>
      <c r="AY28" s="26">
        <v>116.201382940484</v>
      </c>
      <c r="AZ28" s="26">
        <v>3.7450959982023009</v>
      </c>
      <c r="BA28" s="26">
        <v>6.5161290322580649</v>
      </c>
      <c r="BB28" s="26">
        <v>11.618655035229835</v>
      </c>
      <c r="BC28" s="25">
        <v>0.51311634685450569</v>
      </c>
      <c r="BD28" s="25">
        <v>0.48709677419354841</v>
      </c>
      <c r="BE28" s="26">
        <v>7.6043209119850879</v>
      </c>
      <c r="BF28" s="25">
        <v>0.71612903225806457</v>
      </c>
      <c r="BG28" s="25">
        <v>0.14193548387096774</v>
      </c>
      <c r="BH28" s="26">
        <v>1.6655473057844612</v>
      </c>
      <c r="BI28" s="26">
        <v>3.3310946115689224</v>
      </c>
      <c r="BJ28" s="26">
        <v>2.3880280195287624</v>
      </c>
      <c r="BK28" s="26">
        <v>9.482077436965735</v>
      </c>
      <c r="BL28" s="26">
        <v>1.7205960228610526</v>
      </c>
      <c r="BM28" s="26">
        <v>0.14990003541388336</v>
      </c>
      <c r="BN28" s="26">
        <v>16.693646297045731</v>
      </c>
      <c r="BO28" s="27" t="s">
        <v>189</v>
      </c>
      <c r="BP28" s="28"/>
      <c r="BQ28" s="17" t="s">
        <v>253</v>
      </c>
      <c r="BR28" s="57">
        <v>420.94</v>
      </c>
      <c r="BS28" s="57">
        <v>561.84</v>
      </c>
      <c r="BT28" s="57">
        <v>140.9</v>
      </c>
      <c r="BU28" s="35">
        <f t="shared" si="35"/>
        <v>13.578709677419356</v>
      </c>
      <c r="BV28" s="35">
        <f t="shared" si="30"/>
        <v>18.123870967741937</v>
      </c>
      <c r="BW28" s="35">
        <f t="shared" si="31"/>
        <v>4.5451612903225804</v>
      </c>
      <c r="BX28" s="36">
        <f t="shared" si="32"/>
        <v>24.211666586780424</v>
      </c>
      <c r="BY28" s="36">
        <f t="shared" si="33"/>
        <v>32.3159660643244</v>
      </c>
      <c r="BZ28" s="36">
        <f t="shared" si="34"/>
        <v>8.1042994775439769</v>
      </c>
      <c r="CA28" s="47">
        <v>17</v>
      </c>
      <c r="CB28" s="47">
        <v>14</v>
      </c>
    </row>
    <row r="29" spans="1:80" x14ac:dyDescent="0.4">
      <c r="A29" s="21" t="s">
        <v>231</v>
      </c>
      <c r="B29" s="17" t="s">
        <v>247</v>
      </c>
      <c r="C29" s="17" t="s">
        <v>117</v>
      </c>
      <c r="D29" s="22">
        <v>5</v>
      </c>
      <c r="E29" s="22">
        <v>7</v>
      </c>
      <c r="F29" s="22">
        <v>50</v>
      </c>
      <c r="G29" s="23">
        <v>2350</v>
      </c>
      <c r="H29" s="23">
        <v>9</v>
      </c>
      <c r="I29" s="24">
        <f t="shared" si="6"/>
        <v>1.8</v>
      </c>
      <c r="J29" s="22">
        <v>4</v>
      </c>
      <c r="K29" s="22">
        <v>9</v>
      </c>
      <c r="L29" s="24">
        <f t="shared" si="7"/>
        <v>0.8</v>
      </c>
      <c r="M29" s="24">
        <f t="shared" si="8"/>
        <v>1.8</v>
      </c>
      <c r="N29" s="25">
        <f t="shared" si="9"/>
        <v>0.44444444444444442</v>
      </c>
      <c r="O29" s="23">
        <v>3</v>
      </c>
      <c r="P29" s="22">
        <v>4</v>
      </c>
      <c r="Q29" s="24">
        <f t="shared" si="10"/>
        <v>0.6</v>
      </c>
      <c r="R29" s="24">
        <f t="shared" si="11"/>
        <v>0.8</v>
      </c>
      <c r="S29" s="25">
        <f t="shared" si="12"/>
        <v>0.75</v>
      </c>
      <c r="T29" s="22">
        <v>1</v>
      </c>
      <c r="U29" s="22">
        <v>5</v>
      </c>
      <c r="V29" s="24">
        <f t="shared" si="13"/>
        <v>0.2</v>
      </c>
      <c r="W29" s="24">
        <f t="shared" si="14"/>
        <v>1</v>
      </c>
      <c r="X29" s="25">
        <f t="shared" si="15"/>
        <v>0.2</v>
      </c>
      <c r="Y29" s="22">
        <v>0</v>
      </c>
      <c r="Z29" s="22">
        <v>0</v>
      </c>
      <c r="AA29" s="24">
        <f t="shared" si="16"/>
        <v>0</v>
      </c>
      <c r="AB29" s="24">
        <f t="shared" si="17"/>
        <v>0</v>
      </c>
      <c r="AC29" s="25" t="e">
        <f t="shared" si="18"/>
        <v>#DIV/0!</v>
      </c>
      <c r="AD29" s="22">
        <v>3</v>
      </c>
      <c r="AE29" s="24">
        <f t="shared" si="19"/>
        <v>0.6</v>
      </c>
      <c r="AF29" s="22">
        <v>1</v>
      </c>
      <c r="AG29" s="24">
        <f t="shared" si="20"/>
        <v>0.2</v>
      </c>
      <c r="AH29" s="22">
        <v>2</v>
      </c>
      <c r="AI29" s="24">
        <f t="shared" si="21"/>
        <v>0.4</v>
      </c>
      <c r="AJ29" s="22">
        <v>1</v>
      </c>
      <c r="AK29" s="24">
        <f t="shared" si="22"/>
        <v>0.2</v>
      </c>
      <c r="AL29" s="22">
        <v>0</v>
      </c>
      <c r="AM29" s="24">
        <f t="shared" si="23"/>
        <v>0</v>
      </c>
      <c r="AN29" s="10">
        <v>0</v>
      </c>
      <c r="AO29" s="24">
        <f t="shared" si="24"/>
        <v>0</v>
      </c>
      <c r="AP29" s="22">
        <v>1</v>
      </c>
      <c r="AQ29" s="24">
        <f t="shared" si="25"/>
        <v>0.2</v>
      </c>
      <c r="AR29" s="22">
        <v>5</v>
      </c>
      <c r="AS29" s="24">
        <f t="shared" si="26"/>
        <v>1</v>
      </c>
      <c r="AT29" s="26">
        <v>-1.6866279820584081E-2</v>
      </c>
      <c r="AU29" s="26">
        <v>-1.7225136838043317E-2</v>
      </c>
      <c r="AV29" s="26">
        <v>-3.1736666479871582E-3</v>
      </c>
      <c r="AW29" s="26">
        <v>-1.3692613172596924E-2</v>
      </c>
      <c r="AX29" s="26">
        <v>98.277553497103298</v>
      </c>
      <c r="AY29" s="26">
        <v>120.10172530438011</v>
      </c>
      <c r="AZ29" s="26">
        <v>0.17367993541735521</v>
      </c>
      <c r="BA29" s="26">
        <v>1.4</v>
      </c>
      <c r="BB29" s="26">
        <v>7.1489361702127665</v>
      </c>
      <c r="BC29" s="25">
        <v>0.5</v>
      </c>
      <c r="BD29" s="25">
        <v>0.5</v>
      </c>
      <c r="BE29" s="26">
        <v>1.1016532142568614</v>
      </c>
      <c r="BF29" s="25">
        <v>0.55555555555555558</v>
      </c>
      <c r="BG29" s="25">
        <v>0</v>
      </c>
      <c r="BH29" s="26">
        <v>0.26499133257516366</v>
      </c>
      <c r="BI29" s="26">
        <v>0.52998266515032733</v>
      </c>
      <c r="BJ29" s="26">
        <v>0.37993920972644379</v>
      </c>
      <c r="BK29" s="26">
        <v>0.29354207436399216</v>
      </c>
      <c r="BL29" s="26">
        <v>0</v>
      </c>
      <c r="BM29" s="26">
        <v>0</v>
      </c>
      <c r="BN29" s="26">
        <v>10</v>
      </c>
      <c r="BO29" s="27" t="s">
        <v>189</v>
      </c>
      <c r="BP29" s="28"/>
      <c r="BQ29" s="17" t="s">
        <v>253</v>
      </c>
      <c r="BR29" s="57">
        <v>17.7</v>
      </c>
      <c r="BS29" s="57">
        <v>23.8</v>
      </c>
      <c r="BT29" s="57">
        <v>6.1</v>
      </c>
      <c r="BU29" s="35">
        <f t="shared" si="35"/>
        <v>3.54</v>
      </c>
      <c r="BV29" s="35">
        <f t="shared" si="30"/>
        <v>4.76</v>
      </c>
      <c r="BW29" s="35">
        <f t="shared" si="31"/>
        <v>1.22</v>
      </c>
      <c r="BX29" s="36">
        <f t="shared" si="32"/>
        <v>18.076595744680851</v>
      </c>
      <c r="BY29" s="36">
        <f t="shared" si="33"/>
        <v>24.306382978723406</v>
      </c>
      <c r="BZ29" s="36">
        <f t="shared" si="34"/>
        <v>6.2297872340425533</v>
      </c>
      <c r="CA29" s="52">
        <v>2</v>
      </c>
      <c r="CB29" s="52">
        <v>3</v>
      </c>
    </row>
    <row r="30" spans="1:80" x14ac:dyDescent="0.4">
      <c r="A30" s="21" t="s">
        <v>231</v>
      </c>
      <c r="B30" s="17" t="s">
        <v>192</v>
      </c>
      <c r="C30" s="17" t="s">
        <v>222</v>
      </c>
      <c r="D30" s="22">
        <v>27</v>
      </c>
      <c r="E30" s="22">
        <v>21</v>
      </c>
      <c r="F30" s="22">
        <v>38</v>
      </c>
      <c r="G30" s="23">
        <v>35046</v>
      </c>
      <c r="H30" s="23">
        <v>301</v>
      </c>
      <c r="I30" s="24">
        <f t="shared" si="6"/>
        <v>11.148148148148149</v>
      </c>
      <c r="J30" s="22">
        <v>124</v>
      </c>
      <c r="K30" s="22">
        <v>232</v>
      </c>
      <c r="L30" s="24">
        <f t="shared" si="7"/>
        <v>4.5925925925925926</v>
      </c>
      <c r="M30" s="24">
        <f t="shared" si="8"/>
        <v>8.5925925925925934</v>
      </c>
      <c r="N30" s="25">
        <f t="shared" si="9"/>
        <v>0.53448275862068961</v>
      </c>
      <c r="O30" s="23">
        <v>115</v>
      </c>
      <c r="P30" s="22">
        <v>195</v>
      </c>
      <c r="Q30" s="24">
        <f t="shared" si="10"/>
        <v>4.2592592592592595</v>
      </c>
      <c r="R30" s="24">
        <f t="shared" si="11"/>
        <v>7.2222222222222223</v>
      </c>
      <c r="S30" s="25">
        <f t="shared" si="12"/>
        <v>0.58974358974358976</v>
      </c>
      <c r="T30" s="22">
        <v>9</v>
      </c>
      <c r="U30" s="22">
        <v>37</v>
      </c>
      <c r="V30" s="24">
        <f t="shared" si="13"/>
        <v>0.33333333333333331</v>
      </c>
      <c r="W30" s="24">
        <f t="shared" si="14"/>
        <v>1.3703703703703705</v>
      </c>
      <c r="X30" s="25">
        <f t="shared" si="15"/>
        <v>0.24324324324324326</v>
      </c>
      <c r="Y30" s="22">
        <v>44</v>
      </c>
      <c r="Z30" s="22">
        <v>65</v>
      </c>
      <c r="AA30" s="24">
        <f t="shared" si="16"/>
        <v>1.6296296296296295</v>
      </c>
      <c r="AB30" s="24">
        <f t="shared" si="17"/>
        <v>2.4074074074074074</v>
      </c>
      <c r="AC30" s="25">
        <f t="shared" si="18"/>
        <v>0.67692307692307696</v>
      </c>
      <c r="AD30" s="22">
        <v>204</v>
      </c>
      <c r="AE30" s="24">
        <f t="shared" si="19"/>
        <v>7.5555555555555554</v>
      </c>
      <c r="AF30" s="22">
        <v>62</v>
      </c>
      <c r="AG30" s="24">
        <f t="shared" si="20"/>
        <v>2.2962962962962963</v>
      </c>
      <c r="AH30" s="22">
        <v>142</v>
      </c>
      <c r="AI30" s="24">
        <f t="shared" si="21"/>
        <v>5.2592592592592595</v>
      </c>
      <c r="AJ30" s="22">
        <v>58</v>
      </c>
      <c r="AK30" s="24">
        <f t="shared" si="22"/>
        <v>2.1481481481481484</v>
      </c>
      <c r="AL30" s="22">
        <v>21</v>
      </c>
      <c r="AM30" s="24">
        <f t="shared" si="23"/>
        <v>0.77777777777777779</v>
      </c>
      <c r="AN30" s="10">
        <v>12</v>
      </c>
      <c r="AO30" s="24">
        <f t="shared" si="24"/>
        <v>0.44444444444444442</v>
      </c>
      <c r="AP30" s="22">
        <v>47</v>
      </c>
      <c r="AQ30" s="24">
        <f t="shared" si="25"/>
        <v>1.7407407407407407</v>
      </c>
      <c r="AR30" s="22">
        <v>55</v>
      </c>
      <c r="AS30" s="24">
        <f t="shared" si="26"/>
        <v>2.0370370370370372</v>
      </c>
      <c r="AT30" s="26">
        <v>1.4769545990987867</v>
      </c>
      <c r="AU30" s="26">
        <v>0.10114395474054351</v>
      </c>
      <c r="AV30" s="26">
        <v>0.93588598799654255</v>
      </c>
      <c r="AW30" s="26">
        <v>0.54106861110224402</v>
      </c>
      <c r="AX30" s="26">
        <v>111.54839279777711</v>
      </c>
      <c r="AY30" s="26">
        <v>107.81763238096019</v>
      </c>
      <c r="AZ30" s="26">
        <v>7.9042373270004207</v>
      </c>
      <c r="BA30" s="26">
        <v>15.555555555555555</v>
      </c>
      <c r="BB30" s="26">
        <v>28.762198253723675</v>
      </c>
      <c r="BC30" s="25">
        <v>0.57751343054489634</v>
      </c>
      <c r="BD30" s="25">
        <v>0.55387931034482762</v>
      </c>
      <c r="BE30" s="26">
        <v>12.270278003970954</v>
      </c>
      <c r="BF30" s="25">
        <v>0.15948275862068967</v>
      </c>
      <c r="BG30" s="25">
        <v>0.28017241379310343</v>
      </c>
      <c r="BH30" s="26">
        <v>5.949035000955524</v>
      </c>
      <c r="BI30" s="26">
        <v>13.625209195736845</v>
      </c>
      <c r="BJ30" s="26">
        <v>9.355051727933084</v>
      </c>
      <c r="BK30" s="26">
        <v>7.0059590916411647</v>
      </c>
      <c r="BL30" s="26">
        <v>1.9554369875538979</v>
      </c>
      <c r="BM30" s="26">
        <v>0.93266000462443932</v>
      </c>
      <c r="BN30" s="26">
        <v>15.279583875162547</v>
      </c>
      <c r="BO30" s="27" t="s">
        <v>232</v>
      </c>
      <c r="BP30" s="28"/>
      <c r="BQ30" s="17" t="s">
        <v>255</v>
      </c>
      <c r="BR30" s="57">
        <v>609.5</v>
      </c>
      <c r="BS30" s="57">
        <v>802</v>
      </c>
      <c r="BT30" s="57">
        <v>192.5</v>
      </c>
      <c r="BU30" s="35">
        <f t="shared" si="35"/>
        <v>22.574074074074073</v>
      </c>
      <c r="BV30" s="35">
        <f t="shared" si="30"/>
        <v>29.703703703703702</v>
      </c>
      <c r="BW30" s="35">
        <f t="shared" si="31"/>
        <v>7.1296296296296298</v>
      </c>
      <c r="BX30" s="36">
        <f t="shared" si="32"/>
        <v>41.739428180106145</v>
      </c>
      <c r="BY30" s="36">
        <f t="shared" si="33"/>
        <v>54.922102379729502</v>
      </c>
      <c r="BZ30" s="36">
        <f t="shared" si="34"/>
        <v>13.182674199623353</v>
      </c>
      <c r="CA30" s="48">
        <v>7</v>
      </c>
      <c r="CB30" s="48">
        <v>20</v>
      </c>
    </row>
    <row r="31" spans="1:80" x14ac:dyDescent="0.4">
      <c r="A31" s="21" t="s">
        <v>231</v>
      </c>
      <c r="B31" s="17" t="s">
        <v>192</v>
      </c>
      <c r="C31" s="17" t="s">
        <v>223</v>
      </c>
      <c r="D31" s="22">
        <v>51</v>
      </c>
      <c r="E31" s="22">
        <v>24</v>
      </c>
      <c r="F31" s="22">
        <v>17</v>
      </c>
      <c r="G31" s="23">
        <v>74307</v>
      </c>
      <c r="H31" s="23">
        <v>620</v>
      </c>
      <c r="I31" s="24">
        <f t="shared" si="6"/>
        <v>12.156862745098039</v>
      </c>
      <c r="J31" s="22">
        <v>279</v>
      </c>
      <c r="K31" s="22">
        <v>495</v>
      </c>
      <c r="L31" s="24">
        <f t="shared" si="7"/>
        <v>5.4705882352941178</v>
      </c>
      <c r="M31" s="24">
        <f t="shared" si="8"/>
        <v>9.7058823529411757</v>
      </c>
      <c r="N31" s="25">
        <f t="shared" si="9"/>
        <v>0.5636363636363636</v>
      </c>
      <c r="O31" s="23">
        <v>278</v>
      </c>
      <c r="P31" s="22">
        <v>489</v>
      </c>
      <c r="Q31" s="24">
        <f t="shared" si="10"/>
        <v>5.4509803921568629</v>
      </c>
      <c r="R31" s="24">
        <f t="shared" si="11"/>
        <v>9.5882352941176467</v>
      </c>
      <c r="S31" s="25">
        <f t="shared" si="12"/>
        <v>0.56850715746421265</v>
      </c>
      <c r="T31" s="22">
        <v>1</v>
      </c>
      <c r="U31" s="22">
        <v>6</v>
      </c>
      <c r="V31" s="24">
        <f t="shared" si="13"/>
        <v>1.9607843137254902E-2</v>
      </c>
      <c r="W31" s="24">
        <f t="shared" si="14"/>
        <v>0.11764705882352941</v>
      </c>
      <c r="X31" s="25">
        <f t="shared" si="15"/>
        <v>0.16666666666666666</v>
      </c>
      <c r="Y31" s="22">
        <v>61</v>
      </c>
      <c r="Z31" s="22">
        <v>106</v>
      </c>
      <c r="AA31" s="24">
        <f t="shared" si="16"/>
        <v>1.196078431372549</v>
      </c>
      <c r="AB31" s="24">
        <f t="shared" si="17"/>
        <v>2.0784313725490198</v>
      </c>
      <c r="AC31" s="25">
        <f t="shared" si="18"/>
        <v>0.57547169811320753</v>
      </c>
      <c r="AD31" s="22">
        <v>526</v>
      </c>
      <c r="AE31" s="24">
        <f t="shared" si="19"/>
        <v>10.313725490196079</v>
      </c>
      <c r="AF31" s="22">
        <v>147</v>
      </c>
      <c r="AG31" s="24">
        <f t="shared" si="20"/>
        <v>2.8823529411764706</v>
      </c>
      <c r="AH31" s="22">
        <v>379</v>
      </c>
      <c r="AI31" s="24">
        <f t="shared" si="21"/>
        <v>7.4313725490196081</v>
      </c>
      <c r="AJ31" s="22">
        <v>128</v>
      </c>
      <c r="AK31" s="24">
        <f t="shared" si="22"/>
        <v>2.5098039215686274</v>
      </c>
      <c r="AL31" s="22">
        <v>62</v>
      </c>
      <c r="AM31" s="24">
        <f t="shared" si="23"/>
        <v>1.2156862745098038</v>
      </c>
      <c r="AN31" s="10">
        <v>39</v>
      </c>
      <c r="AO31" s="24">
        <f t="shared" si="24"/>
        <v>0.76470588235294112</v>
      </c>
      <c r="AP31" s="22">
        <v>103</v>
      </c>
      <c r="AQ31" s="24">
        <f t="shared" si="25"/>
        <v>2.0196078431372548</v>
      </c>
      <c r="AR31" s="22">
        <v>106</v>
      </c>
      <c r="AS31" s="24">
        <f t="shared" si="26"/>
        <v>2.0784313725490198</v>
      </c>
      <c r="AT31" s="26">
        <v>3.5903107596321719</v>
      </c>
      <c r="AU31" s="26">
        <v>0.11596142790204439</v>
      </c>
      <c r="AV31" s="26">
        <v>1.8138373731643285</v>
      </c>
      <c r="AW31" s="26">
        <v>1.7764733864678435</v>
      </c>
      <c r="AX31" s="26">
        <v>110.48940820501247</v>
      </c>
      <c r="AY31" s="26">
        <v>102.87126609379231</v>
      </c>
      <c r="AZ31" s="26">
        <v>16.947185083761966</v>
      </c>
      <c r="BA31" s="26">
        <v>19.823529411764707</v>
      </c>
      <c r="BB31" s="26">
        <v>32.653720376276794</v>
      </c>
      <c r="BC31" s="25">
        <v>0.57233586884277377</v>
      </c>
      <c r="BD31" s="25">
        <v>0.56464646464646462</v>
      </c>
      <c r="BE31" s="26">
        <v>22.908700904469136</v>
      </c>
      <c r="BF31" s="25">
        <v>1.2121212121212121E-2</v>
      </c>
      <c r="BG31" s="25">
        <v>0.21414141414141413</v>
      </c>
      <c r="BH31" s="26">
        <v>12.565718028564213</v>
      </c>
      <c r="BI31" s="26">
        <v>32.397327434189364</v>
      </c>
      <c r="BJ31" s="26">
        <v>21.489034872699939</v>
      </c>
      <c r="BK31" s="26">
        <v>16.213477453132917</v>
      </c>
      <c r="BL31" s="26">
        <v>2.7228577255622661</v>
      </c>
      <c r="BM31" s="26">
        <v>2.7003611733069297</v>
      </c>
      <c r="BN31" s="26">
        <v>15.977910151402334</v>
      </c>
      <c r="BO31" s="27" t="s">
        <v>232</v>
      </c>
      <c r="BP31" s="28"/>
      <c r="BQ31" s="17" t="s">
        <v>253</v>
      </c>
      <c r="BR31" s="57">
        <v>1416.05</v>
      </c>
      <c r="BS31" s="57">
        <v>1822.05</v>
      </c>
      <c r="BT31" s="57">
        <v>406</v>
      </c>
      <c r="BU31" s="35">
        <f t="shared" si="35"/>
        <v>27.765686274509804</v>
      </c>
      <c r="BV31" s="35">
        <f t="shared" si="30"/>
        <v>35.726470588235294</v>
      </c>
      <c r="BW31" s="35">
        <f t="shared" si="31"/>
        <v>7.9607843137254903</v>
      </c>
      <c r="BX31" s="36">
        <f t="shared" si="32"/>
        <v>45.736202511203516</v>
      </c>
      <c r="BY31" s="36">
        <f t="shared" si="33"/>
        <v>58.849368161815171</v>
      </c>
      <c r="BZ31" s="36">
        <f t="shared" si="34"/>
        <v>13.113165650611652</v>
      </c>
      <c r="CA31" s="50">
        <v>17</v>
      </c>
      <c r="CB31" s="50">
        <v>34</v>
      </c>
    </row>
    <row r="32" spans="1:80" x14ac:dyDescent="0.4">
      <c r="A32" s="21" t="s">
        <v>231</v>
      </c>
      <c r="B32" s="17" t="s">
        <v>192</v>
      </c>
      <c r="C32" s="17" t="s">
        <v>154</v>
      </c>
      <c r="D32" s="22">
        <v>3</v>
      </c>
      <c r="E32" s="22">
        <v>5</v>
      </c>
      <c r="F32" s="22">
        <v>13</v>
      </c>
      <c r="G32" s="23">
        <v>939</v>
      </c>
      <c r="H32" s="23">
        <v>5</v>
      </c>
      <c r="I32" s="24">
        <f t="shared" si="6"/>
        <v>1.6666666666666667</v>
      </c>
      <c r="J32" s="22">
        <v>1</v>
      </c>
      <c r="K32" s="22">
        <v>5</v>
      </c>
      <c r="L32" s="24">
        <f t="shared" si="7"/>
        <v>0.33333333333333331</v>
      </c>
      <c r="M32" s="24">
        <f t="shared" si="8"/>
        <v>1.6666666666666667</v>
      </c>
      <c r="N32" s="25">
        <f t="shared" si="9"/>
        <v>0.2</v>
      </c>
      <c r="O32" s="23">
        <v>0</v>
      </c>
      <c r="P32" s="22">
        <v>2</v>
      </c>
      <c r="Q32" s="24">
        <f t="shared" si="10"/>
        <v>0</v>
      </c>
      <c r="R32" s="24">
        <f t="shared" si="11"/>
        <v>0.66666666666666663</v>
      </c>
      <c r="S32" s="25">
        <f t="shared" si="12"/>
        <v>0</v>
      </c>
      <c r="T32" s="22">
        <v>1</v>
      </c>
      <c r="U32" s="22">
        <v>3</v>
      </c>
      <c r="V32" s="24">
        <f t="shared" si="13"/>
        <v>0.33333333333333331</v>
      </c>
      <c r="W32" s="24">
        <f t="shared" si="14"/>
        <v>1</v>
      </c>
      <c r="X32" s="25">
        <f t="shared" si="15"/>
        <v>0.33333333333333331</v>
      </c>
      <c r="Y32" s="22">
        <v>2</v>
      </c>
      <c r="Z32" s="22">
        <v>2</v>
      </c>
      <c r="AA32" s="24">
        <f t="shared" si="16"/>
        <v>0.66666666666666663</v>
      </c>
      <c r="AB32" s="24">
        <f t="shared" si="17"/>
        <v>0.66666666666666663</v>
      </c>
      <c r="AC32" s="25">
        <f t="shared" si="18"/>
        <v>1</v>
      </c>
      <c r="AD32" s="22">
        <v>1</v>
      </c>
      <c r="AE32" s="24">
        <f t="shared" si="19"/>
        <v>0.33333333333333331</v>
      </c>
      <c r="AF32" s="22">
        <v>0</v>
      </c>
      <c r="AG32" s="24">
        <f t="shared" si="20"/>
        <v>0</v>
      </c>
      <c r="AH32" s="22">
        <v>1</v>
      </c>
      <c r="AI32" s="24">
        <f t="shared" si="21"/>
        <v>0.33333333333333331</v>
      </c>
      <c r="AJ32" s="22">
        <v>0</v>
      </c>
      <c r="AK32" s="24">
        <f t="shared" si="22"/>
        <v>0</v>
      </c>
      <c r="AL32" s="22">
        <v>1</v>
      </c>
      <c r="AM32" s="24">
        <f t="shared" si="23"/>
        <v>0.33333333333333331</v>
      </c>
      <c r="AN32" s="10">
        <v>0</v>
      </c>
      <c r="AO32" s="24">
        <f t="shared" si="24"/>
        <v>0</v>
      </c>
      <c r="AP32" s="22">
        <v>0</v>
      </c>
      <c r="AQ32" s="24">
        <f t="shared" si="25"/>
        <v>0</v>
      </c>
      <c r="AR32" s="22">
        <v>3</v>
      </c>
      <c r="AS32" s="24">
        <f t="shared" si="26"/>
        <v>1</v>
      </c>
      <c r="AT32" s="26">
        <v>5.970792436607965E-3</v>
      </c>
      <c r="AU32" s="26">
        <v>1.5260811339573074E-2</v>
      </c>
      <c r="AV32" s="26">
        <v>-7.5276633790972124E-4</v>
      </c>
      <c r="AW32" s="26">
        <v>6.7235587745176862E-3</v>
      </c>
      <c r="AX32" s="26">
        <v>98.921673595108672</v>
      </c>
      <c r="AY32" s="26">
        <v>112.65306138453482</v>
      </c>
      <c r="AZ32" s="26">
        <v>8.4087416591105801E-2</v>
      </c>
      <c r="BA32" s="26">
        <v>1</v>
      </c>
      <c r="BB32" s="26">
        <v>7.6677316293929714</v>
      </c>
      <c r="BC32" s="25">
        <v>0.42517006802721091</v>
      </c>
      <c r="BD32" s="25">
        <v>0.3</v>
      </c>
      <c r="BE32" s="26">
        <v>0.97269291467101049</v>
      </c>
      <c r="BF32" s="25">
        <v>0.6</v>
      </c>
      <c r="BG32" s="25">
        <v>0.4</v>
      </c>
      <c r="BH32" s="26">
        <v>0</v>
      </c>
      <c r="BI32" s="26">
        <v>0.397910307700725</v>
      </c>
      <c r="BJ32" s="26">
        <v>0.19017191541153203</v>
      </c>
      <c r="BK32" s="26">
        <v>0</v>
      </c>
      <c r="BL32" s="26">
        <v>3.4753407711250017</v>
      </c>
      <c r="BM32" s="26">
        <v>0</v>
      </c>
      <c r="BN32" s="26">
        <v>0</v>
      </c>
      <c r="BO32" s="27" t="s">
        <v>189</v>
      </c>
      <c r="BP32" s="28"/>
      <c r="BQ32" s="17" t="s">
        <v>253</v>
      </c>
      <c r="BR32" s="58">
        <v>7.11</v>
      </c>
      <c r="BS32" s="58">
        <v>10.91</v>
      </c>
      <c r="BT32" s="58">
        <v>3.8</v>
      </c>
      <c r="BU32" s="35">
        <f t="shared" si="35"/>
        <v>2.37</v>
      </c>
      <c r="BV32" s="35">
        <f t="shared" si="30"/>
        <v>3.6366666666666667</v>
      </c>
      <c r="BW32" s="35">
        <f t="shared" si="31"/>
        <v>1.2666666666666666</v>
      </c>
      <c r="BX32" s="36">
        <f t="shared" si="32"/>
        <v>18.172523961661341</v>
      </c>
      <c r="BY32" s="36">
        <f t="shared" si="33"/>
        <v>27.884984025559106</v>
      </c>
      <c r="BZ32" s="36">
        <f t="shared" si="34"/>
        <v>9.7124600638977636</v>
      </c>
      <c r="CA32" s="50">
        <v>1</v>
      </c>
      <c r="CB32" s="50">
        <v>2</v>
      </c>
    </row>
    <row r="33" spans="1:80" x14ac:dyDescent="0.4">
      <c r="A33" s="21" t="s">
        <v>231</v>
      </c>
      <c r="B33" s="17" t="s">
        <v>192</v>
      </c>
      <c r="C33" s="17" t="s">
        <v>155</v>
      </c>
      <c r="D33" s="22">
        <v>36</v>
      </c>
      <c r="E33" s="22">
        <v>13</v>
      </c>
      <c r="F33" s="22">
        <v>8</v>
      </c>
      <c r="G33" s="23">
        <v>28368</v>
      </c>
      <c r="H33" s="23">
        <v>67</v>
      </c>
      <c r="I33" s="24">
        <f t="shared" si="6"/>
        <v>1.8611111111111112</v>
      </c>
      <c r="J33" s="22">
        <v>20</v>
      </c>
      <c r="K33" s="22">
        <v>69</v>
      </c>
      <c r="L33" s="24">
        <f t="shared" si="7"/>
        <v>0.55555555555555558</v>
      </c>
      <c r="M33" s="24">
        <f t="shared" si="8"/>
        <v>1.9166666666666667</v>
      </c>
      <c r="N33" s="25">
        <f t="shared" si="9"/>
        <v>0.28985507246376813</v>
      </c>
      <c r="O33" s="23">
        <v>7</v>
      </c>
      <c r="P33" s="22">
        <v>30</v>
      </c>
      <c r="Q33" s="24">
        <f t="shared" si="10"/>
        <v>0.19444444444444445</v>
      </c>
      <c r="R33" s="24">
        <f t="shared" si="11"/>
        <v>0.83333333333333337</v>
      </c>
      <c r="S33" s="25">
        <f t="shared" si="12"/>
        <v>0.23333333333333334</v>
      </c>
      <c r="T33" s="22">
        <v>13</v>
      </c>
      <c r="U33" s="22">
        <v>39</v>
      </c>
      <c r="V33" s="24">
        <f t="shared" si="13"/>
        <v>0.3611111111111111</v>
      </c>
      <c r="W33" s="24">
        <f t="shared" si="14"/>
        <v>1.0833333333333333</v>
      </c>
      <c r="X33" s="25">
        <f t="shared" si="15"/>
        <v>0.33333333333333331</v>
      </c>
      <c r="Y33" s="22">
        <v>14</v>
      </c>
      <c r="Z33" s="22">
        <v>16</v>
      </c>
      <c r="AA33" s="24">
        <f t="shared" si="16"/>
        <v>0.3888888888888889</v>
      </c>
      <c r="AB33" s="24">
        <f t="shared" si="17"/>
        <v>0.44444444444444442</v>
      </c>
      <c r="AC33" s="25">
        <f t="shared" si="18"/>
        <v>0.875</v>
      </c>
      <c r="AD33" s="22">
        <v>51</v>
      </c>
      <c r="AE33" s="24">
        <f t="shared" si="19"/>
        <v>1.4166666666666667</v>
      </c>
      <c r="AF33" s="22">
        <v>25</v>
      </c>
      <c r="AG33" s="24">
        <f t="shared" si="20"/>
        <v>0.69444444444444442</v>
      </c>
      <c r="AH33" s="22">
        <v>26</v>
      </c>
      <c r="AI33" s="24">
        <f t="shared" si="21"/>
        <v>0.72222222222222221</v>
      </c>
      <c r="AJ33" s="22">
        <v>16</v>
      </c>
      <c r="AK33" s="24">
        <f t="shared" si="22"/>
        <v>0.44444444444444442</v>
      </c>
      <c r="AL33" s="22">
        <v>12</v>
      </c>
      <c r="AM33" s="24">
        <f t="shared" si="23"/>
        <v>0.33333333333333331</v>
      </c>
      <c r="AN33" s="10">
        <v>3</v>
      </c>
      <c r="AO33" s="24">
        <f t="shared" si="24"/>
        <v>8.3333333333333329E-2</v>
      </c>
      <c r="AP33" s="22">
        <v>7</v>
      </c>
      <c r="AQ33" s="24">
        <f t="shared" si="25"/>
        <v>0.19444444444444445</v>
      </c>
      <c r="AR33" s="22">
        <v>70</v>
      </c>
      <c r="AS33" s="24">
        <f t="shared" si="26"/>
        <v>1.9444444444444444</v>
      </c>
      <c r="AT33" s="26">
        <v>0.11450504445235998</v>
      </c>
      <c r="AU33" s="26">
        <v>9.6873980078138727E-3</v>
      </c>
      <c r="AV33" s="26">
        <v>0.14905785337230312</v>
      </c>
      <c r="AW33" s="26">
        <v>-3.4552808919943133E-2</v>
      </c>
      <c r="AX33" s="26">
        <v>106.53570697902506</v>
      </c>
      <c r="AY33" s="26">
        <v>117.54683430620351</v>
      </c>
      <c r="AZ33" s="26">
        <v>1.1609947630107114</v>
      </c>
      <c r="BA33" s="26">
        <v>2.5277777777777777</v>
      </c>
      <c r="BB33" s="26">
        <v>7.6988155668358713</v>
      </c>
      <c r="BC33" s="25">
        <v>0.44055760126249338</v>
      </c>
      <c r="BD33" s="25">
        <v>0.38405797101449274</v>
      </c>
      <c r="BE33" s="26">
        <v>5.4563709351000256</v>
      </c>
      <c r="BF33" s="25">
        <v>0.56521739130434778</v>
      </c>
      <c r="BG33" s="25">
        <v>0.2318840579710145</v>
      </c>
      <c r="BH33" s="26">
        <v>3.9513301494393063</v>
      </c>
      <c r="BI33" s="26">
        <v>4.1093833554168784</v>
      </c>
      <c r="BJ33" s="26">
        <v>3.8524292965917333</v>
      </c>
      <c r="BK33" s="26">
        <v>2.8680688336520075</v>
      </c>
      <c r="BL33" s="26">
        <v>1.3804335804087888</v>
      </c>
      <c r="BM33" s="26">
        <v>0.38407128363024179</v>
      </c>
      <c r="BN33" s="26">
        <v>8.4296724470134876</v>
      </c>
      <c r="BO33" s="27" t="s">
        <v>189</v>
      </c>
      <c r="BP33" s="28"/>
      <c r="BQ33" s="17" t="s">
        <v>253</v>
      </c>
      <c r="BR33" s="58">
        <v>229.27</v>
      </c>
      <c r="BS33" s="58">
        <v>287.77</v>
      </c>
      <c r="BT33" s="58">
        <v>58.5</v>
      </c>
      <c r="BU33" s="35">
        <f t="shared" si="35"/>
        <v>6.368611111111111</v>
      </c>
      <c r="BV33" s="35">
        <f t="shared" si="30"/>
        <v>7.993611111111111</v>
      </c>
      <c r="BW33" s="35">
        <f t="shared" si="31"/>
        <v>1.625</v>
      </c>
      <c r="BX33" s="36">
        <f t="shared" si="32"/>
        <v>19.396785109983082</v>
      </c>
      <c r="BY33" s="36">
        <f t="shared" si="33"/>
        <v>24.346023688663283</v>
      </c>
      <c r="BZ33" s="36">
        <f t="shared" si="34"/>
        <v>4.9492385786802027</v>
      </c>
      <c r="CA33" s="50">
        <v>14</v>
      </c>
      <c r="CB33" s="50">
        <v>22</v>
      </c>
    </row>
    <row r="34" spans="1:80" x14ac:dyDescent="0.4">
      <c r="A34" s="21" t="s">
        <v>231</v>
      </c>
      <c r="B34" s="37" t="s">
        <v>192</v>
      </c>
      <c r="C34" s="37" t="s">
        <v>68</v>
      </c>
      <c r="D34" s="22">
        <v>1</v>
      </c>
      <c r="E34" s="22">
        <v>4</v>
      </c>
      <c r="F34" s="22">
        <v>17</v>
      </c>
      <c r="G34" s="23">
        <v>257</v>
      </c>
      <c r="H34" s="23">
        <v>0</v>
      </c>
      <c r="I34" s="24">
        <f t="shared" si="6"/>
        <v>0</v>
      </c>
      <c r="J34" s="22">
        <v>0</v>
      </c>
      <c r="K34" s="22">
        <v>1</v>
      </c>
      <c r="L34" s="24">
        <f t="shared" si="7"/>
        <v>0</v>
      </c>
      <c r="M34" s="24">
        <f t="shared" si="8"/>
        <v>1</v>
      </c>
      <c r="N34" s="25">
        <f t="shared" si="9"/>
        <v>0</v>
      </c>
      <c r="O34" s="23">
        <v>0</v>
      </c>
      <c r="P34" s="22">
        <v>1</v>
      </c>
      <c r="Q34" s="24">
        <f t="shared" si="10"/>
        <v>0</v>
      </c>
      <c r="R34" s="24">
        <f t="shared" si="11"/>
        <v>1</v>
      </c>
      <c r="S34" s="25">
        <f t="shared" si="12"/>
        <v>0</v>
      </c>
      <c r="T34" s="22">
        <v>0</v>
      </c>
      <c r="U34" s="22">
        <v>0</v>
      </c>
      <c r="V34" s="24">
        <f t="shared" si="13"/>
        <v>0</v>
      </c>
      <c r="W34" s="24">
        <f t="shared" si="14"/>
        <v>0</v>
      </c>
      <c r="X34" s="25" t="e">
        <f t="shared" si="15"/>
        <v>#DIV/0!</v>
      </c>
      <c r="Y34" s="22">
        <v>0</v>
      </c>
      <c r="Z34" s="22">
        <v>0</v>
      </c>
      <c r="AA34" s="24">
        <f t="shared" si="16"/>
        <v>0</v>
      </c>
      <c r="AB34" s="24">
        <f t="shared" si="17"/>
        <v>0</v>
      </c>
      <c r="AC34" s="25" t="e">
        <f t="shared" si="18"/>
        <v>#DIV/0!</v>
      </c>
      <c r="AD34" s="22">
        <v>0</v>
      </c>
      <c r="AE34" s="24">
        <f t="shared" si="19"/>
        <v>0</v>
      </c>
      <c r="AF34" s="22">
        <v>0</v>
      </c>
      <c r="AG34" s="24">
        <f t="shared" si="20"/>
        <v>0</v>
      </c>
      <c r="AH34" s="22">
        <v>0</v>
      </c>
      <c r="AI34" s="24">
        <f t="shared" si="21"/>
        <v>0</v>
      </c>
      <c r="AJ34" s="22">
        <v>0</v>
      </c>
      <c r="AK34" s="24">
        <f t="shared" si="22"/>
        <v>0</v>
      </c>
      <c r="AL34" s="22">
        <v>0</v>
      </c>
      <c r="AM34" s="24">
        <f t="shared" si="23"/>
        <v>0</v>
      </c>
      <c r="AN34" s="10">
        <v>0</v>
      </c>
      <c r="AO34" s="24">
        <f t="shared" si="24"/>
        <v>0</v>
      </c>
      <c r="AP34" s="22">
        <v>0</v>
      </c>
      <c r="AQ34" s="24">
        <f t="shared" si="25"/>
        <v>0</v>
      </c>
      <c r="AR34" s="22">
        <v>1</v>
      </c>
      <c r="AS34" s="24">
        <f t="shared" si="26"/>
        <v>1</v>
      </c>
      <c r="AT34" s="26">
        <v>-2.2639846235844627E-2</v>
      </c>
      <c r="AU34" s="26">
        <v>-0.21142268858376306</v>
      </c>
      <c r="AV34" s="26">
        <v>-1.9894374666599313E-2</v>
      </c>
      <c r="AW34" s="26">
        <v>-2.7454715692453134E-3</v>
      </c>
      <c r="AX34" s="26">
        <v>0</v>
      </c>
      <c r="AY34" s="26">
        <v>123.07516294802635</v>
      </c>
      <c r="AZ34" s="26">
        <v>-0.23847986804243607</v>
      </c>
      <c r="BA34" s="26">
        <v>-1</v>
      </c>
      <c r="BB34" s="26">
        <v>-9.3385214007782107</v>
      </c>
      <c r="BC34" s="25">
        <v>0</v>
      </c>
      <c r="BD34" s="25">
        <v>0</v>
      </c>
      <c r="BE34" s="26">
        <v>0.20146965396915364</v>
      </c>
      <c r="BF34" s="25">
        <v>0</v>
      </c>
      <c r="BG34" s="25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7" t="s">
        <v>189</v>
      </c>
      <c r="BP34" s="28"/>
      <c r="BQ34" s="17" t="s">
        <v>253</v>
      </c>
      <c r="BR34" s="57">
        <v>7.0000000000000007E-2</v>
      </c>
      <c r="BS34" s="57">
        <v>1.07</v>
      </c>
      <c r="BT34" s="57">
        <v>1</v>
      </c>
      <c r="BU34" s="35">
        <f t="shared" si="35"/>
        <v>7.0000000000000062E-2</v>
      </c>
      <c r="BV34" s="35">
        <f t="shared" si="30"/>
        <v>1.07</v>
      </c>
      <c r="BW34" s="35">
        <f t="shared" si="31"/>
        <v>1</v>
      </c>
      <c r="BX34" s="36">
        <f t="shared" si="32"/>
        <v>0.65369649805447416</v>
      </c>
      <c r="BY34" s="36">
        <f t="shared" si="33"/>
        <v>9.9922178988326849</v>
      </c>
      <c r="BZ34" s="36">
        <f t="shared" si="34"/>
        <v>9.3385214007782107</v>
      </c>
      <c r="CA34" s="50">
        <v>1</v>
      </c>
      <c r="CB34" s="50">
        <v>0</v>
      </c>
    </row>
    <row r="35" spans="1:80" x14ac:dyDescent="0.4">
      <c r="A35" s="21" t="s">
        <v>231</v>
      </c>
      <c r="B35" s="17" t="s">
        <v>192</v>
      </c>
      <c r="C35" s="17" t="s">
        <v>156</v>
      </c>
      <c r="D35" s="22">
        <v>52</v>
      </c>
      <c r="E35" s="22">
        <v>18</v>
      </c>
      <c r="F35" s="22">
        <v>48</v>
      </c>
      <c r="G35" s="23">
        <v>58656</v>
      </c>
      <c r="H35" s="23">
        <v>365</v>
      </c>
      <c r="I35" s="24">
        <f t="shared" si="6"/>
        <v>7.0192307692307692</v>
      </c>
      <c r="J35" s="22">
        <v>144</v>
      </c>
      <c r="K35" s="22">
        <v>342</v>
      </c>
      <c r="L35" s="24">
        <f t="shared" si="7"/>
        <v>2.7692307692307692</v>
      </c>
      <c r="M35" s="24">
        <f t="shared" si="8"/>
        <v>6.5769230769230766</v>
      </c>
      <c r="N35" s="25">
        <f t="shared" si="9"/>
        <v>0.42105263157894735</v>
      </c>
      <c r="O35" s="23">
        <v>101</v>
      </c>
      <c r="P35" s="22">
        <v>188</v>
      </c>
      <c r="Q35" s="24">
        <f t="shared" si="10"/>
        <v>1.9423076923076923</v>
      </c>
      <c r="R35" s="24">
        <f t="shared" si="11"/>
        <v>3.6153846153846154</v>
      </c>
      <c r="S35" s="25">
        <f t="shared" si="12"/>
        <v>0.53723404255319152</v>
      </c>
      <c r="T35" s="22">
        <v>43</v>
      </c>
      <c r="U35" s="22">
        <v>154</v>
      </c>
      <c r="V35" s="24">
        <f t="shared" si="13"/>
        <v>0.82692307692307687</v>
      </c>
      <c r="W35" s="24">
        <f t="shared" si="14"/>
        <v>2.9615384615384617</v>
      </c>
      <c r="X35" s="25">
        <f t="shared" si="15"/>
        <v>0.2792207792207792</v>
      </c>
      <c r="Y35" s="22">
        <v>34</v>
      </c>
      <c r="Z35" s="22">
        <v>51</v>
      </c>
      <c r="AA35" s="24">
        <f t="shared" si="16"/>
        <v>0.65384615384615385</v>
      </c>
      <c r="AB35" s="24">
        <f t="shared" si="17"/>
        <v>0.98076923076923073</v>
      </c>
      <c r="AC35" s="25">
        <f t="shared" si="18"/>
        <v>0.66666666666666663</v>
      </c>
      <c r="AD35" s="22">
        <v>100</v>
      </c>
      <c r="AE35" s="24">
        <f t="shared" si="19"/>
        <v>1.9230769230769231</v>
      </c>
      <c r="AF35" s="22">
        <v>26</v>
      </c>
      <c r="AG35" s="24">
        <f t="shared" si="20"/>
        <v>0.5</v>
      </c>
      <c r="AH35" s="22">
        <v>74</v>
      </c>
      <c r="AI35" s="24">
        <f t="shared" si="21"/>
        <v>1.4230769230769231</v>
      </c>
      <c r="AJ35" s="22">
        <v>106</v>
      </c>
      <c r="AK35" s="24">
        <f t="shared" si="22"/>
        <v>2.0384615384615383</v>
      </c>
      <c r="AL35" s="22">
        <v>42</v>
      </c>
      <c r="AM35" s="24">
        <f t="shared" si="23"/>
        <v>0.80769230769230771</v>
      </c>
      <c r="AN35" s="10">
        <v>1</v>
      </c>
      <c r="AO35" s="24">
        <f t="shared" si="24"/>
        <v>1.9230769230769232E-2</v>
      </c>
      <c r="AP35" s="22">
        <v>46</v>
      </c>
      <c r="AQ35" s="24">
        <f t="shared" si="25"/>
        <v>0.88461538461538458</v>
      </c>
      <c r="AR35" s="22">
        <v>104</v>
      </c>
      <c r="AS35" s="24">
        <f t="shared" si="26"/>
        <v>2</v>
      </c>
      <c r="AT35" s="26">
        <v>0.68228148974707548</v>
      </c>
      <c r="AU35" s="26">
        <v>2.7916591233513727E-2</v>
      </c>
      <c r="AV35" s="26">
        <v>0.49229191638654995</v>
      </c>
      <c r="AW35" s="26">
        <v>0.18998957336052549</v>
      </c>
      <c r="AX35" s="26">
        <v>104.44722654391929</v>
      </c>
      <c r="AY35" s="26">
        <v>114.94347526310396</v>
      </c>
      <c r="AZ35" s="26">
        <v>7.6050137828704152</v>
      </c>
      <c r="BA35" s="26">
        <v>6.7884615384615383</v>
      </c>
      <c r="BB35" s="26">
        <v>14.443535188216039</v>
      </c>
      <c r="BC35" s="25">
        <v>0.50076830205246403</v>
      </c>
      <c r="BD35" s="25">
        <v>0.48391812865497075</v>
      </c>
      <c r="BE35" s="26">
        <v>18.84010605248276</v>
      </c>
      <c r="BF35" s="25">
        <v>0.45029239766081869</v>
      </c>
      <c r="BG35" s="25">
        <v>0.14912280701754385</v>
      </c>
      <c r="BH35" s="26">
        <v>2.8707394362309397</v>
      </c>
      <c r="BI35" s="26">
        <v>8.1705660877342137</v>
      </c>
      <c r="BJ35" s="26">
        <v>5.27693346842283</v>
      </c>
      <c r="BK35" s="26">
        <v>15.515222482435599</v>
      </c>
      <c r="BL35" s="26">
        <v>2.3366831923695415</v>
      </c>
      <c r="BM35" s="26">
        <v>8.9435038859524377E-2</v>
      </c>
      <c r="BN35" s="26">
        <v>11.207484650618849</v>
      </c>
      <c r="BO35" s="27" t="s">
        <v>233</v>
      </c>
      <c r="BP35" s="28"/>
      <c r="BQ35" s="17" t="s">
        <v>253</v>
      </c>
      <c r="BR35" s="57">
        <v>669.98</v>
      </c>
      <c r="BS35" s="57">
        <v>939.48</v>
      </c>
      <c r="BT35" s="57">
        <v>269.5</v>
      </c>
      <c r="BU35" s="35">
        <f t="shared" si="35"/>
        <v>12.884230769230772</v>
      </c>
      <c r="BV35" s="35">
        <f t="shared" si="30"/>
        <v>18.066923076923079</v>
      </c>
      <c r="BW35" s="35">
        <f t="shared" si="31"/>
        <v>5.1826923076923075</v>
      </c>
      <c r="BX35" s="36">
        <f t="shared" si="32"/>
        <v>27.413256955810148</v>
      </c>
      <c r="BY35" s="36">
        <f t="shared" si="33"/>
        <v>38.440261865793779</v>
      </c>
      <c r="BZ35" s="36">
        <f t="shared" si="34"/>
        <v>11.027004909983633</v>
      </c>
      <c r="CA35" s="48">
        <v>16</v>
      </c>
      <c r="CB35" s="48">
        <v>36</v>
      </c>
    </row>
    <row r="36" spans="1:80" x14ac:dyDescent="0.4">
      <c r="A36" s="21" t="s">
        <v>231</v>
      </c>
      <c r="B36" s="37" t="s">
        <v>192</v>
      </c>
      <c r="C36" s="17" t="s">
        <v>153</v>
      </c>
      <c r="D36" s="16">
        <v>50</v>
      </c>
      <c r="E36" s="16">
        <v>15</v>
      </c>
      <c r="F36" s="16">
        <v>14</v>
      </c>
      <c r="G36" s="23">
        <v>45700</v>
      </c>
      <c r="H36" s="23">
        <v>239</v>
      </c>
      <c r="I36" s="24">
        <f t="shared" si="6"/>
        <v>4.78</v>
      </c>
      <c r="J36" s="22">
        <v>84</v>
      </c>
      <c r="K36" s="22">
        <v>204</v>
      </c>
      <c r="L36" s="24">
        <f t="shared" si="7"/>
        <v>1.68</v>
      </c>
      <c r="M36" s="24">
        <f t="shared" si="8"/>
        <v>4.08</v>
      </c>
      <c r="N36" s="25">
        <f t="shared" si="9"/>
        <v>0.41176470588235292</v>
      </c>
      <c r="O36" s="23">
        <v>49</v>
      </c>
      <c r="P36" s="22">
        <v>94</v>
      </c>
      <c r="Q36" s="24">
        <f t="shared" si="10"/>
        <v>0.98</v>
      </c>
      <c r="R36" s="24">
        <f t="shared" si="11"/>
        <v>1.88</v>
      </c>
      <c r="S36" s="25">
        <f t="shared" si="12"/>
        <v>0.52127659574468088</v>
      </c>
      <c r="T36" s="22">
        <v>35</v>
      </c>
      <c r="U36" s="22">
        <v>110</v>
      </c>
      <c r="V36" s="24">
        <f t="shared" si="13"/>
        <v>0.7</v>
      </c>
      <c r="W36" s="24">
        <f t="shared" si="14"/>
        <v>2.2000000000000002</v>
      </c>
      <c r="X36" s="25">
        <f t="shared" si="15"/>
        <v>0.31818181818181818</v>
      </c>
      <c r="Y36" s="15">
        <v>36</v>
      </c>
      <c r="Z36" s="15">
        <v>50</v>
      </c>
      <c r="AA36" s="24">
        <f t="shared" si="16"/>
        <v>0.72</v>
      </c>
      <c r="AB36" s="24">
        <f t="shared" si="17"/>
        <v>1</v>
      </c>
      <c r="AC36" s="25">
        <f t="shared" si="18"/>
        <v>0.72</v>
      </c>
      <c r="AD36" s="22">
        <v>98</v>
      </c>
      <c r="AE36" s="24">
        <f t="shared" si="19"/>
        <v>1.96</v>
      </c>
      <c r="AF36" s="22">
        <v>37</v>
      </c>
      <c r="AG36" s="24">
        <f t="shared" si="20"/>
        <v>0.74</v>
      </c>
      <c r="AH36" s="22">
        <v>61</v>
      </c>
      <c r="AI36" s="24">
        <f t="shared" si="21"/>
        <v>1.22</v>
      </c>
      <c r="AJ36" s="22">
        <v>42</v>
      </c>
      <c r="AK36" s="24">
        <f t="shared" si="22"/>
        <v>0.84</v>
      </c>
      <c r="AL36" s="13">
        <v>13</v>
      </c>
      <c r="AM36" s="24">
        <f t="shared" si="23"/>
        <v>0.26</v>
      </c>
      <c r="AN36" s="12">
        <v>7</v>
      </c>
      <c r="AO36" s="24">
        <f t="shared" si="24"/>
        <v>0.14000000000000001</v>
      </c>
      <c r="AP36" s="22">
        <v>31</v>
      </c>
      <c r="AQ36" s="24">
        <f t="shared" si="25"/>
        <v>0.62</v>
      </c>
      <c r="AR36" s="22">
        <v>89</v>
      </c>
      <c r="AS36" s="24">
        <f t="shared" si="26"/>
        <v>1.78</v>
      </c>
      <c r="AT36" s="26">
        <v>0.44197137265597375</v>
      </c>
      <c r="AU36" s="26">
        <v>2.3210750423946106E-2</v>
      </c>
      <c r="AV36" s="26">
        <v>0.49134124483332153</v>
      </c>
      <c r="AW36" s="26">
        <v>-4.9369872177347805E-2</v>
      </c>
      <c r="AX36" s="26">
        <v>107.36470915367759</v>
      </c>
      <c r="AY36" s="26">
        <v>117.46639421278191</v>
      </c>
      <c r="AZ36" s="26">
        <v>5.2897387774606281</v>
      </c>
      <c r="BA36" s="26">
        <v>4.68</v>
      </c>
      <c r="BB36" s="26">
        <v>12.288840262582056</v>
      </c>
      <c r="BC36" s="25">
        <v>0.52876106194690264</v>
      </c>
      <c r="BD36" s="25">
        <v>0.49754901960784315</v>
      </c>
      <c r="BE36" s="26">
        <v>14.558937828237015</v>
      </c>
      <c r="BF36" s="25">
        <v>0.53921568627450978</v>
      </c>
      <c r="BG36" s="25">
        <v>0.24509803921568626</v>
      </c>
      <c r="BH36" s="26">
        <v>5.0417935158447449</v>
      </c>
      <c r="BI36" s="26">
        <v>8.3121460666629581</v>
      </c>
      <c r="BJ36" s="26">
        <v>6.3822027716994896</v>
      </c>
      <c r="BK36" s="26">
        <v>7.1639754377984994</v>
      </c>
      <c r="BL36" s="26">
        <v>0.92830382479481177</v>
      </c>
      <c r="BM36" s="26">
        <v>0.77262479960044261</v>
      </c>
      <c r="BN36" s="26">
        <v>12.062256809338521</v>
      </c>
      <c r="BO36" s="27" t="s">
        <v>189</v>
      </c>
      <c r="BP36" s="28"/>
      <c r="BQ36" s="17" t="s">
        <v>254</v>
      </c>
      <c r="BR36" s="57">
        <v>476.73</v>
      </c>
      <c r="BS36" s="57">
        <v>646.92999999999995</v>
      </c>
      <c r="BT36" s="57">
        <v>170.2</v>
      </c>
      <c r="BU36" s="35">
        <f t="shared" si="35"/>
        <v>9.5345999999999993</v>
      </c>
      <c r="BV36" s="35">
        <f t="shared" si="30"/>
        <v>12.938599999999999</v>
      </c>
      <c r="BW36" s="35">
        <f t="shared" si="31"/>
        <v>3.4039999999999999</v>
      </c>
      <c r="BX36" s="36">
        <f t="shared" si="32"/>
        <v>25.036148796498903</v>
      </c>
      <c r="BY36" s="36">
        <f t="shared" si="33"/>
        <v>33.974442013129099</v>
      </c>
      <c r="BZ36" s="36">
        <f t="shared" si="34"/>
        <v>8.9382932166301963</v>
      </c>
      <c r="CA36" s="48">
        <v>17</v>
      </c>
      <c r="CB36" s="48">
        <v>33</v>
      </c>
    </row>
    <row r="37" spans="1:80" x14ac:dyDescent="0.4">
      <c r="A37" s="21" t="s">
        <v>231</v>
      </c>
      <c r="B37" s="17" t="s">
        <v>192</v>
      </c>
      <c r="C37" s="17" t="s">
        <v>158</v>
      </c>
      <c r="D37" s="16">
        <v>3</v>
      </c>
      <c r="E37" s="16">
        <v>25</v>
      </c>
      <c r="F37" s="16">
        <v>2</v>
      </c>
      <c r="G37" s="23">
        <v>4506</v>
      </c>
      <c r="H37" s="23">
        <v>16</v>
      </c>
      <c r="I37" s="24">
        <f t="shared" si="6"/>
        <v>5.333333333333333</v>
      </c>
      <c r="J37" s="22">
        <v>5</v>
      </c>
      <c r="K37" s="22">
        <v>15</v>
      </c>
      <c r="L37" s="24">
        <f t="shared" si="7"/>
        <v>1.6666666666666667</v>
      </c>
      <c r="M37" s="24">
        <f t="shared" si="8"/>
        <v>5</v>
      </c>
      <c r="N37" s="25">
        <f t="shared" si="9"/>
        <v>0.33333333333333331</v>
      </c>
      <c r="O37" s="23">
        <v>1</v>
      </c>
      <c r="P37" s="22">
        <v>7</v>
      </c>
      <c r="Q37" s="24">
        <f t="shared" si="10"/>
        <v>0.33333333333333331</v>
      </c>
      <c r="R37" s="24">
        <f t="shared" si="11"/>
        <v>2.3333333333333335</v>
      </c>
      <c r="S37" s="25">
        <f t="shared" si="12"/>
        <v>0.14285714285714285</v>
      </c>
      <c r="T37" s="22">
        <v>4</v>
      </c>
      <c r="U37" s="22">
        <v>8</v>
      </c>
      <c r="V37" s="24">
        <f t="shared" si="13"/>
        <v>1.3333333333333333</v>
      </c>
      <c r="W37" s="24">
        <f t="shared" si="14"/>
        <v>2.6666666666666665</v>
      </c>
      <c r="X37" s="25">
        <f t="shared" si="15"/>
        <v>0.5</v>
      </c>
      <c r="Y37" s="15">
        <v>2</v>
      </c>
      <c r="Z37" s="15">
        <v>3</v>
      </c>
      <c r="AA37" s="24">
        <f t="shared" si="16"/>
        <v>0.66666666666666663</v>
      </c>
      <c r="AB37" s="24">
        <f t="shared" si="17"/>
        <v>1</v>
      </c>
      <c r="AC37" s="25">
        <f t="shared" si="18"/>
        <v>0.66666666666666663</v>
      </c>
      <c r="AD37" s="22">
        <v>3</v>
      </c>
      <c r="AE37" s="24">
        <f t="shared" si="19"/>
        <v>1</v>
      </c>
      <c r="AF37" s="22">
        <v>0</v>
      </c>
      <c r="AG37" s="24">
        <f t="shared" si="20"/>
        <v>0</v>
      </c>
      <c r="AH37" s="22">
        <v>3</v>
      </c>
      <c r="AI37" s="24">
        <f t="shared" si="21"/>
        <v>1</v>
      </c>
      <c r="AJ37" s="22">
        <v>11</v>
      </c>
      <c r="AK37" s="24">
        <f t="shared" si="22"/>
        <v>3.6666666666666665</v>
      </c>
      <c r="AL37" s="13">
        <v>4</v>
      </c>
      <c r="AM37" s="24">
        <f t="shared" si="23"/>
        <v>1.3333333333333333</v>
      </c>
      <c r="AN37" s="12">
        <v>0</v>
      </c>
      <c r="AO37" s="24">
        <f t="shared" si="24"/>
        <v>0</v>
      </c>
      <c r="AP37" s="22">
        <v>3</v>
      </c>
      <c r="AQ37" s="24">
        <f t="shared" si="25"/>
        <v>1</v>
      </c>
      <c r="AR37" s="22">
        <v>9</v>
      </c>
      <c r="AS37" s="24">
        <f t="shared" si="26"/>
        <v>3</v>
      </c>
      <c r="AT37" s="26">
        <v>5.4966263476897682E-2</v>
      </c>
      <c r="AU37" s="26">
        <v>2.9276305447082655E-2</v>
      </c>
      <c r="AV37" s="26">
        <v>4.2068884894813016E-2</v>
      </c>
      <c r="AW37" s="26">
        <v>1.2897378582084668E-2</v>
      </c>
      <c r="AX37" s="26">
        <v>107.79490111125098</v>
      </c>
      <c r="AY37" s="26">
        <v>115.16355111008636</v>
      </c>
      <c r="AZ37" s="26">
        <v>0.27826880287780409</v>
      </c>
      <c r="BA37" s="26">
        <v>6.666666666666667</v>
      </c>
      <c r="BB37" s="26">
        <v>10.652463382157125</v>
      </c>
      <c r="BC37" s="25">
        <v>0.49019607843137253</v>
      </c>
      <c r="BD37" s="25">
        <v>0.46666666666666667</v>
      </c>
      <c r="BE37" s="26">
        <v>0.66600877807842918</v>
      </c>
      <c r="BF37" s="25">
        <v>0.53333333333333333</v>
      </c>
      <c r="BG37" s="25">
        <v>0.2</v>
      </c>
      <c r="BH37" s="26">
        <v>0</v>
      </c>
      <c r="BI37" s="26">
        <v>0.24876017239079945</v>
      </c>
      <c r="BJ37" s="26">
        <v>0.11888910024728933</v>
      </c>
      <c r="BK37" s="26">
        <v>1.0032224721833769</v>
      </c>
      <c r="BL37" s="26">
        <v>2.896888578860521</v>
      </c>
      <c r="BM37" s="26">
        <v>0</v>
      </c>
      <c r="BN37" s="26">
        <v>15.527950310559007</v>
      </c>
      <c r="BO37" s="27" t="s">
        <v>189</v>
      </c>
      <c r="BP37" s="27"/>
      <c r="BQ37" s="17" t="s">
        <v>255</v>
      </c>
      <c r="BR37" s="58">
        <v>43.37</v>
      </c>
      <c r="BS37" s="58">
        <v>58.27</v>
      </c>
      <c r="BT37" s="58">
        <v>14.9</v>
      </c>
      <c r="BU37" s="35">
        <f t="shared" si="35"/>
        <v>14.456666666666669</v>
      </c>
      <c r="BV37" s="35">
        <f t="shared" si="30"/>
        <v>19.423333333333336</v>
      </c>
      <c r="BW37" s="35">
        <f t="shared" si="31"/>
        <v>4.9666666666666668</v>
      </c>
      <c r="BX37" s="36">
        <f t="shared" si="32"/>
        <v>23.099866844207725</v>
      </c>
      <c r="BY37" s="36">
        <f t="shared" si="33"/>
        <v>31.035952063914781</v>
      </c>
      <c r="BZ37" s="36">
        <f t="shared" si="34"/>
        <v>7.9360852197070573</v>
      </c>
      <c r="CA37" s="48">
        <v>1</v>
      </c>
      <c r="CB37" s="48">
        <v>2</v>
      </c>
    </row>
    <row r="38" spans="1:80" x14ac:dyDescent="0.4">
      <c r="A38" s="21" t="s">
        <v>231</v>
      </c>
      <c r="B38" s="17" t="s">
        <v>192</v>
      </c>
      <c r="C38" s="17" t="s">
        <v>160</v>
      </c>
      <c r="D38" s="22">
        <v>7</v>
      </c>
      <c r="E38" s="22">
        <v>16</v>
      </c>
      <c r="F38" s="22">
        <v>26</v>
      </c>
      <c r="G38" s="23">
        <v>6902</v>
      </c>
      <c r="H38" s="23">
        <v>21</v>
      </c>
      <c r="I38" s="24">
        <f t="shared" si="6"/>
        <v>3</v>
      </c>
      <c r="J38" s="22">
        <v>9</v>
      </c>
      <c r="K38" s="22">
        <v>34</v>
      </c>
      <c r="L38" s="24">
        <f t="shared" si="7"/>
        <v>1.2857142857142858</v>
      </c>
      <c r="M38" s="24">
        <f t="shared" si="8"/>
        <v>4.8571428571428568</v>
      </c>
      <c r="N38" s="25">
        <f t="shared" si="9"/>
        <v>0.26470588235294118</v>
      </c>
      <c r="O38" s="23">
        <v>6</v>
      </c>
      <c r="P38" s="22">
        <v>18</v>
      </c>
      <c r="Q38" s="24">
        <f t="shared" si="10"/>
        <v>0.8571428571428571</v>
      </c>
      <c r="R38" s="24">
        <f t="shared" si="11"/>
        <v>2.5714285714285716</v>
      </c>
      <c r="S38" s="25">
        <f t="shared" si="12"/>
        <v>0.33333333333333331</v>
      </c>
      <c r="T38" s="22">
        <v>3</v>
      </c>
      <c r="U38" s="22">
        <v>16</v>
      </c>
      <c r="V38" s="24">
        <f t="shared" si="13"/>
        <v>0.42857142857142855</v>
      </c>
      <c r="W38" s="24">
        <f t="shared" si="14"/>
        <v>2.2857142857142856</v>
      </c>
      <c r="X38" s="25">
        <f t="shared" si="15"/>
        <v>0.1875</v>
      </c>
      <c r="Y38" s="22">
        <v>0</v>
      </c>
      <c r="Z38" s="22">
        <v>0</v>
      </c>
      <c r="AA38" s="24">
        <f t="shared" si="16"/>
        <v>0</v>
      </c>
      <c r="AB38" s="24">
        <f t="shared" si="17"/>
        <v>0</v>
      </c>
      <c r="AC38" s="25" t="e">
        <f t="shared" si="18"/>
        <v>#DIV/0!</v>
      </c>
      <c r="AD38" s="22">
        <v>8</v>
      </c>
      <c r="AE38" s="24">
        <f t="shared" si="19"/>
        <v>1.1428571428571428</v>
      </c>
      <c r="AF38" s="22">
        <v>4</v>
      </c>
      <c r="AG38" s="24">
        <f t="shared" si="20"/>
        <v>0.5714285714285714</v>
      </c>
      <c r="AH38" s="22">
        <v>4</v>
      </c>
      <c r="AI38" s="24">
        <f t="shared" si="21"/>
        <v>0.5714285714285714</v>
      </c>
      <c r="AJ38" s="22">
        <v>8</v>
      </c>
      <c r="AK38" s="24">
        <f t="shared" si="22"/>
        <v>1.1428571428571428</v>
      </c>
      <c r="AL38" s="22">
        <v>4</v>
      </c>
      <c r="AM38" s="24">
        <f t="shared" si="23"/>
        <v>0.5714285714285714</v>
      </c>
      <c r="AN38" s="10">
        <v>0</v>
      </c>
      <c r="AO38" s="24">
        <f t="shared" si="24"/>
        <v>0</v>
      </c>
      <c r="AP38" s="22">
        <v>5</v>
      </c>
      <c r="AQ38" s="24">
        <f t="shared" si="25"/>
        <v>0.7142857142857143</v>
      </c>
      <c r="AR38" s="22">
        <v>11</v>
      </c>
      <c r="AS38" s="24">
        <f t="shared" si="26"/>
        <v>1.5714285714285714</v>
      </c>
      <c r="AT38" s="26">
        <v>-0.25837860634948018</v>
      </c>
      <c r="AU38" s="26">
        <v>-8.9844777635287226E-2</v>
      </c>
      <c r="AV38" s="26">
        <v>-0.24775381144685729</v>
      </c>
      <c r="AW38" s="26">
        <v>-1.062479490262289E-2</v>
      </c>
      <c r="AX38" s="26">
        <v>73.296987944868206</v>
      </c>
      <c r="AY38" s="26">
        <v>117.73453878113611</v>
      </c>
      <c r="AZ38" s="26">
        <v>3.5285852956391368E-2</v>
      </c>
      <c r="BA38" s="26">
        <v>1.5714285714285714</v>
      </c>
      <c r="BB38" s="26">
        <v>3.8249782671689365</v>
      </c>
      <c r="BC38" s="25">
        <v>0.30882352941176472</v>
      </c>
      <c r="BD38" s="25">
        <v>0.30882352941176472</v>
      </c>
      <c r="BE38" s="26">
        <v>2.0480023749825831</v>
      </c>
      <c r="BF38" s="25">
        <v>0.47058823529411764</v>
      </c>
      <c r="BG38" s="25">
        <v>0</v>
      </c>
      <c r="BH38" s="26">
        <v>0.5052573075469653</v>
      </c>
      <c r="BI38" s="26">
        <v>0.5052573075469653</v>
      </c>
      <c r="BJ38" s="26">
        <v>0.48295180141021926</v>
      </c>
      <c r="BK38" s="26">
        <v>1.1203435720287556</v>
      </c>
      <c r="BL38" s="26">
        <v>1.8912460064250225</v>
      </c>
      <c r="BM38" s="26">
        <v>0</v>
      </c>
      <c r="BN38" s="26">
        <v>12.820512820512821</v>
      </c>
      <c r="BO38" s="27" t="s">
        <v>189</v>
      </c>
      <c r="BP38" s="28"/>
      <c r="BQ38" s="17" t="s">
        <v>253</v>
      </c>
      <c r="BR38" s="57">
        <v>44.55</v>
      </c>
      <c r="BS38" s="57">
        <v>75.75</v>
      </c>
      <c r="BT38" s="57">
        <v>31.2</v>
      </c>
      <c r="BU38" s="35">
        <f t="shared" si="35"/>
        <v>6.3642857142857139</v>
      </c>
      <c r="BV38" s="35">
        <f t="shared" si="30"/>
        <v>10.821428571428571</v>
      </c>
      <c r="BW38" s="35">
        <f t="shared" si="31"/>
        <v>4.4571428571428573</v>
      </c>
      <c r="BX38" s="36">
        <f t="shared" si="32"/>
        <v>15.491161982034194</v>
      </c>
      <c r="BY38" s="36">
        <f t="shared" si="33"/>
        <v>26.34019124891336</v>
      </c>
      <c r="BZ38" s="36">
        <f t="shared" si="34"/>
        <v>10.849029266879166</v>
      </c>
      <c r="CA38" s="50">
        <v>1</v>
      </c>
      <c r="CB38" s="50">
        <v>6</v>
      </c>
    </row>
    <row r="39" spans="1:80" x14ac:dyDescent="0.4">
      <c r="A39" s="21" t="s">
        <v>231</v>
      </c>
      <c r="B39" s="17" t="s">
        <v>192</v>
      </c>
      <c r="C39" s="17" t="s">
        <v>224</v>
      </c>
      <c r="D39" s="22">
        <v>34</v>
      </c>
      <c r="E39" s="22">
        <v>9</v>
      </c>
      <c r="F39" s="22">
        <v>44</v>
      </c>
      <c r="G39" s="23">
        <v>19856</v>
      </c>
      <c r="H39" s="23">
        <v>94</v>
      </c>
      <c r="I39" s="24">
        <f t="shared" si="6"/>
        <v>2.7647058823529411</v>
      </c>
      <c r="J39" s="22">
        <v>30</v>
      </c>
      <c r="K39" s="22">
        <v>73</v>
      </c>
      <c r="L39" s="24">
        <f t="shared" si="7"/>
        <v>0.88235294117647056</v>
      </c>
      <c r="M39" s="24">
        <f t="shared" si="8"/>
        <v>2.1470588235294117</v>
      </c>
      <c r="N39" s="25">
        <f t="shared" si="9"/>
        <v>0.41095890410958902</v>
      </c>
      <c r="O39" s="23">
        <v>16</v>
      </c>
      <c r="P39" s="22">
        <v>31</v>
      </c>
      <c r="Q39" s="24">
        <f t="shared" si="10"/>
        <v>0.47058823529411764</v>
      </c>
      <c r="R39" s="24">
        <f t="shared" si="11"/>
        <v>0.91176470588235292</v>
      </c>
      <c r="S39" s="25">
        <f t="shared" si="12"/>
        <v>0.5161290322580645</v>
      </c>
      <c r="T39" s="22">
        <v>14</v>
      </c>
      <c r="U39" s="22">
        <v>42</v>
      </c>
      <c r="V39" s="24">
        <f t="shared" si="13"/>
        <v>0.41176470588235292</v>
      </c>
      <c r="W39" s="24">
        <f t="shared" si="14"/>
        <v>1.2352941176470589</v>
      </c>
      <c r="X39" s="25">
        <f t="shared" si="15"/>
        <v>0.33333333333333331</v>
      </c>
      <c r="Y39" s="22">
        <v>20</v>
      </c>
      <c r="Z39" s="22">
        <v>30</v>
      </c>
      <c r="AA39" s="24">
        <f t="shared" si="16"/>
        <v>0.58823529411764708</v>
      </c>
      <c r="AB39" s="24">
        <f t="shared" si="17"/>
        <v>0.88235294117647056</v>
      </c>
      <c r="AC39" s="25">
        <f t="shared" si="18"/>
        <v>0.66666666666666663</v>
      </c>
      <c r="AD39" s="22">
        <v>36</v>
      </c>
      <c r="AE39" s="24">
        <f t="shared" si="19"/>
        <v>1.0588235294117647</v>
      </c>
      <c r="AF39" s="22">
        <v>12</v>
      </c>
      <c r="AG39" s="24">
        <f t="shared" si="20"/>
        <v>0.35294117647058826</v>
      </c>
      <c r="AH39" s="22">
        <v>24</v>
      </c>
      <c r="AI39" s="24">
        <f t="shared" si="21"/>
        <v>0.70588235294117652</v>
      </c>
      <c r="AJ39" s="22">
        <v>35</v>
      </c>
      <c r="AK39" s="24">
        <f t="shared" si="22"/>
        <v>1.0294117647058822</v>
      </c>
      <c r="AL39" s="22">
        <v>10</v>
      </c>
      <c r="AM39" s="24">
        <f t="shared" si="23"/>
        <v>0.29411764705882354</v>
      </c>
      <c r="AN39" s="10">
        <v>0</v>
      </c>
      <c r="AO39" s="24">
        <f t="shared" si="24"/>
        <v>0</v>
      </c>
      <c r="AP39" s="22">
        <v>23</v>
      </c>
      <c r="AQ39" s="24">
        <f t="shared" ref="AQ39:AQ70" si="36">AP39/$D39</f>
        <v>0.67647058823529416</v>
      </c>
      <c r="AR39" s="22">
        <v>53</v>
      </c>
      <c r="AS39" s="24">
        <f t="shared" si="26"/>
        <v>1.5588235294117647</v>
      </c>
      <c r="AT39" s="26">
        <v>0.11571998663164237</v>
      </c>
      <c r="AU39" s="26">
        <v>1.3987105555798835E-2</v>
      </c>
      <c r="AV39" s="26">
        <v>0.10621137734489984</v>
      </c>
      <c r="AW39" s="26">
        <v>9.5086092867425285E-3</v>
      </c>
      <c r="AX39" s="26">
        <v>103.25617945519836</v>
      </c>
      <c r="AY39" s="26">
        <v>116.55568110750967</v>
      </c>
      <c r="AZ39" s="26">
        <v>2.6293569293949073</v>
      </c>
      <c r="BA39" s="26">
        <v>2.9117647058823528</v>
      </c>
      <c r="BB39" s="26">
        <v>11.966156325543915</v>
      </c>
      <c r="BC39" s="25">
        <v>0.54524361948955913</v>
      </c>
      <c r="BD39" s="25">
        <v>0.50684931506849318</v>
      </c>
      <c r="BE39" s="26">
        <v>9.6817208165272532</v>
      </c>
      <c r="BF39" s="25">
        <v>0.57534246575342463</v>
      </c>
      <c r="BG39" s="25">
        <v>0.41095890410958902</v>
      </c>
      <c r="BH39" s="26">
        <v>2.5591628693902795</v>
      </c>
      <c r="BI39" s="26">
        <v>5.118325738780559</v>
      </c>
      <c r="BJ39" s="26">
        <v>3.6692759295499022</v>
      </c>
      <c r="BK39" s="26">
        <v>8.7880816873116832</v>
      </c>
      <c r="BL39" s="26">
        <v>1.6435057333231147</v>
      </c>
      <c r="BM39" s="26">
        <v>0</v>
      </c>
      <c r="BN39" s="26">
        <v>21.062271062271062</v>
      </c>
      <c r="BO39" s="27" t="s">
        <v>189</v>
      </c>
      <c r="BP39" s="28"/>
      <c r="BQ39" s="17" t="s">
        <v>255</v>
      </c>
      <c r="BR39" s="57">
        <v>212.07</v>
      </c>
      <c r="BS39" s="57">
        <v>294.77</v>
      </c>
      <c r="BT39" s="57">
        <v>82.7</v>
      </c>
      <c r="BU39" s="35">
        <f t="shared" si="35"/>
        <v>6.2373529411764705</v>
      </c>
      <c r="BV39" s="35">
        <f t="shared" si="30"/>
        <v>8.6697058823529414</v>
      </c>
      <c r="BW39" s="35">
        <f t="shared" si="31"/>
        <v>2.4323529411764708</v>
      </c>
      <c r="BX39" s="36">
        <f t="shared" si="32"/>
        <v>25.632957292506042</v>
      </c>
      <c r="BY39" s="36">
        <f t="shared" si="33"/>
        <v>35.628928283642225</v>
      </c>
      <c r="BZ39" s="36">
        <f t="shared" si="34"/>
        <v>9.9959709911361809</v>
      </c>
      <c r="CA39" s="48">
        <v>8</v>
      </c>
      <c r="CB39" s="48">
        <v>26</v>
      </c>
    </row>
    <row r="40" spans="1:80" x14ac:dyDescent="0.4">
      <c r="A40" s="21" t="s">
        <v>231</v>
      </c>
      <c r="B40" s="17" t="s">
        <v>192</v>
      </c>
      <c r="C40" s="51" t="s">
        <v>284</v>
      </c>
      <c r="D40" s="16">
        <v>27</v>
      </c>
      <c r="E40" s="16">
        <v>13</v>
      </c>
      <c r="F40" s="16">
        <v>28</v>
      </c>
      <c r="G40" s="23">
        <v>21816</v>
      </c>
      <c r="H40" s="23">
        <v>189</v>
      </c>
      <c r="I40" s="24">
        <f t="shared" si="6"/>
        <v>7</v>
      </c>
      <c r="J40" s="22">
        <v>75</v>
      </c>
      <c r="K40" s="22">
        <v>123</v>
      </c>
      <c r="L40" s="24">
        <f t="shared" si="7"/>
        <v>2.7777777777777777</v>
      </c>
      <c r="M40" s="24">
        <f t="shared" si="8"/>
        <v>4.5555555555555554</v>
      </c>
      <c r="N40" s="25">
        <f t="shared" si="9"/>
        <v>0.6097560975609756</v>
      </c>
      <c r="O40" s="23">
        <v>75</v>
      </c>
      <c r="P40" s="22">
        <v>123</v>
      </c>
      <c r="Q40" s="24">
        <f t="shared" si="10"/>
        <v>2.7777777777777777</v>
      </c>
      <c r="R40" s="24">
        <f t="shared" si="11"/>
        <v>4.5555555555555554</v>
      </c>
      <c r="S40" s="25">
        <f t="shared" si="12"/>
        <v>0.6097560975609756</v>
      </c>
      <c r="T40" s="22">
        <v>0</v>
      </c>
      <c r="U40" s="22">
        <v>0</v>
      </c>
      <c r="V40" s="24">
        <f t="shared" si="13"/>
        <v>0</v>
      </c>
      <c r="W40" s="24">
        <f t="shared" si="14"/>
        <v>0</v>
      </c>
      <c r="X40" s="25" t="e">
        <f t="shared" si="15"/>
        <v>#DIV/0!</v>
      </c>
      <c r="Y40" s="15">
        <v>39</v>
      </c>
      <c r="Z40" s="15">
        <v>65</v>
      </c>
      <c r="AA40" s="24">
        <f t="shared" si="16"/>
        <v>1.4444444444444444</v>
      </c>
      <c r="AB40" s="24">
        <f t="shared" si="17"/>
        <v>2.4074074074074074</v>
      </c>
      <c r="AC40" s="25">
        <f t="shared" si="18"/>
        <v>0.6</v>
      </c>
      <c r="AD40" s="22">
        <v>133</v>
      </c>
      <c r="AE40" s="24">
        <f t="shared" si="19"/>
        <v>4.9259259259259256</v>
      </c>
      <c r="AF40" s="22">
        <v>36</v>
      </c>
      <c r="AG40" s="24">
        <f t="shared" si="20"/>
        <v>1.3333333333333333</v>
      </c>
      <c r="AH40" s="22">
        <v>97</v>
      </c>
      <c r="AI40" s="24">
        <f t="shared" si="21"/>
        <v>3.5925925925925926</v>
      </c>
      <c r="AJ40" s="22">
        <v>21</v>
      </c>
      <c r="AK40" s="24">
        <f t="shared" si="22"/>
        <v>0.77777777777777779</v>
      </c>
      <c r="AL40" s="13">
        <v>14</v>
      </c>
      <c r="AM40" s="24">
        <f t="shared" si="23"/>
        <v>0.51851851851851849</v>
      </c>
      <c r="AN40" s="12">
        <v>15</v>
      </c>
      <c r="AO40" s="24">
        <f t="shared" si="24"/>
        <v>0.55555555555555558</v>
      </c>
      <c r="AP40" s="22">
        <v>25</v>
      </c>
      <c r="AQ40" s="24">
        <f t="shared" si="36"/>
        <v>0.92592592592592593</v>
      </c>
      <c r="AR40" s="22">
        <v>48</v>
      </c>
      <c r="AS40" s="24">
        <f t="shared" si="26"/>
        <v>1.7777777777777777</v>
      </c>
      <c r="AT40" s="26">
        <v>1.1718918298831646</v>
      </c>
      <c r="AU40" s="26">
        <v>0.12892099338648677</v>
      </c>
      <c r="AV40" s="26">
        <v>0.73824552621656525</v>
      </c>
      <c r="AW40" s="26">
        <v>0.4336463036665994</v>
      </c>
      <c r="AX40" s="26">
        <v>116.44690110337233</v>
      </c>
      <c r="AY40" s="26">
        <v>105.22504233469519</v>
      </c>
      <c r="AZ40" s="26">
        <v>8.0209941638584326</v>
      </c>
      <c r="BA40" s="26">
        <v>10.111111111111111</v>
      </c>
      <c r="BB40" s="26">
        <v>30.03300330033003</v>
      </c>
      <c r="BC40" s="25">
        <v>0.62335092348284959</v>
      </c>
      <c r="BD40" s="25">
        <v>0.6097560975609756</v>
      </c>
      <c r="BE40" s="26">
        <v>11.316759912097528</v>
      </c>
      <c r="BF40" s="25">
        <v>0</v>
      </c>
      <c r="BG40" s="25">
        <v>0.52845528455284552</v>
      </c>
      <c r="BH40" s="26">
        <v>5.5490759247175365</v>
      </c>
      <c r="BI40" s="26">
        <v>14.951676797155585</v>
      </c>
      <c r="BJ40" s="26">
        <v>9.7978547854785472</v>
      </c>
      <c r="BK40" s="26">
        <v>4.0577096483318309</v>
      </c>
      <c r="BL40" s="26">
        <v>2.0941891170337947</v>
      </c>
      <c r="BM40" s="26">
        <v>1.8728228434444958</v>
      </c>
      <c r="BN40" s="26">
        <v>14.156285390713478</v>
      </c>
      <c r="BO40" s="27" t="s">
        <v>232</v>
      </c>
      <c r="BP40" s="28"/>
      <c r="BQ40" s="17" t="s">
        <v>255</v>
      </c>
      <c r="BR40" s="58">
        <v>389.56</v>
      </c>
      <c r="BS40" s="58">
        <v>495.86</v>
      </c>
      <c r="BT40" s="58">
        <v>106.3</v>
      </c>
      <c r="BU40" s="35">
        <f t="shared" si="35"/>
        <v>14.42814814814815</v>
      </c>
      <c r="BV40" s="35">
        <f t="shared" si="30"/>
        <v>18.365185185185187</v>
      </c>
      <c r="BW40" s="35">
        <f t="shared" si="31"/>
        <v>3.9370370370370371</v>
      </c>
      <c r="BX40" s="36">
        <f t="shared" si="32"/>
        <v>42.855885588558863</v>
      </c>
      <c r="BY40" s="36">
        <f t="shared" si="33"/>
        <v>54.550055005500553</v>
      </c>
      <c r="BZ40" s="36">
        <f t="shared" si="34"/>
        <v>11.694169416941694</v>
      </c>
      <c r="CA40" s="50">
        <v>11</v>
      </c>
      <c r="CB40" s="50">
        <v>16</v>
      </c>
    </row>
    <row r="41" spans="1:80" x14ac:dyDescent="0.4">
      <c r="A41" s="21" t="s">
        <v>231</v>
      </c>
      <c r="B41" s="17" t="s">
        <v>192</v>
      </c>
      <c r="C41" s="17" t="s">
        <v>225</v>
      </c>
      <c r="D41" s="22">
        <v>51</v>
      </c>
      <c r="E41" s="22">
        <v>32</v>
      </c>
      <c r="F41" s="22">
        <v>10</v>
      </c>
      <c r="G41" s="23">
        <v>98430</v>
      </c>
      <c r="H41" s="23">
        <v>924</v>
      </c>
      <c r="I41" s="24">
        <f t="shared" si="6"/>
        <v>18.117647058823529</v>
      </c>
      <c r="J41" s="22">
        <v>333</v>
      </c>
      <c r="K41" s="22">
        <v>747</v>
      </c>
      <c r="L41" s="24">
        <f t="shared" si="7"/>
        <v>6.5294117647058822</v>
      </c>
      <c r="M41" s="24">
        <f t="shared" si="8"/>
        <v>14.647058823529411</v>
      </c>
      <c r="N41" s="25">
        <f t="shared" si="9"/>
        <v>0.44578313253012047</v>
      </c>
      <c r="O41" s="23">
        <v>266</v>
      </c>
      <c r="P41" s="22">
        <v>532</v>
      </c>
      <c r="Q41" s="24">
        <f t="shared" si="10"/>
        <v>5.215686274509804</v>
      </c>
      <c r="R41" s="24">
        <f t="shared" si="11"/>
        <v>10.431372549019608</v>
      </c>
      <c r="S41" s="25">
        <f t="shared" si="12"/>
        <v>0.5</v>
      </c>
      <c r="T41" s="22">
        <v>67</v>
      </c>
      <c r="U41" s="22">
        <v>215</v>
      </c>
      <c r="V41" s="24">
        <f t="shared" si="13"/>
        <v>1.3137254901960784</v>
      </c>
      <c r="W41" s="24">
        <f t="shared" si="14"/>
        <v>4.215686274509804</v>
      </c>
      <c r="X41" s="25">
        <f t="shared" si="15"/>
        <v>0.3116279069767442</v>
      </c>
      <c r="Y41" s="22">
        <v>191</v>
      </c>
      <c r="Z41" s="22">
        <v>220</v>
      </c>
      <c r="AA41" s="24">
        <f t="shared" si="16"/>
        <v>3.7450980392156863</v>
      </c>
      <c r="AB41" s="24">
        <f t="shared" si="17"/>
        <v>4.3137254901960782</v>
      </c>
      <c r="AC41" s="25">
        <f t="shared" si="18"/>
        <v>0.86818181818181817</v>
      </c>
      <c r="AD41" s="22">
        <v>160</v>
      </c>
      <c r="AE41" s="24">
        <f t="shared" si="19"/>
        <v>3.1372549019607843</v>
      </c>
      <c r="AF41" s="22">
        <v>30</v>
      </c>
      <c r="AG41" s="24">
        <f t="shared" si="20"/>
        <v>0.58823529411764708</v>
      </c>
      <c r="AH41" s="22">
        <v>130</v>
      </c>
      <c r="AI41" s="24">
        <f t="shared" si="21"/>
        <v>2.5490196078431371</v>
      </c>
      <c r="AJ41" s="22">
        <v>210</v>
      </c>
      <c r="AK41" s="24">
        <f t="shared" si="22"/>
        <v>4.117647058823529</v>
      </c>
      <c r="AL41" s="22">
        <v>68</v>
      </c>
      <c r="AM41" s="24">
        <f t="shared" si="23"/>
        <v>1.3333333333333333</v>
      </c>
      <c r="AN41" s="10">
        <v>15</v>
      </c>
      <c r="AO41" s="24">
        <f t="shared" si="24"/>
        <v>0.29411764705882354</v>
      </c>
      <c r="AP41" s="22">
        <v>127</v>
      </c>
      <c r="AQ41" s="24">
        <f t="shared" si="36"/>
        <v>2.4901960784313726</v>
      </c>
      <c r="AR41" s="22">
        <v>112</v>
      </c>
      <c r="AS41" s="24">
        <f t="shared" si="26"/>
        <v>2.1960784313725492</v>
      </c>
      <c r="AT41" s="26">
        <v>2.4912601595245412</v>
      </c>
      <c r="AU41" s="26">
        <v>6.0743923426383198E-2</v>
      </c>
      <c r="AV41" s="26">
        <v>2.1190036169490578</v>
      </c>
      <c r="AW41" s="26">
        <v>0.37225654257548318</v>
      </c>
      <c r="AX41" s="26">
        <v>108.55122724086665</v>
      </c>
      <c r="AY41" s="26">
        <v>114.62637243125835</v>
      </c>
      <c r="AZ41" s="26">
        <v>11.669609881945068</v>
      </c>
      <c r="BA41" s="26">
        <v>15.823529411764707</v>
      </c>
      <c r="BB41" s="26">
        <v>19.676927765925022</v>
      </c>
      <c r="BC41" s="25">
        <v>0.54752310974164498</v>
      </c>
      <c r="BD41" s="25">
        <v>0.49062918340026773</v>
      </c>
      <c r="BE41" s="26">
        <v>26.044451916490345</v>
      </c>
      <c r="BF41" s="25">
        <v>0.28781793842034809</v>
      </c>
      <c r="BG41" s="25">
        <v>0.29451137884872824</v>
      </c>
      <c r="BH41" s="26">
        <v>1.9359470410931647</v>
      </c>
      <c r="BI41" s="26">
        <v>8.389103844737047</v>
      </c>
      <c r="BJ41" s="26">
        <v>4.9346163335800641</v>
      </c>
      <c r="BK41" s="26">
        <v>19.402525408068986</v>
      </c>
      <c r="BL41" s="26">
        <v>2.2544697644810889</v>
      </c>
      <c r="BM41" s="26">
        <v>0.78406262046795472</v>
      </c>
      <c r="BN41" s="26">
        <v>13.0819942315616</v>
      </c>
      <c r="BO41" s="27" t="s">
        <v>189</v>
      </c>
      <c r="BP41" s="27"/>
      <c r="BQ41" s="17" t="s">
        <v>255</v>
      </c>
      <c r="BR41" s="57">
        <v>1298.82</v>
      </c>
      <c r="BS41" s="57">
        <v>1911.72</v>
      </c>
      <c r="BT41" s="57">
        <v>612.9</v>
      </c>
      <c r="BU41" s="35">
        <f t="shared" si="35"/>
        <v>25.467058823529413</v>
      </c>
      <c r="BV41" s="35">
        <f t="shared" si="30"/>
        <v>37.484705882352941</v>
      </c>
      <c r="BW41" s="35">
        <f t="shared" si="31"/>
        <v>12.017647058823529</v>
      </c>
      <c r="BX41" s="36">
        <f t="shared" si="32"/>
        <v>31.6688814385858</v>
      </c>
      <c r="BY41" s="36">
        <f t="shared" si="33"/>
        <v>46.613105760438891</v>
      </c>
      <c r="BZ41" s="36">
        <f t="shared" si="34"/>
        <v>14.944224321853094</v>
      </c>
      <c r="CA41" s="50">
        <v>17</v>
      </c>
      <c r="CB41" s="50">
        <v>34</v>
      </c>
    </row>
    <row r="42" spans="1:80" x14ac:dyDescent="0.4">
      <c r="A42" s="21" t="s">
        <v>231</v>
      </c>
      <c r="B42" s="17" t="s">
        <v>192</v>
      </c>
      <c r="C42" s="17" t="s">
        <v>152</v>
      </c>
      <c r="D42" s="22">
        <v>47</v>
      </c>
      <c r="E42" s="22">
        <v>25</v>
      </c>
      <c r="F42" s="22">
        <v>48</v>
      </c>
      <c r="G42" s="23">
        <v>72756</v>
      </c>
      <c r="H42" s="23">
        <v>583</v>
      </c>
      <c r="I42" s="24">
        <f t="shared" si="6"/>
        <v>12.404255319148936</v>
      </c>
      <c r="J42" s="22">
        <v>234</v>
      </c>
      <c r="K42" s="22">
        <v>429</v>
      </c>
      <c r="L42" s="24">
        <f t="shared" si="7"/>
        <v>4.9787234042553195</v>
      </c>
      <c r="M42" s="24">
        <f t="shared" si="8"/>
        <v>9.1276595744680851</v>
      </c>
      <c r="N42" s="25">
        <f t="shared" si="9"/>
        <v>0.54545454545454541</v>
      </c>
      <c r="O42" s="23">
        <v>189</v>
      </c>
      <c r="P42" s="22">
        <v>307</v>
      </c>
      <c r="Q42" s="24">
        <f t="shared" si="10"/>
        <v>4.0212765957446805</v>
      </c>
      <c r="R42" s="24">
        <f t="shared" si="11"/>
        <v>6.5319148936170217</v>
      </c>
      <c r="S42" s="25">
        <f t="shared" si="12"/>
        <v>0.61563517915309451</v>
      </c>
      <c r="T42" s="22">
        <v>45</v>
      </c>
      <c r="U42" s="22">
        <v>122</v>
      </c>
      <c r="V42" s="24">
        <f t="shared" si="13"/>
        <v>0.95744680851063835</v>
      </c>
      <c r="W42" s="24">
        <f t="shared" si="14"/>
        <v>2.5957446808510638</v>
      </c>
      <c r="X42" s="25">
        <f t="shared" si="15"/>
        <v>0.36885245901639346</v>
      </c>
      <c r="Y42" s="22">
        <v>70</v>
      </c>
      <c r="Z42" s="22">
        <v>109</v>
      </c>
      <c r="AA42" s="24">
        <f t="shared" si="16"/>
        <v>1.4893617021276595</v>
      </c>
      <c r="AB42" s="24">
        <f t="shared" si="17"/>
        <v>2.3191489361702127</v>
      </c>
      <c r="AC42" s="25">
        <f t="shared" si="18"/>
        <v>0.64220183486238536</v>
      </c>
      <c r="AD42" s="22">
        <v>171</v>
      </c>
      <c r="AE42" s="24">
        <f t="shared" si="19"/>
        <v>3.6382978723404253</v>
      </c>
      <c r="AF42" s="22">
        <v>68</v>
      </c>
      <c r="AG42" s="24">
        <f t="shared" si="20"/>
        <v>1.446808510638298</v>
      </c>
      <c r="AH42" s="22">
        <v>103</v>
      </c>
      <c r="AI42" s="24">
        <f t="shared" si="21"/>
        <v>2.1914893617021276</v>
      </c>
      <c r="AJ42" s="22">
        <v>74</v>
      </c>
      <c r="AK42" s="24">
        <f t="shared" si="22"/>
        <v>1.574468085106383</v>
      </c>
      <c r="AL42" s="22">
        <v>38</v>
      </c>
      <c r="AM42" s="24">
        <f t="shared" si="23"/>
        <v>0.80851063829787229</v>
      </c>
      <c r="AN42" s="10">
        <v>4</v>
      </c>
      <c r="AO42" s="24">
        <f t="shared" si="24"/>
        <v>8.5106382978723402E-2</v>
      </c>
      <c r="AP42" s="22">
        <v>50</v>
      </c>
      <c r="AQ42" s="24">
        <f t="shared" si="36"/>
        <v>1.0638297872340425</v>
      </c>
      <c r="AR42" s="22">
        <v>99</v>
      </c>
      <c r="AS42" s="24">
        <f t="shared" si="26"/>
        <v>2.1063829787234041</v>
      </c>
      <c r="AT42" s="26">
        <v>2.6871800600076914</v>
      </c>
      <c r="AU42" s="26">
        <v>8.8641928418528512E-2</v>
      </c>
      <c r="AV42" s="26">
        <v>2.575742768925692</v>
      </c>
      <c r="AW42" s="26">
        <v>0.11143729108199925</v>
      </c>
      <c r="AX42" s="26">
        <v>120.10835400944578</v>
      </c>
      <c r="AY42" s="26">
        <v>115.94075610356776</v>
      </c>
      <c r="AZ42" s="26">
        <v>10.823715977535674</v>
      </c>
      <c r="BA42" s="26">
        <v>12.468085106382979</v>
      </c>
      <c r="BB42" s="26">
        <v>19.330364506020125</v>
      </c>
      <c r="BC42" s="25">
        <v>0.61116236162361626</v>
      </c>
      <c r="BD42" s="25">
        <v>0.59790209790209792</v>
      </c>
      <c r="BE42" s="26">
        <v>17.625825165300647</v>
      </c>
      <c r="BF42" s="25">
        <v>0.28438228438228436</v>
      </c>
      <c r="BG42" s="25">
        <v>0.25407925407925408</v>
      </c>
      <c r="BH42" s="26">
        <v>5.4710096828825785</v>
      </c>
      <c r="BI42" s="26">
        <v>8.2869705490721408</v>
      </c>
      <c r="BJ42" s="26">
        <v>6.5753045404208192</v>
      </c>
      <c r="BK42" s="26">
        <v>8.2112738570794495</v>
      </c>
      <c r="BL42" s="26">
        <v>1.7044245065050621</v>
      </c>
      <c r="BM42" s="26">
        <v>0.26067887295489273</v>
      </c>
      <c r="BN42" s="26">
        <v>9.4883862152725058</v>
      </c>
      <c r="BO42" s="27" t="s">
        <v>189</v>
      </c>
      <c r="BP42" s="28"/>
      <c r="BQ42" s="17" t="s">
        <v>254</v>
      </c>
      <c r="BR42" s="57">
        <v>953.57</v>
      </c>
      <c r="BS42" s="57">
        <v>1247.07</v>
      </c>
      <c r="BT42" s="57">
        <v>293.5</v>
      </c>
      <c r="BU42" s="35">
        <f t="shared" si="35"/>
        <v>20.288723404255318</v>
      </c>
      <c r="BV42" s="35">
        <f t="shared" si="30"/>
        <v>26.533404255319148</v>
      </c>
      <c r="BW42" s="35">
        <f t="shared" si="31"/>
        <v>6.2446808510638299</v>
      </c>
      <c r="BX42" s="36">
        <f t="shared" si="32"/>
        <v>31.455385122876464</v>
      </c>
      <c r="BY42" s="36">
        <f t="shared" si="33"/>
        <v>41.13706086095992</v>
      </c>
      <c r="BZ42" s="36">
        <f t="shared" si="34"/>
        <v>9.6816757380834577</v>
      </c>
      <c r="CA42" s="50">
        <v>15</v>
      </c>
      <c r="CB42" s="50">
        <v>32</v>
      </c>
    </row>
    <row r="43" spans="1:80" x14ac:dyDescent="0.4">
      <c r="A43" s="21" t="s">
        <v>231</v>
      </c>
      <c r="B43" s="17" t="s">
        <v>192</v>
      </c>
      <c r="C43" s="17" t="s">
        <v>161</v>
      </c>
      <c r="D43" s="16">
        <v>25</v>
      </c>
      <c r="E43" s="16">
        <v>10</v>
      </c>
      <c r="F43" s="16">
        <v>51</v>
      </c>
      <c r="G43" s="23">
        <v>16275</v>
      </c>
      <c r="H43" s="23">
        <v>35</v>
      </c>
      <c r="I43" s="24">
        <f t="shared" si="6"/>
        <v>1.4</v>
      </c>
      <c r="J43" s="22">
        <v>16</v>
      </c>
      <c r="K43" s="22">
        <v>53</v>
      </c>
      <c r="L43" s="24">
        <f t="shared" si="7"/>
        <v>0.64</v>
      </c>
      <c r="M43" s="24">
        <f t="shared" si="8"/>
        <v>2.12</v>
      </c>
      <c r="N43" s="25">
        <f t="shared" si="9"/>
        <v>0.30188679245283018</v>
      </c>
      <c r="O43" s="23">
        <v>13</v>
      </c>
      <c r="P43" s="22">
        <v>33</v>
      </c>
      <c r="Q43" s="24">
        <f t="shared" si="10"/>
        <v>0.52</v>
      </c>
      <c r="R43" s="24">
        <f t="shared" si="11"/>
        <v>1.32</v>
      </c>
      <c r="S43" s="25">
        <f t="shared" si="12"/>
        <v>0.39393939393939392</v>
      </c>
      <c r="T43" s="22">
        <v>3</v>
      </c>
      <c r="U43" s="22">
        <v>20</v>
      </c>
      <c r="V43" s="24">
        <f t="shared" si="13"/>
        <v>0.12</v>
      </c>
      <c r="W43" s="24">
        <f t="shared" si="14"/>
        <v>0.8</v>
      </c>
      <c r="X43" s="25">
        <f t="shared" si="15"/>
        <v>0.15</v>
      </c>
      <c r="Y43" s="15">
        <v>0</v>
      </c>
      <c r="Z43" s="15">
        <v>0</v>
      </c>
      <c r="AA43" s="24">
        <f t="shared" si="16"/>
        <v>0</v>
      </c>
      <c r="AB43" s="24">
        <f t="shared" si="17"/>
        <v>0</v>
      </c>
      <c r="AC43" s="25" t="e">
        <f t="shared" si="18"/>
        <v>#DIV/0!</v>
      </c>
      <c r="AD43" s="22">
        <v>15</v>
      </c>
      <c r="AE43" s="24">
        <f t="shared" si="19"/>
        <v>0.6</v>
      </c>
      <c r="AF43" s="22">
        <v>3</v>
      </c>
      <c r="AG43" s="24">
        <f t="shared" si="20"/>
        <v>0.12</v>
      </c>
      <c r="AH43" s="22">
        <v>12</v>
      </c>
      <c r="AI43" s="24">
        <f t="shared" si="21"/>
        <v>0.48</v>
      </c>
      <c r="AJ43" s="22">
        <v>34</v>
      </c>
      <c r="AK43" s="24">
        <f t="shared" si="22"/>
        <v>1.36</v>
      </c>
      <c r="AL43" s="13">
        <v>11</v>
      </c>
      <c r="AM43" s="24">
        <f t="shared" si="23"/>
        <v>0.44</v>
      </c>
      <c r="AN43" s="12">
        <v>2</v>
      </c>
      <c r="AO43" s="24">
        <f t="shared" si="24"/>
        <v>0.08</v>
      </c>
      <c r="AP43" s="22">
        <v>20</v>
      </c>
      <c r="AQ43" s="24">
        <f t="shared" si="36"/>
        <v>0.8</v>
      </c>
      <c r="AR43" s="22">
        <v>21</v>
      </c>
      <c r="AS43" s="24">
        <f t="shared" si="26"/>
        <v>0.84</v>
      </c>
      <c r="AT43" s="26">
        <v>-0.5111736473533941</v>
      </c>
      <c r="AU43" s="26">
        <v>-7.5380445692666415E-2</v>
      </c>
      <c r="AV43" s="26">
        <v>-0.52729585821220182</v>
      </c>
      <c r="AW43" s="26">
        <v>1.6122210858807686E-2</v>
      </c>
      <c r="AX43" s="26">
        <v>72.467471537206478</v>
      </c>
      <c r="AY43" s="26">
        <v>116.25677914728627</v>
      </c>
      <c r="AZ43" s="26">
        <v>0.61668094334407331</v>
      </c>
      <c r="BA43" s="26">
        <v>1.6</v>
      </c>
      <c r="BB43" s="26">
        <v>5.8986175115207375</v>
      </c>
      <c r="BC43" s="25">
        <v>0.330188679245283</v>
      </c>
      <c r="BD43" s="25">
        <v>0.330188679245283</v>
      </c>
      <c r="BE43" s="26">
        <v>5.8061016560910783</v>
      </c>
      <c r="BF43" s="25">
        <v>0.37735849056603776</v>
      </c>
      <c r="BG43" s="25">
        <v>0</v>
      </c>
      <c r="BH43" s="26">
        <v>0.57394436087708267</v>
      </c>
      <c r="BI43" s="26">
        <v>2.2957774435083307</v>
      </c>
      <c r="BJ43" s="26">
        <v>1.3715163484748738</v>
      </c>
      <c r="BK43" s="26">
        <v>7.3688773298656267</v>
      </c>
      <c r="BL43" s="26">
        <v>2.205640235019978</v>
      </c>
      <c r="BM43" s="26">
        <v>0.30993156323669285</v>
      </c>
      <c r="BN43" s="26">
        <v>27.397260273972602</v>
      </c>
      <c r="BO43" s="27" t="s">
        <v>189</v>
      </c>
      <c r="BP43" s="28"/>
      <c r="BQ43" s="17" t="s">
        <v>255</v>
      </c>
      <c r="BR43" s="58">
        <v>121.05</v>
      </c>
      <c r="BS43" s="58">
        <v>186.35</v>
      </c>
      <c r="BT43" s="58">
        <v>65.3</v>
      </c>
      <c r="BU43" s="35">
        <f t="shared" si="35"/>
        <v>4.8419999999999996</v>
      </c>
      <c r="BV43" s="35">
        <f t="shared" si="30"/>
        <v>7.4539999999999997</v>
      </c>
      <c r="BW43" s="35">
        <f t="shared" si="31"/>
        <v>2.6120000000000001</v>
      </c>
      <c r="BX43" s="36">
        <f t="shared" si="32"/>
        <v>17.850691244239634</v>
      </c>
      <c r="BY43" s="36">
        <f t="shared" si="33"/>
        <v>27.480184331797236</v>
      </c>
      <c r="BZ43" s="36">
        <f t="shared" si="34"/>
        <v>9.6294930875576039</v>
      </c>
      <c r="CA43" s="48">
        <v>6</v>
      </c>
      <c r="CB43" s="48">
        <v>19</v>
      </c>
    </row>
    <row r="44" spans="1:80" x14ac:dyDescent="0.4">
      <c r="A44" s="21" t="s">
        <v>231</v>
      </c>
      <c r="B44" s="17" t="s">
        <v>192</v>
      </c>
      <c r="C44" s="17" t="s">
        <v>226</v>
      </c>
      <c r="D44" s="22">
        <v>44</v>
      </c>
      <c r="E44" s="22">
        <v>11</v>
      </c>
      <c r="F44" s="22">
        <v>50</v>
      </c>
      <c r="G44" s="23">
        <v>31240</v>
      </c>
      <c r="H44" s="23">
        <v>167</v>
      </c>
      <c r="I44" s="24">
        <f t="shared" si="6"/>
        <v>3.7954545454545454</v>
      </c>
      <c r="J44" s="22">
        <v>59</v>
      </c>
      <c r="K44" s="22">
        <v>165</v>
      </c>
      <c r="L44" s="24">
        <f t="shared" si="7"/>
        <v>1.3409090909090908</v>
      </c>
      <c r="M44" s="24">
        <f t="shared" si="8"/>
        <v>3.75</v>
      </c>
      <c r="N44" s="25">
        <f t="shared" si="9"/>
        <v>0.3575757575757576</v>
      </c>
      <c r="O44" s="23">
        <v>23</v>
      </c>
      <c r="P44" s="22">
        <v>43</v>
      </c>
      <c r="Q44" s="24">
        <f t="shared" si="10"/>
        <v>0.52272727272727271</v>
      </c>
      <c r="R44" s="24">
        <f t="shared" si="11"/>
        <v>0.97727272727272729</v>
      </c>
      <c r="S44" s="25">
        <f t="shared" si="12"/>
        <v>0.53488372093023251</v>
      </c>
      <c r="T44" s="22">
        <v>36</v>
      </c>
      <c r="U44" s="22">
        <v>122</v>
      </c>
      <c r="V44" s="24">
        <f t="shared" si="13"/>
        <v>0.81818181818181823</v>
      </c>
      <c r="W44" s="24">
        <f t="shared" si="14"/>
        <v>2.7727272727272729</v>
      </c>
      <c r="X44" s="25">
        <f t="shared" si="15"/>
        <v>0.29508196721311475</v>
      </c>
      <c r="Y44" s="22">
        <v>13</v>
      </c>
      <c r="Z44" s="22">
        <v>15</v>
      </c>
      <c r="AA44" s="24">
        <f t="shared" si="16"/>
        <v>0.29545454545454547</v>
      </c>
      <c r="AB44" s="24">
        <f t="shared" si="17"/>
        <v>0.34090909090909088</v>
      </c>
      <c r="AC44" s="25">
        <f t="shared" si="18"/>
        <v>0.8666666666666667</v>
      </c>
      <c r="AD44" s="22">
        <v>36</v>
      </c>
      <c r="AE44" s="24">
        <f t="shared" si="19"/>
        <v>0.81818181818181823</v>
      </c>
      <c r="AF44" s="22">
        <v>13</v>
      </c>
      <c r="AG44" s="24">
        <f t="shared" si="20"/>
        <v>0.29545454545454547</v>
      </c>
      <c r="AH44" s="22">
        <v>23</v>
      </c>
      <c r="AI44" s="24">
        <f t="shared" si="21"/>
        <v>0.52272727272727271</v>
      </c>
      <c r="AJ44" s="22">
        <v>19</v>
      </c>
      <c r="AK44" s="24">
        <f t="shared" si="22"/>
        <v>0.43181818181818182</v>
      </c>
      <c r="AL44" s="22">
        <v>14</v>
      </c>
      <c r="AM44" s="24">
        <f t="shared" si="23"/>
        <v>0.31818181818181818</v>
      </c>
      <c r="AN44" s="10">
        <v>1</v>
      </c>
      <c r="AO44" s="24">
        <f t="shared" si="24"/>
        <v>2.2727272727272728E-2</v>
      </c>
      <c r="AP44" s="22">
        <v>12</v>
      </c>
      <c r="AQ44" s="24">
        <f t="shared" si="36"/>
        <v>0.27272727272727271</v>
      </c>
      <c r="AR44" s="22">
        <v>53</v>
      </c>
      <c r="AS44" s="24">
        <f t="shared" si="26"/>
        <v>1.2045454545454546</v>
      </c>
      <c r="AT44" s="26">
        <v>6.9143924249924077E-2</v>
      </c>
      <c r="AU44" s="26">
        <v>5.3119532074205437E-3</v>
      </c>
      <c r="AV44" s="26">
        <v>0.14181188701483921</v>
      </c>
      <c r="AW44" s="26">
        <v>-7.2667962764915134E-2</v>
      </c>
      <c r="AX44" s="26">
        <v>102.92362734560896</v>
      </c>
      <c r="AY44" s="26">
        <v>118.19407106862515</v>
      </c>
      <c r="AZ44" s="26">
        <v>3.8413247628142333</v>
      </c>
      <c r="BA44" s="26">
        <v>2.6590909090909092</v>
      </c>
      <c r="BB44" s="26">
        <v>8.9884763124199747</v>
      </c>
      <c r="BC44" s="25">
        <v>0.48659673659673663</v>
      </c>
      <c r="BD44" s="25">
        <v>0.46666666666666667</v>
      </c>
      <c r="BE44" s="26">
        <v>13.389275938683534</v>
      </c>
      <c r="BF44" s="25">
        <v>0.73939393939393938</v>
      </c>
      <c r="BG44" s="25">
        <v>9.0909090909090912E-2</v>
      </c>
      <c r="BH44" s="26">
        <v>2.2804183690623243</v>
      </c>
      <c r="BI44" s="26">
        <v>4.0345863452641124</v>
      </c>
      <c r="BJ44" s="26">
        <v>3.0181086519114686</v>
      </c>
      <c r="BK44" s="26">
        <v>4.1155234657039719</v>
      </c>
      <c r="BL44" s="26">
        <v>1.4624465357621403</v>
      </c>
      <c r="BM44" s="26">
        <v>0.14208834342752608</v>
      </c>
      <c r="BN44" s="26">
        <v>6.5359477124183005</v>
      </c>
      <c r="BO44" s="27" t="s">
        <v>189</v>
      </c>
      <c r="BP44" s="27"/>
      <c r="BQ44" s="17" t="s">
        <v>253</v>
      </c>
      <c r="BR44" s="57">
        <v>266.11</v>
      </c>
      <c r="BS44" s="57">
        <v>383.11</v>
      </c>
      <c r="BT44" s="57">
        <v>117</v>
      </c>
      <c r="BU44" s="35">
        <f t="shared" si="35"/>
        <v>6.0479545454545454</v>
      </c>
      <c r="BV44" s="35">
        <f t="shared" si="30"/>
        <v>8.7070454545454545</v>
      </c>
      <c r="BW44" s="35">
        <f t="shared" si="31"/>
        <v>2.6590909090909092</v>
      </c>
      <c r="BX44" s="36">
        <f t="shared" si="32"/>
        <v>20.443790012804094</v>
      </c>
      <c r="BY44" s="36">
        <f t="shared" si="33"/>
        <v>29.43226632522407</v>
      </c>
      <c r="BZ44" s="36">
        <f t="shared" si="34"/>
        <v>8.9884763124199747</v>
      </c>
      <c r="CA44" s="48">
        <v>14</v>
      </c>
      <c r="CB44" s="48">
        <v>30</v>
      </c>
    </row>
    <row r="45" spans="1:80" x14ac:dyDescent="0.4">
      <c r="A45" s="21" t="s">
        <v>231</v>
      </c>
      <c r="B45" s="17" t="s">
        <v>192</v>
      </c>
      <c r="C45" s="17" t="s">
        <v>164</v>
      </c>
      <c r="D45" s="22">
        <v>40</v>
      </c>
      <c r="E45" s="22">
        <v>24</v>
      </c>
      <c r="F45" s="22">
        <v>27</v>
      </c>
      <c r="G45" s="23">
        <v>58680</v>
      </c>
      <c r="H45" s="23">
        <v>418</v>
      </c>
      <c r="I45" s="24">
        <f t="shared" si="6"/>
        <v>10.45</v>
      </c>
      <c r="J45" s="22">
        <v>143</v>
      </c>
      <c r="K45" s="22">
        <v>339</v>
      </c>
      <c r="L45" s="24">
        <f t="shared" si="7"/>
        <v>3.5750000000000002</v>
      </c>
      <c r="M45" s="24">
        <f t="shared" si="8"/>
        <v>8.4749999999999996</v>
      </c>
      <c r="N45" s="25">
        <f t="shared" si="9"/>
        <v>0.42182890855457228</v>
      </c>
      <c r="O45" s="23">
        <v>87</v>
      </c>
      <c r="P45" s="22">
        <v>180</v>
      </c>
      <c r="Q45" s="24">
        <f t="shared" si="10"/>
        <v>2.1749999999999998</v>
      </c>
      <c r="R45" s="24">
        <f t="shared" si="11"/>
        <v>4.5</v>
      </c>
      <c r="S45" s="25">
        <f t="shared" si="12"/>
        <v>0.48333333333333334</v>
      </c>
      <c r="T45" s="22">
        <v>56</v>
      </c>
      <c r="U45" s="22">
        <v>159</v>
      </c>
      <c r="V45" s="24">
        <f t="shared" si="13"/>
        <v>1.4</v>
      </c>
      <c r="W45" s="24">
        <f t="shared" si="14"/>
        <v>3.9750000000000001</v>
      </c>
      <c r="X45" s="25">
        <f t="shared" si="15"/>
        <v>0.3522012578616352</v>
      </c>
      <c r="Y45" s="22">
        <v>76</v>
      </c>
      <c r="Z45" s="22">
        <v>111</v>
      </c>
      <c r="AA45" s="24">
        <f t="shared" si="16"/>
        <v>1.9</v>
      </c>
      <c r="AB45" s="24">
        <f t="shared" si="17"/>
        <v>2.7749999999999999</v>
      </c>
      <c r="AC45" s="25">
        <f t="shared" si="18"/>
        <v>0.68468468468468469</v>
      </c>
      <c r="AD45" s="22">
        <v>148</v>
      </c>
      <c r="AE45" s="24">
        <f t="shared" si="19"/>
        <v>3.7</v>
      </c>
      <c r="AF45" s="22">
        <v>37</v>
      </c>
      <c r="AG45" s="24">
        <f t="shared" si="20"/>
        <v>0.92500000000000004</v>
      </c>
      <c r="AH45" s="22">
        <v>111</v>
      </c>
      <c r="AI45" s="24">
        <f t="shared" si="21"/>
        <v>2.7749999999999999</v>
      </c>
      <c r="AJ45" s="22">
        <v>59</v>
      </c>
      <c r="AK45" s="24">
        <f t="shared" si="22"/>
        <v>1.4750000000000001</v>
      </c>
      <c r="AL45" s="22">
        <v>28</v>
      </c>
      <c r="AM45" s="24">
        <f t="shared" si="23"/>
        <v>0.7</v>
      </c>
      <c r="AN45" s="10">
        <v>14</v>
      </c>
      <c r="AO45" s="24">
        <f t="shared" si="24"/>
        <v>0.35</v>
      </c>
      <c r="AP45" s="22">
        <v>55</v>
      </c>
      <c r="AQ45" s="24">
        <f t="shared" si="36"/>
        <v>1.375</v>
      </c>
      <c r="AR45" s="22">
        <v>95</v>
      </c>
      <c r="AS45" s="24">
        <f t="shared" si="26"/>
        <v>2.375</v>
      </c>
      <c r="AT45" s="26">
        <v>0.85245125004233313</v>
      </c>
      <c r="AU45" s="26">
        <v>3.4865081801322417E-2</v>
      </c>
      <c r="AV45" s="26">
        <v>0.60974319434833935</v>
      </c>
      <c r="AW45" s="26">
        <v>0.24270805569399373</v>
      </c>
      <c r="AX45" s="26">
        <v>105.3206277287299</v>
      </c>
      <c r="AY45" s="26">
        <v>114.41949284518647</v>
      </c>
      <c r="AZ45" s="26">
        <v>6.3117496061064386</v>
      </c>
      <c r="BA45" s="26">
        <v>9.5250000000000004</v>
      </c>
      <c r="BB45" s="26">
        <v>15.582822085889571</v>
      </c>
      <c r="BC45" s="25">
        <v>0.53888201320132012</v>
      </c>
      <c r="BD45" s="25">
        <v>0.50442477876106195</v>
      </c>
      <c r="BE45" s="26">
        <v>15.630018501616158</v>
      </c>
      <c r="BF45" s="25">
        <v>0.46902654867256638</v>
      </c>
      <c r="BG45" s="25">
        <v>0.32743362831858408</v>
      </c>
      <c r="BH45" s="26">
        <v>3.1412401318896359</v>
      </c>
      <c r="BI45" s="26">
        <v>9.4237203956689086</v>
      </c>
      <c r="BJ45" s="26">
        <v>6.005128704515208</v>
      </c>
      <c r="BK45" s="26">
        <v>6.325042881646656</v>
      </c>
      <c r="BL45" s="26">
        <v>1.5571516624815702</v>
      </c>
      <c r="BM45" s="26">
        <v>0.9627526473548802</v>
      </c>
      <c r="BN45" s="26">
        <v>12.419835606539607</v>
      </c>
      <c r="BO45" s="27" t="s">
        <v>189</v>
      </c>
      <c r="BP45" s="28"/>
      <c r="BQ45" s="17" t="s">
        <v>255</v>
      </c>
      <c r="BR45" s="58">
        <v>666.28</v>
      </c>
      <c r="BS45" s="58">
        <v>962.48</v>
      </c>
      <c r="BT45" s="58">
        <v>296.2</v>
      </c>
      <c r="BU45" s="35">
        <f t="shared" si="35"/>
        <v>16.657000000000004</v>
      </c>
      <c r="BV45" s="35">
        <f t="shared" si="30"/>
        <v>24.062000000000001</v>
      </c>
      <c r="BW45" s="35">
        <f t="shared" si="31"/>
        <v>7.4049999999999994</v>
      </c>
      <c r="BX45" s="36">
        <f t="shared" si="32"/>
        <v>27.250715746421271</v>
      </c>
      <c r="BY45" s="36">
        <f t="shared" si="33"/>
        <v>39.365235173824132</v>
      </c>
      <c r="BZ45" s="36">
        <f t="shared" si="34"/>
        <v>12.114519427402863</v>
      </c>
      <c r="CA45" s="48">
        <v>13</v>
      </c>
      <c r="CB45" s="48">
        <v>28</v>
      </c>
    </row>
    <row r="46" spans="1:80" x14ac:dyDescent="0.4">
      <c r="A46" s="21" t="s">
        <v>231</v>
      </c>
      <c r="B46" s="17" t="s">
        <v>192</v>
      </c>
      <c r="C46" s="17" t="s">
        <v>159</v>
      </c>
      <c r="D46" s="32">
        <v>32</v>
      </c>
      <c r="E46" s="32">
        <v>17</v>
      </c>
      <c r="F46" s="32">
        <v>16</v>
      </c>
      <c r="G46" s="23">
        <v>33152</v>
      </c>
      <c r="H46" s="23">
        <v>146</v>
      </c>
      <c r="I46" s="24">
        <f t="shared" si="6"/>
        <v>4.5625</v>
      </c>
      <c r="J46" s="22">
        <v>48</v>
      </c>
      <c r="K46" s="22">
        <v>121</v>
      </c>
      <c r="L46" s="24">
        <f t="shared" si="7"/>
        <v>1.5</v>
      </c>
      <c r="M46" s="24">
        <f t="shared" si="8"/>
        <v>3.78125</v>
      </c>
      <c r="N46" s="25">
        <f t="shared" si="9"/>
        <v>0.39669421487603307</v>
      </c>
      <c r="O46" s="23">
        <v>12</v>
      </c>
      <c r="P46" s="22">
        <v>32</v>
      </c>
      <c r="Q46" s="24">
        <f t="shared" si="10"/>
        <v>0.375</v>
      </c>
      <c r="R46" s="24">
        <f t="shared" si="11"/>
        <v>1</v>
      </c>
      <c r="S46" s="25">
        <f t="shared" si="12"/>
        <v>0.375</v>
      </c>
      <c r="T46" s="22">
        <v>36</v>
      </c>
      <c r="U46" s="22">
        <v>89</v>
      </c>
      <c r="V46" s="24">
        <f t="shared" si="13"/>
        <v>1.125</v>
      </c>
      <c r="W46" s="24">
        <f t="shared" si="14"/>
        <v>2.78125</v>
      </c>
      <c r="X46" s="25">
        <f t="shared" si="15"/>
        <v>0.4044943820224719</v>
      </c>
      <c r="Y46" s="22">
        <v>14</v>
      </c>
      <c r="Z46" s="22">
        <v>21</v>
      </c>
      <c r="AA46" s="24">
        <f t="shared" si="16"/>
        <v>0.4375</v>
      </c>
      <c r="AB46" s="24">
        <f t="shared" si="17"/>
        <v>0.65625</v>
      </c>
      <c r="AC46" s="25">
        <f t="shared" si="18"/>
        <v>0.66666666666666663</v>
      </c>
      <c r="AD46" s="22">
        <v>47</v>
      </c>
      <c r="AE46" s="24">
        <f t="shared" si="19"/>
        <v>1.46875</v>
      </c>
      <c r="AF46" s="22">
        <v>22</v>
      </c>
      <c r="AG46" s="24">
        <f t="shared" si="20"/>
        <v>0.6875</v>
      </c>
      <c r="AH46" s="22">
        <v>25</v>
      </c>
      <c r="AI46" s="24">
        <f t="shared" si="21"/>
        <v>0.78125</v>
      </c>
      <c r="AJ46" s="22">
        <v>39</v>
      </c>
      <c r="AK46" s="24">
        <f t="shared" si="22"/>
        <v>1.21875</v>
      </c>
      <c r="AL46" s="22">
        <v>20</v>
      </c>
      <c r="AM46" s="24">
        <f t="shared" si="23"/>
        <v>0.625</v>
      </c>
      <c r="AN46" s="10">
        <v>1</v>
      </c>
      <c r="AO46" s="24">
        <f t="shared" si="24"/>
        <v>3.125E-2</v>
      </c>
      <c r="AP46" s="22">
        <v>22</v>
      </c>
      <c r="AQ46" s="24">
        <f t="shared" si="36"/>
        <v>0.6875</v>
      </c>
      <c r="AR46" s="22">
        <v>78</v>
      </c>
      <c r="AS46" s="24">
        <f t="shared" si="26"/>
        <v>2.4375</v>
      </c>
      <c r="AT46" s="26">
        <v>0.45305298589382575</v>
      </c>
      <c r="AU46" s="26">
        <v>3.2798237395788549E-2</v>
      </c>
      <c r="AV46" s="26">
        <v>0.45621992085123486</v>
      </c>
      <c r="AW46" s="26">
        <v>-3.1669349574091083E-3</v>
      </c>
      <c r="AX46" s="26">
        <v>111.48366361824924</v>
      </c>
      <c r="AY46" s="26">
        <v>116.89118984960122</v>
      </c>
      <c r="AZ46" s="26">
        <v>2.9052761434515606</v>
      </c>
      <c r="BA46" s="26">
        <v>4.71875</v>
      </c>
      <c r="BB46" s="26">
        <v>10.931467181467182</v>
      </c>
      <c r="BC46" s="25">
        <v>0.56050368550368546</v>
      </c>
      <c r="BD46" s="25">
        <v>0.54545454545454541</v>
      </c>
      <c r="BE46" s="26">
        <v>7.6087231765519654</v>
      </c>
      <c r="BF46" s="25">
        <v>0.73553719008264462</v>
      </c>
      <c r="BG46" s="25">
        <v>0.17355371900826447</v>
      </c>
      <c r="BH46" s="26">
        <v>2.6447976629606105</v>
      </c>
      <c r="BI46" s="26">
        <v>3.0054518897279667</v>
      </c>
      <c r="BJ46" s="26">
        <v>2.7004044861187717</v>
      </c>
      <c r="BK46" s="26">
        <v>5.4795803671787189</v>
      </c>
      <c r="BL46" s="26">
        <v>1.9687168098976688</v>
      </c>
      <c r="BM46" s="26">
        <v>9.7377146557474439E-2</v>
      </c>
      <c r="BN46" s="26">
        <v>14.450867052023121</v>
      </c>
      <c r="BO46" s="27" t="s">
        <v>189</v>
      </c>
      <c r="BP46" s="28"/>
      <c r="BQ46" s="17" t="s">
        <v>253</v>
      </c>
      <c r="BR46" s="57">
        <v>324.27</v>
      </c>
      <c r="BS46" s="57">
        <v>430.57</v>
      </c>
      <c r="BT46" s="57">
        <v>106.3</v>
      </c>
      <c r="BU46" s="35">
        <f t="shared" si="35"/>
        <v>10.133437499999999</v>
      </c>
      <c r="BV46" s="35">
        <f t="shared" si="30"/>
        <v>13.4553125</v>
      </c>
      <c r="BW46" s="35">
        <f t="shared" si="31"/>
        <v>3.3218749999999999</v>
      </c>
      <c r="BX46" s="36">
        <f t="shared" si="32"/>
        <v>23.475144787644787</v>
      </c>
      <c r="BY46" s="36">
        <f t="shared" si="33"/>
        <v>31.170608108108109</v>
      </c>
      <c r="BZ46" s="36">
        <f t="shared" si="34"/>
        <v>7.69546332046332</v>
      </c>
      <c r="CA46" s="50">
        <v>15</v>
      </c>
      <c r="CB46" s="50">
        <v>17</v>
      </c>
    </row>
    <row r="47" spans="1:80" x14ac:dyDescent="0.4">
      <c r="A47" s="21" t="s">
        <v>231</v>
      </c>
      <c r="B47" s="17" t="s">
        <v>192</v>
      </c>
      <c r="C47" s="17" t="s">
        <v>151</v>
      </c>
      <c r="D47" s="33">
        <v>36</v>
      </c>
      <c r="E47" s="33">
        <v>23</v>
      </c>
      <c r="F47" s="33">
        <v>12</v>
      </c>
      <c r="G47" s="23">
        <v>50112</v>
      </c>
      <c r="H47" s="23">
        <v>129</v>
      </c>
      <c r="I47" s="24">
        <f t="shared" si="6"/>
        <v>3.5833333333333335</v>
      </c>
      <c r="J47" s="22">
        <v>44</v>
      </c>
      <c r="K47" s="22">
        <v>108</v>
      </c>
      <c r="L47" s="24">
        <f t="shared" si="7"/>
        <v>1.2222222222222223</v>
      </c>
      <c r="M47" s="24">
        <f t="shared" si="8"/>
        <v>3</v>
      </c>
      <c r="N47" s="25">
        <f t="shared" si="9"/>
        <v>0.40740740740740738</v>
      </c>
      <c r="O47" s="23">
        <v>19</v>
      </c>
      <c r="P47" s="22">
        <v>35</v>
      </c>
      <c r="Q47" s="24">
        <f t="shared" si="10"/>
        <v>0.52777777777777779</v>
      </c>
      <c r="R47" s="24">
        <f t="shared" si="11"/>
        <v>0.97222222222222221</v>
      </c>
      <c r="S47" s="25">
        <f t="shared" si="12"/>
        <v>0.54285714285714282</v>
      </c>
      <c r="T47" s="22">
        <v>25</v>
      </c>
      <c r="U47" s="22">
        <v>73</v>
      </c>
      <c r="V47" s="24">
        <f t="shared" si="13"/>
        <v>0.69444444444444442</v>
      </c>
      <c r="W47" s="24">
        <f t="shared" si="14"/>
        <v>2.0277777777777777</v>
      </c>
      <c r="X47" s="25">
        <f t="shared" si="15"/>
        <v>0.34246575342465752</v>
      </c>
      <c r="Y47" s="22">
        <v>16</v>
      </c>
      <c r="Z47" s="22">
        <v>22</v>
      </c>
      <c r="AA47" s="24">
        <f t="shared" si="16"/>
        <v>0.44444444444444442</v>
      </c>
      <c r="AB47" s="24">
        <f t="shared" si="17"/>
        <v>0.61111111111111116</v>
      </c>
      <c r="AC47" s="25">
        <f t="shared" si="18"/>
        <v>0.72727272727272729</v>
      </c>
      <c r="AD47" s="22">
        <v>119</v>
      </c>
      <c r="AE47" s="24">
        <f t="shared" si="19"/>
        <v>3.3055555555555554</v>
      </c>
      <c r="AF47" s="22">
        <v>29</v>
      </c>
      <c r="AG47" s="24">
        <f t="shared" si="20"/>
        <v>0.80555555555555558</v>
      </c>
      <c r="AH47" s="22">
        <v>90</v>
      </c>
      <c r="AI47" s="24">
        <f t="shared" si="21"/>
        <v>2.5</v>
      </c>
      <c r="AJ47" s="22">
        <v>51</v>
      </c>
      <c r="AK47" s="24">
        <f t="shared" si="22"/>
        <v>1.4166666666666667</v>
      </c>
      <c r="AL47" s="22">
        <v>20</v>
      </c>
      <c r="AM47" s="24">
        <f t="shared" si="23"/>
        <v>0.55555555555555558</v>
      </c>
      <c r="AN47" s="10">
        <v>3</v>
      </c>
      <c r="AO47" s="24">
        <f t="shared" si="24"/>
        <v>8.3333333333333329E-2</v>
      </c>
      <c r="AP47" s="22">
        <v>29</v>
      </c>
      <c r="AQ47" s="24">
        <f t="shared" si="36"/>
        <v>0.80555555555555558</v>
      </c>
      <c r="AR47" s="22">
        <v>79</v>
      </c>
      <c r="AS47" s="24">
        <f t="shared" si="26"/>
        <v>2.1944444444444446</v>
      </c>
      <c r="AT47" s="26">
        <v>0.40418254761320782</v>
      </c>
      <c r="AU47" s="26">
        <v>1.9357401705613401E-2</v>
      </c>
      <c r="AV47" s="26">
        <v>0.32051567822717425</v>
      </c>
      <c r="AW47" s="26">
        <v>8.3666869386033571E-2</v>
      </c>
      <c r="AX47" s="26">
        <v>107.74187919535538</v>
      </c>
      <c r="AY47" s="26">
        <v>115.86018594844015</v>
      </c>
      <c r="AZ47" s="26">
        <v>2.7486492235739557</v>
      </c>
      <c r="BA47" s="26">
        <v>6.1944444444444446</v>
      </c>
      <c r="BB47" s="26">
        <v>10.680076628352491</v>
      </c>
      <c r="BC47" s="25">
        <v>0.5480965329707681</v>
      </c>
      <c r="BD47" s="25">
        <v>0.52314814814814814</v>
      </c>
      <c r="BE47" s="26">
        <v>5.456000857010225</v>
      </c>
      <c r="BF47" s="25">
        <v>0.67592592592592593</v>
      </c>
      <c r="BG47" s="25">
        <v>0.20370370370370369</v>
      </c>
      <c r="BH47" s="26">
        <v>2.5947067981318113</v>
      </c>
      <c r="BI47" s="26">
        <v>8.0525383390297591</v>
      </c>
      <c r="BJ47" s="26">
        <v>5.0886015325670497</v>
      </c>
      <c r="BK47" s="26">
        <v>5.2211302211302213</v>
      </c>
      <c r="BL47" s="26">
        <v>1.3024205715542692</v>
      </c>
      <c r="BM47" s="26">
        <v>0.21741966343436103</v>
      </c>
      <c r="BN47" s="26">
        <v>19.770929915462229</v>
      </c>
      <c r="BO47" s="27" t="s">
        <v>189</v>
      </c>
      <c r="BP47" s="27"/>
      <c r="BQ47" s="17" t="s">
        <v>253</v>
      </c>
      <c r="BR47" s="58">
        <v>478.35</v>
      </c>
      <c r="BS47" s="58">
        <v>585.85</v>
      </c>
      <c r="BT47" s="58">
        <v>107.5</v>
      </c>
      <c r="BU47" s="35">
        <f t="shared" si="35"/>
        <v>13.287500000000001</v>
      </c>
      <c r="BV47" s="35">
        <f t="shared" si="30"/>
        <v>16.273611111111112</v>
      </c>
      <c r="BW47" s="35">
        <f t="shared" si="31"/>
        <v>2.9861111111111112</v>
      </c>
      <c r="BX47" s="36">
        <f t="shared" si="32"/>
        <v>22.90948275862069</v>
      </c>
      <c r="BY47" s="36">
        <f t="shared" si="33"/>
        <v>28.057950191570882</v>
      </c>
      <c r="BZ47" s="36">
        <f t="shared" si="34"/>
        <v>5.1484674329501914</v>
      </c>
      <c r="CA47" s="50">
        <v>10</v>
      </c>
      <c r="CB47" s="50">
        <v>26</v>
      </c>
    </row>
    <row r="48" spans="1:80" x14ac:dyDescent="0.4">
      <c r="A48" s="21" t="s">
        <v>231</v>
      </c>
      <c r="B48" s="17" t="s">
        <v>191</v>
      </c>
      <c r="C48" s="17" t="s">
        <v>54</v>
      </c>
      <c r="D48" s="39">
        <v>54</v>
      </c>
      <c r="E48" s="39">
        <v>30</v>
      </c>
      <c r="F48" s="39">
        <v>32</v>
      </c>
      <c r="G48" s="23">
        <v>98928</v>
      </c>
      <c r="H48" s="23">
        <v>879</v>
      </c>
      <c r="I48" s="24">
        <f t="shared" si="6"/>
        <v>16.277777777777779</v>
      </c>
      <c r="J48" s="22">
        <v>330</v>
      </c>
      <c r="K48" s="22">
        <v>683</v>
      </c>
      <c r="L48" s="24">
        <f t="shared" si="7"/>
        <v>6.1111111111111107</v>
      </c>
      <c r="M48" s="24">
        <f t="shared" si="8"/>
        <v>12.648148148148149</v>
      </c>
      <c r="N48" s="25">
        <f t="shared" si="9"/>
        <v>0.48316251830161056</v>
      </c>
      <c r="O48" s="23">
        <v>267</v>
      </c>
      <c r="P48" s="22">
        <v>487</v>
      </c>
      <c r="Q48" s="24">
        <f t="shared" si="10"/>
        <v>4.9444444444444446</v>
      </c>
      <c r="R48" s="24">
        <f t="shared" si="11"/>
        <v>9.018518518518519</v>
      </c>
      <c r="S48" s="25">
        <f t="shared" si="12"/>
        <v>0.54825462012320325</v>
      </c>
      <c r="T48" s="22">
        <v>63</v>
      </c>
      <c r="U48" s="22">
        <v>196</v>
      </c>
      <c r="V48" s="24">
        <f t="shared" si="13"/>
        <v>1.1666666666666667</v>
      </c>
      <c r="W48" s="24">
        <f t="shared" si="14"/>
        <v>3.6296296296296298</v>
      </c>
      <c r="X48" s="25">
        <f t="shared" si="15"/>
        <v>0.32142857142857145</v>
      </c>
      <c r="Y48" s="15">
        <v>156</v>
      </c>
      <c r="Z48" s="15">
        <v>211</v>
      </c>
      <c r="AA48" s="24">
        <f t="shared" si="16"/>
        <v>2.8888888888888888</v>
      </c>
      <c r="AB48" s="24">
        <f t="shared" si="17"/>
        <v>3.9074074074074074</v>
      </c>
      <c r="AC48" s="25">
        <f t="shared" si="18"/>
        <v>0.73933649289099523</v>
      </c>
      <c r="AD48" s="22">
        <v>144</v>
      </c>
      <c r="AE48" s="24">
        <f t="shared" si="19"/>
        <v>2.6666666666666665</v>
      </c>
      <c r="AF48" s="22">
        <v>28</v>
      </c>
      <c r="AG48" s="24">
        <f t="shared" si="20"/>
        <v>0.51851851851851849</v>
      </c>
      <c r="AH48" s="22">
        <v>116</v>
      </c>
      <c r="AI48" s="24">
        <f t="shared" si="21"/>
        <v>2.1481481481481484</v>
      </c>
      <c r="AJ48" s="22">
        <v>365</v>
      </c>
      <c r="AK48" s="24">
        <f t="shared" si="22"/>
        <v>6.7592592592592595</v>
      </c>
      <c r="AL48" s="13">
        <v>74</v>
      </c>
      <c r="AM48" s="24">
        <f t="shared" si="23"/>
        <v>1.3703703703703705</v>
      </c>
      <c r="AN48" s="12">
        <v>21</v>
      </c>
      <c r="AO48" s="24">
        <f t="shared" si="24"/>
        <v>0.3888888888888889</v>
      </c>
      <c r="AP48" s="22">
        <v>122</v>
      </c>
      <c r="AQ48" s="24">
        <f t="shared" si="36"/>
        <v>2.2592592592592591</v>
      </c>
      <c r="AR48" s="22">
        <v>99</v>
      </c>
      <c r="AS48" s="24">
        <f t="shared" si="26"/>
        <v>1.8333333333333333</v>
      </c>
      <c r="AT48" s="26">
        <v>4.3094558181470903</v>
      </c>
      <c r="AU48" s="26">
        <v>0.10454769088178288</v>
      </c>
      <c r="AV48" s="26">
        <v>3.5735294471179833</v>
      </c>
      <c r="AW48" s="26">
        <v>0.73592637102910696</v>
      </c>
      <c r="AX48" s="26">
        <v>115.28390309243196</v>
      </c>
      <c r="AY48" s="26">
        <v>112.46367372821021</v>
      </c>
      <c r="AZ48" s="26">
        <v>14.85145449747619</v>
      </c>
      <c r="BA48" s="26">
        <v>17.648148148148149</v>
      </c>
      <c r="BB48" s="26">
        <v>23.119844735565259</v>
      </c>
      <c r="BC48" s="25">
        <v>0.56648277995462981</v>
      </c>
      <c r="BD48" s="25">
        <v>0.52928257686676428</v>
      </c>
      <c r="BE48" s="26">
        <v>25.375595594297973</v>
      </c>
      <c r="BF48" s="25">
        <v>0.28696925329428991</v>
      </c>
      <c r="BG48" s="25">
        <v>0.30893118594436308</v>
      </c>
      <c r="BH48" s="26">
        <v>1.9035403584547785</v>
      </c>
      <c r="BI48" s="26">
        <v>7.8860957707412247</v>
      </c>
      <c r="BJ48" s="26">
        <v>4.6787273861509666</v>
      </c>
      <c r="BK48" s="26">
        <v>36.014998026575448</v>
      </c>
      <c r="BL48" s="26">
        <v>2.4410432721008397</v>
      </c>
      <c r="BM48" s="26">
        <v>1.1564067688342867</v>
      </c>
      <c r="BN48" s="26">
        <v>13.588167156731711</v>
      </c>
      <c r="BO48" s="27" t="s">
        <v>189</v>
      </c>
      <c r="BP48" s="28"/>
      <c r="BQ48" s="17" t="s">
        <v>255</v>
      </c>
      <c r="BR48" s="35">
        <v>1532.53</v>
      </c>
      <c r="BS48" s="35">
        <v>2099.23</v>
      </c>
      <c r="BT48" s="35">
        <v>566.70000000000005</v>
      </c>
      <c r="BU48" s="35">
        <f t="shared" si="35"/>
        <v>28.380185185185184</v>
      </c>
      <c r="BV48" s="35">
        <f t="shared" si="30"/>
        <v>38.874629629629631</v>
      </c>
      <c r="BW48" s="35">
        <f t="shared" si="31"/>
        <v>10.494444444444445</v>
      </c>
      <c r="BX48" s="36">
        <f t="shared" si="32"/>
        <v>37.179281901989327</v>
      </c>
      <c r="BY48" s="36">
        <f t="shared" si="33"/>
        <v>50.927462396894711</v>
      </c>
      <c r="BZ48" s="36">
        <f t="shared" si="34"/>
        <v>13.748180494905386</v>
      </c>
      <c r="CA48" s="50">
        <v>36</v>
      </c>
      <c r="CB48" s="50">
        <v>18</v>
      </c>
    </row>
    <row r="49" spans="1:80" x14ac:dyDescent="0.4">
      <c r="A49" s="21" t="s">
        <v>231</v>
      </c>
      <c r="B49" s="17" t="s">
        <v>191</v>
      </c>
      <c r="C49" s="20" t="s">
        <v>128</v>
      </c>
      <c r="D49" s="33">
        <v>4</v>
      </c>
      <c r="E49" s="33">
        <v>11</v>
      </c>
      <c r="F49" s="33">
        <v>28</v>
      </c>
      <c r="G49" s="23">
        <v>2752</v>
      </c>
      <c r="H49" s="23">
        <v>4</v>
      </c>
      <c r="I49" s="24">
        <f t="shared" si="6"/>
        <v>1</v>
      </c>
      <c r="J49" s="22">
        <v>1</v>
      </c>
      <c r="K49" s="22">
        <v>2</v>
      </c>
      <c r="L49" s="24">
        <f t="shared" si="7"/>
        <v>0.25</v>
      </c>
      <c r="M49" s="24">
        <f t="shared" si="8"/>
        <v>0.5</v>
      </c>
      <c r="N49" s="25">
        <f t="shared" si="9"/>
        <v>0.5</v>
      </c>
      <c r="O49" s="23">
        <v>1</v>
      </c>
      <c r="P49" s="22">
        <v>2</v>
      </c>
      <c r="Q49" s="24">
        <f t="shared" si="10"/>
        <v>0.25</v>
      </c>
      <c r="R49" s="24">
        <f t="shared" si="11"/>
        <v>0.5</v>
      </c>
      <c r="S49" s="25">
        <f t="shared" si="12"/>
        <v>0.5</v>
      </c>
      <c r="T49" s="22">
        <v>0</v>
      </c>
      <c r="U49" s="22">
        <v>0</v>
      </c>
      <c r="V49" s="24">
        <f t="shared" si="13"/>
        <v>0</v>
      </c>
      <c r="W49" s="24">
        <f t="shared" si="14"/>
        <v>0</v>
      </c>
      <c r="X49" s="25" t="e">
        <f t="shared" si="15"/>
        <v>#DIV/0!</v>
      </c>
      <c r="Y49" s="22">
        <v>2</v>
      </c>
      <c r="Z49" s="22">
        <v>4</v>
      </c>
      <c r="AA49" s="24">
        <f t="shared" si="16"/>
        <v>0.5</v>
      </c>
      <c r="AB49" s="24">
        <f t="shared" si="17"/>
        <v>1</v>
      </c>
      <c r="AC49" s="25">
        <f t="shared" si="18"/>
        <v>0.5</v>
      </c>
      <c r="AD49" s="22">
        <v>11</v>
      </c>
      <c r="AE49" s="24">
        <f t="shared" si="19"/>
        <v>2.75</v>
      </c>
      <c r="AF49" s="22">
        <v>5</v>
      </c>
      <c r="AG49" s="24">
        <f t="shared" si="20"/>
        <v>1.25</v>
      </c>
      <c r="AH49" s="22">
        <v>6</v>
      </c>
      <c r="AI49" s="24">
        <f t="shared" si="21"/>
        <v>1.5</v>
      </c>
      <c r="AJ49" s="22">
        <v>2</v>
      </c>
      <c r="AK49" s="24">
        <f t="shared" si="22"/>
        <v>0.5</v>
      </c>
      <c r="AL49" s="22">
        <v>1</v>
      </c>
      <c r="AM49" s="24">
        <f t="shared" si="23"/>
        <v>0.25</v>
      </c>
      <c r="AN49" s="10">
        <v>0</v>
      </c>
      <c r="AO49" s="24">
        <f t="shared" si="24"/>
        <v>0</v>
      </c>
      <c r="AP49" s="22">
        <v>1</v>
      </c>
      <c r="AQ49" s="24">
        <f t="shared" si="36"/>
        <v>0.25</v>
      </c>
      <c r="AR49" s="22">
        <v>12</v>
      </c>
      <c r="AS49" s="24">
        <f t="shared" si="26"/>
        <v>3</v>
      </c>
      <c r="AT49" s="26">
        <v>6.4434598895549478E-2</v>
      </c>
      <c r="AU49" s="26">
        <v>5.6192964153095472E-2</v>
      </c>
      <c r="AV49" s="26">
        <v>4.6002701660169988E-2</v>
      </c>
      <c r="AW49" s="26">
        <v>1.8431897235379482E-2</v>
      </c>
      <c r="AX49" s="26">
        <v>126.6920775819504</v>
      </c>
      <c r="AY49" s="26">
        <v>112.89935985542949</v>
      </c>
      <c r="AZ49" s="26">
        <v>7.3503559952915409E-2</v>
      </c>
      <c r="BA49" s="26">
        <v>3.5</v>
      </c>
      <c r="BB49" s="26">
        <v>12.209302325581394</v>
      </c>
      <c r="BC49" s="25">
        <v>0.53191489361702127</v>
      </c>
      <c r="BD49" s="25">
        <v>0.5</v>
      </c>
      <c r="BE49" s="26">
        <v>0.35822944344992014</v>
      </c>
      <c r="BF49" s="25">
        <v>0</v>
      </c>
      <c r="BG49" s="25">
        <v>2</v>
      </c>
      <c r="BH49" s="26">
        <v>0.9051302784180737</v>
      </c>
      <c r="BI49" s="26">
        <v>1.0861563341016884</v>
      </c>
      <c r="BJ49" s="26">
        <v>0.95168881506090808</v>
      </c>
      <c r="BK49" s="26">
        <v>0.39719316827750561</v>
      </c>
      <c r="BL49" s="26">
        <v>1.1858084971244101</v>
      </c>
      <c r="BM49" s="26">
        <v>0</v>
      </c>
      <c r="BN49" s="26">
        <v>21.008403361344538</v>
      </c>
      <c r="BO49" s="27" t="s">
        <v>189</v>
      </c>
      <c r="BP49" s="28"/>
      <c r="BQ49" s="17" t="s">
        <v>253</v>
      </c>
      <c r="BR49" s="35"/>
      <c r="BS49" s="35"/>
      <c r="BT49" s="35"/>
      <c r="BU49" s="35">
        <f t="shared" si="35"/>
        <v>0</v>
      </c>
      <c r="BV49" s="35">
        <f>BS49/$D49</f>
        <v>0</v>
      </c>
      <c r="BW49" s="35">
        <f>BT49/$D49</f>
        <v>0</v>
      </c>
      <c r="BX49" s="36">
        <f t="shared" si="32"/>
        <v>0</v>
      </c>
      <c r="BY49" s="36">
        <f>BS49*2400/$G49</f>
        <v>0</v>
      </c>
      <c r="BZ49" s="36">
        <f>BT49*2400/$G49</f>
        <v>0</v>
      </c>
      <c r="CA49" s="48">
        <v>1</v>
      </c>
      <c r="CB49" s="48">
        <v>3</v>
      </c>
    </row>
    <row r="50" spans="1:80" x14ac:dyDescent="0.4">
      <c r="A50" s="21" t="s">
        <v>231</v>
      </c>
      <c r="B50" s="17" t="s">
        <v>191</v>
      </c>
      <c r="C50" s="17" t="s">
        <v>57</v>
      </c>
      <c r="D50" s="33">
        <v>26</v>
      </c>
      <c r="E50" s="33">
        <v>8</v>
      </c>
      <c r="F50" s="33">
        <v>55</v>
      </c>
      <c r="G50" s="23">
        <v>13910</v>
      </c>
      <c r="H50" s="23">
        <v>68</v>
      </c>
      <c r="I50" s="24">
        <f t="shared" si="6"/>
        <v>2.6153846153846154</v>
      </c>
      <c r="J50" s="22">
        <v>28</v>
      </c>
      <c r="K50" s="22">
        <v>70</v>
      </c>
      <c r="L50" s="24">
        <f t="shared" si="7"/>
        <v>1.0769230769230769</v>
      </c>
      <c r="M50" s="24">
        <f t="shared" si="8"/>
        <v>2.6923076923076925</v>
      </c>
      <c r="N50" s="25">
        <f t="shared" si="9"/>
        <v>0.4</v>
      </c>
      <c r="O50" s="23">
        <v>27</v>
      </c>
      <c r="P50" s="22">
        <v>60</v>
      </c>
      <c r="Q50" s="24">
        <f t="shared" si="10"/>
        <v>1.0384615384615385</v>
      </c>
      <c r="R50" s="24">
        <f t="shared" si="11"/>
        <v>2.3076923076923075</v>
      </c>
      <c r="S50" s="25">
        <f t="shared" si="12"/>
        <v>0.45</v>
      </c>
      <c r="T50" s="22">
        <v>1</v>
      </c>
      <c r="U50" s="22">
        <v>10</v>
      </c>
      <c r="V50" s="24">
        <f t="shared" si="13"/>
        <v>3.8461538461538464E-2</v>
      </c>
      <c r="W50" s="24">
        <f t="shared" si="14"/>
        <v>0.38461538461538464</v>
      </c>
      <c r="X50" s="25">
        <f t="shared" si="15"/>
        <v>0.1</v>
      </c>
      <c r="Y50" s="22">
        <v>11</v>
      </c>
      <c r="Z50" s="22">
        <v>13</v>
      </c>
      <c r="AA50" s="24">
        <f t="shared" si="16"/>
        <v>0.42307692307692307</v>
      </c>
      <c r="AB50" s="24">
        <f t="shared" si="17"/>
        <v>0.5</v>
      </c>
      <c r="AC50" s="25">
        <f t="shared" si="18"/>
        <v>0.84615384615384615</v>
      </c>
      <c r="AD50" s="22">
        <v>51</v>
      </c>
      <c r="AE50" s="24">
        <f t="shared" si="19"/>
        <v>1.9615384615384615</v>
      </c>
      <c r="AF50" s="22">
        <v>17</v>
      </c>
      <c r="AG50" s="24">
        <f t="shared" si="20"/>
        <v>0.65384615384615385</v>
      </c>
      <c r="AH50" s="22">
        <v>34</v>
      </c>
      <c r="AI50" s="24">
        <f t="shared" si="21"/>
        <v>1.3076923076923077</v>
      </c>
      <c r="AJ50" s="22">
        <v>3</v>
      </c>
      <c r="AK50" s="24">
        <f t="shared" si="22"/>
        <v>0.11538461538461539</v>
      </c>
      <c r="AL50" s="22">
        <v>5</v>
      </c>
      <c r="AM50" s="24">
        <f t="shared" si="23"/>
        <v>0.19230769230769232</v>
      </c>
      <c r="AN50" s="10">
        <v>5</v>
      </c>
      <c r="AO50" s="24">
        <f t="shared" si="24"/>
        <v>0.19230769230769232</v>
      </c>
      <c r="AP50" s="22">
        <v>4</v>
      </c>
      <c r="AQ50" s="24">
        <f t="shared" si="36"/>
        <v>0.15384615384615385</v>
      </c>
      <c r="AR50" s="22">
        <v>44</v>
      </c>
      <c r="AS50" s="24">
        <f t="shared" si="26"/>
        <v>1.6923076923076923</v>
      </c>
      <c r="AT50" s="26">
        <v>0.16266208142873081</v>
      </c>
      <c r="AU50" s="26">
        <v>2.8065348341405748E-2</v>
      </c>
      <c r="AV50" s="26">
        <v>3.1204003854545536E-2</v>
      </c>
      <c r="AW50" s="26">
        <v>0.13145807757418529</v>
      </c>
      <c r="AX50" s="26">
        <v>101.19707183137851</v>
      </c>
      <c r="AY50" s="26">
        <v>111.28150312257009</v>
      </c>
      <c r="AZ50" s="26">
        <v>2.1000016549516842</v>
      </c>
      <c r="BA50" s="26">
        <v>3.2307692307692308</v>
      </c>
      <c r="BB50" s="26">
        <v>14.493170381020848</v>
      </c>
      <c r="BC50" s="25">
        <v>0.44902271526677234</v>
      </c>
      <c r="BD50" s="25">
        <v>0.40714285714285714</v>
      </c>
      <c r="BE50" s="26">
        <v>7.7153613631891185</v>
      </c>
      <c r="BF50" s="25">
        <v>0.14285714285714285</v>
      </c>
      <c r="BG50" s="25">
        <v>0.18571428571428572</v>
      </c>
      <c r="BH50" s="26">
        <v>3.9575341070571173</v>
      </c>
      <c r="BI50" s="26">
        <v>7.9150682141142346</v>
      </c>
      <c r="BJ50" s="26">
        <v>5.6742323097463281</v>
      </c>
      <c r="BK50" s="26">
        <v>0.82342177493138147</v>
      </c>
      <c r="BL50" s="26">
        <v>1.1730212020439885</v>
      </c>
      <c r="BM50" s="26">
        <v>0.94282919470601401</v>
      </c>
      <c r="BN50" s="26">
        <v>5.0175614651279483</v>
      </c>
      <c r="BO50" s="27" t="s">
        <v>189</v>
      </c>
      <c r="BP50" s="28"/>
      <c r="BQ50" s="17" t="s">
        <v>254</v>
      </c>
      <c r="BR50" s="35">
        <v>152.78</v>
      </c>
      <c r="BS50" s="35">
        <v>201.48</v>
      </c>
      <c r="BT50" s="35">
        <v>48.7</v>
      </c>
      <c r="BU50" s="35">
        <f t="shared" si="35"/>
        <v>5.8761538461538461</v>
      </c>
      <c r="BV50" s="35">
        <f t="shared" si="30"/>
        <v>7.7492307692307687</v>
      </c>
      <c r="BW50" s="35">
        <f t="shared" si="31"/>
        <v>1.8730769230769231</v>
      </c>
      <c r="BX50" s="36">
        <f t="shared" si="32"/>
        <v>26.360316319194826</v>
      </c>
      <c r="BY50" s="36">
        <f t="shared" si="33"/>
        <v>34.762904385334295</v>
      </c>
      <c r="BZ50" s="36">
        <f t="shared" si="34"/>
        <v>8.4025880661394687</v>
      </c>
      <c r="CA50" s="50">
        <v>28</v>
      </c>
      <c r="CB50" s="50">
        <v>17</v>
      </c>
    </row>
    <row r="51" spans="1:80" x14ac:dyDescent="0.4">
      <c r="A51" s="21" t="s">
        <v>231</v>
      </c>
      <c r="B51" s="17" t="s">
        <v>191</v>
      </c>
      <c r="C51" s="17" t="s">
        <v>52</v>
      </c>
      <c r="D51" s="33">
        <v>45</v>
      </c>
      <c r="E51" s="33">
        <v>8</v>
      </c>
      <c r="F51" s="33">
        <v>57</v>
      </c>
      <c r="G51" s="23">
        <v>24165</v>
      </c>
      <c r="H51" s="23">
        <v>222</v>
      </c>
      <c r="I51" s="24">
        <f t="shared" si="6"/>
        <v>4.9333333333333336</v>
      </c>
      <c r="J51" s="22">
        <v>72</v>
      </c>
      <c r="K51" s="22">
        <v>158</v>
      </c>
      <c r="L51" s="24">
        <f t="shared" si="7"/>
        <v>1.6</v>
      </c>
      <c r="M51" s="24">
        <f t="shared" si="8"/>
        <v>3.5111111111111111</v>
      </c>
      <c r="N51" s="25">
        <f t="shared" si="9"/>
        <v>0.45569620253164556</v>
      </c>
      <c r="O51" s="23">
        <v>54</v>
      </c>
      <c r="P51" s="22">
        <v>110</v>
      </c>
      <c r="Q51" s="24">
        <f t="shared" si="10"/>
        <v>1.2</v>
      </c>
      <c r="R51" s="24">
        <f t="shared" si="11"/>
        <v>2.4444444444444446</v>
      </c>
      <c r="S51" s="25">
        <f t="shared" si="12"/>
        <v>0.49090909090909091</v>
      </c>
      <c r="T51" s="22">
        <v>18</v>
      </c>
      <c r="U51" s="22">
        <v>48</v>
      </c>
      <c r="V51" s="24">
        <f t="shared" si="13"/>
        <v>0.4</v>
      </c>
      <c r="W51" s="24">
        <f t="shared" si="14"/>
        <v>1.0666666666666667</v>
      </c>
      <c r="X51" s="25">
        <f t="shared" si="15"/>
        <v>0.375</v>
      </c>
      <c r="Y51" s="22">
        <v>60</v>
      </c>
      <c r="Z51" s="22">
        <v>71</v>
      </c>
      <c r="AA51" s="24">
        <f t="shared" si="16"/>
        <v>1.3333333333333333</v>
      </c>
      <c r="AB51" s="24">
        <f t="shared" si="17"/>
        <v>1.5777777777777777</v>
      </c>
      <c r="AC51" s="25">
        <f t="shared" si="18"/>
        <v>0.84507042253521125</v>
      </c>
      <c r="AD51" s="22">
        <v>129</v>
      </c>
      <c r="AE51" s="24">
        <f t="shared" si="19"/>
        <v>2.8666666666666667</v>
      </c>
      <c r="AF51" s="22">
        <v>44</v>
      </c>
      <c r="AG51" s="24">
        <f t="shared" si="20"/>
        <v>0.97777777777777775</v>
      </c>
      <c r="AH51" s="22">
        <v>85</v>
      </c>
      <c r="AI51" s="24">
        <f t="shared" si="21"/>
        <v>1.8888888888888888</v>
      </c>
      <c r="AJ51" s="22">
        <v>20</v>
      </c>
      <c r="AK51" s="24">
        <f t="shared" si="22"/>
        <v>0.44444444444444442</v>
      </c>
      <c r="AL51" s="22">
        <v>19</v>
      </c>
      <c r="AM51" s="24">
        <f t="shared" si="23"/>
        <v>0.42222222222222222</v>
      </c>
      <c r="AN51" s="10">
        <v>9</v>
      </c>
      <c r="AO51" s="24">
        <f t="shared" si="24"/>
        <v>0.2</v>
      </c>
      <c r="AP51" s="22">
        <v>19</v>
      </c>
      <c r="AQ51" s="24">
        <f t="shared" si="36"/>
        <v>0.42222222222222222</v>
      </c>
      <c r="AR51" s="22">
        <v>63</v>
      </c>
      <c r="AS51" s="24">
        <f t="shared" si="26"/>
        <v>1.4</v>
      </c>
      <c r="AT51" s="26">
        <v>1.527922181440845</v>
      </c>
      <c r="AU51" s="26">
        <v>0.15174894415303242</v>
      </c>
      <c r="AV51" s="26">
        <v>1.06222346915676</v>
      </c>
      <c r="AW51" s="26">
        <v>0.46569871228408505</v>
      </c>
      <c r="AX51" s="26">
        <v>120.71599565709104</v>
      </c>
      <c r="AY51" s="26">
        <v>105.50994652779349</v>
      </c>
      <c r="AZ51" s="26">
        <v>12.163553703526823</v>
      </c>
      <c r="BA51" s="26">
        <v>6.2888888888888888</v>
      </c>
      <c r="BB51" s="26">
        <v>28.106765983860956</v>
      </c>
      <c r="BC51" s="25">
        <v>0.58655675332910584</v>
      </c>
      <c r="BD51" s="25">
        <v>0.51265822784810122</v>
      </c>
      <c r="BE51" s="26">
        <v>20.078563260394592</v>
      </c>
      <c r="BF51" s="25">
        <v>0.30379746835443039</v>
      </c>
      <c r="BG51" s="25">
        <v>0.44936708860759494</v>
      </c>
      <c r="BH51" s="26">
        <v>10.204880368071482</v>
      </c>
      <c r="BI51" s="26">
        <v>19.713973438319908</v>
      </c>
      <c r="BJ51" s="26">
        <v>14.299015695663741</v>
      </c>
      <c r="BK51" s="26">
        <v>6.2150403977625857</v>
      </c>
      <c r="BL51" s="26">
        <v>2.5658412868876952</v>
      </c>
      <c r="BM51" s="26">
        <v>1.6907719078247514</v>
      </c>
      <c r="BN51" s="26">
        <v>9.1240875912408761</v>
      </c>
      <c r="BO51" s="27" t="s">
        <v>232</v>
      </c>
      <c r="BP51" s="28"/>
      <c r="BQ51" s="17" t="s">
        <v>254</v>
      </c>
      <c r="BR51" s="35">
        <v>411.32</v>
      </c>
      <c r="BS51" s="35">
        <v>531.62</v>
      </c>
      <c r="BT51" s="35">
        <v>120.3</v>
      </c>
      <c r="BU51" s="35">
        <f t="shared" si="35"/>
        <v>9.1404444444444444</v>
      </c>
      <c r="BV51" s="35">
        <f t="shared" si="30"/>
        <v>11.813777777777778</v>
      </c>
      <c r="BW51" s="35">
        <f t="shared" si="31"/>
        <v>2.6733333333333333</v>
      </c>
      <c r="BX51" s="36">
        <f t="shared" si="32"/>
        <v>40.851148355058967</v>
      </c>
      <c r="BY51" s="36">
        <f t="shared" si="33"/>
        <v>52.799006828057109</v>
      </c>
      <c r="BZ51" s="36">
        <f t="shared" si="34"/>
        <v>11.947858472998139</v>
      </c>
      <c r="CA51" s="48">
        <v>6</v>
      </c>
      <c r="CB51" s="48">
        <v>2</v>
      </c>
    </row>
    <row r="52" spans="1:80" x14ac:dyDescent="0.4">
      <c r="A52" s="21" t="s">
        <v>231</v>
      </c>
      <c r="B52" s="37" t="s">
        <v>191</v>
      </c>
      <c r="C52" s="37" t="s">
        <v>58</v>
      </c>
      <c r="D52" s="33">
        <v>8</v>
      </c>
      <c r="E52" s="33">
        <v>8</v>
      </c>
      <c r="F52" s="33">
        <v>16</v>
      </c>
      <c r="G52" s="23">
        <v>3968</v>
      </c>
      <c r="H52" s="23">
        <v>10</v>
      </c>
      <c r="I52" s="24">
        <f t="shared" si="6"/>
        <v>1.25</v>
      </c>
      <c r="J52" s="22">
        <v>5</v>
      </c>
      <c r="K52" s="22">
        <v>12</v>
      </c>
      <c r="L52" s="24">
        <f t="shared" si="7"/>
        <v>0.625</v>
      </c>
      <c r="M52" s="24">
        <f t="shared" si="8"/>
        <v>1.5</v>
      </c>
      <c r="N52" s="25">
        <f t="shared" si="9"/>
        <v>0.41666666666666669</v>
      </c>
      <c r="O52" s="23">
        <v>5</v>
      </c>
      <c r="P52" s="22">
        <v>12</v>
      </c>
      <c r="Q52" s="24">
        <f t="shared" si="10"/>
        <v>0.625</v>
      </c>
      <c r="R52" s="24">
        <f t="shared" si="11"/>
        <v>1.5</v>
      </c>
      <c r="S52" s="25">
        <f t="shared" si="12"/>
        <v>0.41666666666666669</v>
      </c>
      <c r="T52" s="22">
        <v>0</v>
      </c>
      <c r="U52" s="22">
        <v>0</v>
      </c>
      <c r="V52" s="24">
        <f t="shared" si="13"/>
        <v>0</v>
      </c>
      <c r="W52" s="24">
        <f t="shared" si="14"/>
        <v>0</v>
      </c>
      <c r="X52" s="25" t="e">
        <f t="shared" si="15"/>
        <v>#DIV/0!</v>
      </c>
      <c r="Y52" s="22">
        <v>0</v>
      </c>
      <c r="Z52" s="22">
        <v>0</v>
      </c>
      <c r="AA52" s="24">
        <f t="shared" si="16"/>
        <v>0</v>
      </c>
      <c r="AB52" s="24">
        <f t="shared" si="17"/>
        <v>0</v>
      </c>
      <c r="AC52" s="25" t="e">
        <f t="shared" si="18"/>
        <v>#DIV/0!</v>
      </c>
      <c r="AD52" s="22">
        <v>14</v>
      </c>
      <c r="AE52" s="24">
        <f t="shared" si="19"/>
        <v>1.75</v>
      </c>
      <c r="AF52" s="22">
        <v>5</v>
      </c>
      <c r="AG52" s="24">
        <f t="shared" si="20"/>
        <v>0.625</v>
      </c>
      <c r="AH52" s="22">
        <v>9</v>
      </c>
      <c r="AI52" s="24">
        <f t="shared" si="21"/>
        <v>1.125</v>
      </c>
      <c r="AJ52" s="22">
        <v>0</v>
      </c>
      <c r="AK52" s="24">
        <f t="shared" si="22"/>
        <v>0</v>
      </c>
      <c r="AL52" s="22">
        <v>0</v>
      </c>
      <c r="AM52" s="24">
        <f t="shared" si="23"/>
        <v>0</v>
      </c>
      <c r="AN52" s="10">
        <v>0</v>
      </c>
      <c r="AO52" s="24">
        <f t="shared" si="24"/>
        <v>0</v>
      </c>
      <c r="AP52" s="22">
        <v>2</v>
      </c>
      <c r="AQ52" s="24">
        <f t="shared" si="36"/>
        <v>0.25</v>
      </c>
      <c r="AR52" s="22">
        <v>14</v>
      </c>
      <c r="AS52" s="24">
        <f t="shared" si="26"/>
        <v>1.75</v>
      </c>
      <c r="AT52" s="26">
        <v>-2.7115205304018068E-2</v>
      </c>
      <c r="AU52" s="26">
        <v>-1.6400325788720603E-2</v>
      </c>
      <c r="AV52" s="26">
        <v>-3.6432228773734109E-2</v>
      </c>
      <c r="AW52" s="26">
        <v>9.317023469716041E-3</v>
      </c>
      <c r="AX52" s="26">
        <v>89.116676531558042</v>
      </c>
      <c r="AY52" s="26">
        <v>115.45550835860448</v>
      </c>
      <c r="AZ52" s="26">
        <v>-9.6966475968329385E-2</v>
      </c>
      <c r="BA52" s="26">
        <v>1.875</v>
      </c>
      <c r="BB52" s="26">
        <v>9.0725806451612883</v>
      </c>
      <c r="BC52" s="25">
        <v>0.41666666666666669</v>
      </c>
      <c r="BD52" s="25">
        <v>0.41666666666666669</v>
      </c>
      <c r="BE52" s="26">
        <v>1.4614673689133364</v>
      </c>
      <c r="BF52" s="25">
        <v>0</v>
      </c>
      <c r="BG52" s="25">
        <v>0</v>
      </c>
      <c r="BH52" s="26">
        <v>1.2555032894186182</v>
      </c>
      <c r="BI52" s="26">
        <v>2.2599059209535128</v>
      </c>
      <c r="BJ52" s="26">
        <v>1.6801075268817205</v>
      </c>
      <c r="BK52" s="26">
        <v>0</v>
      </c>
      <c r="BL52" s="26">
        <v>0</v>
      </c>
      <c r="BM52" s="26">
        <v>0</v>
      </c>
      <c r="BN52" s="26">
        <v>14.285714285714286</v>
      </c>
      <c r="BO52" s="27" t="s">
        <v>189</v>
      </c>
      <c r="BP52" s="28"/>
      <c r="BQ52" s="17" t="s">
        <v>253</v>
      </c>
      <c r="BR52" s="35">
        <v>33.03</v>
      </c>
      <c r="BS52" s="35">
        <v>43.03</v>
      </c>
      <c r="BT52" s="35">
        <v>10</v>
      </c>
      <c r="BU52" s="35">
        <f t="shared" si="35"/>
        <v>4.1287500000000001</v>
      </c>
      <c r="BV52" s="35">
        <f t="shared" si="30"/>
        <v>5.3787500000000001</v>
      </c>
      <c r="BW52" s="35">
        <f t="shared" si="31"/>
        <v>1.25</v>
      </c>
      <c r="BX52" s="36">
        <f t="shared" si="32"/>
        <v>19.97782258064516</v>
      </c>
      <c r="BY52" s="36">
        <f t="shared" si="33"/>
        <v>26.026209677419356</v>
      </c>
      <c r="BZ52" s="36">
        <f t="shared" si="34"/>
        <v>6.0483870967741939</v>
      </c>
      <c r="CA52" s="48">
        <v>14</v>
      </c>
      <c r="CB52" s="48">
        <v>7</v>
      </c>
    </row>
    <row r="53" spans="1:80" x14ac:dyDescent="0.4">
      <c r="A53" s="21" t="s">
        <v>231</v>
      </c>
      <c r="B53" s="17" t="s">
        <v>191</v>
      </c>
      <c r="C53" s="17" t="s">
        <v>56</v>
      </c>
      <c r="D53" s="33">
        <v>21</v>
      </c>
      <c r="E53" s="33">
        <v>12</v>
      </c>
      <c r="F53" s="33">
        <v>3</v>
      </c>
      <c r="G53" s="23">
        <v>15183</v>
      </c>
      <c r="H53" s="23">
        <v>59</v>
      </c>
      <c r="I53" s="24">
        <f t="shared" si="6"/>
        <v>2.8095238095238093</v>
      </c>
      <c r="J53" s="22">
        <v>18</v>
      </c>
      <c r="K53" s="22">
        <v>46</v>
      </c>
      <c r="L53" s="24">
        <f t="shared" si="7"/>
        <v>0.8571428571428571</v>
      </c>
      <c r="M53" s="24">
        <f t="shared" si="8"/>
        <v>2.1904761904761907</v>
      </c>
      <c r="N53" s="25">
        <f t="shared" si="9"/>
        <v>0.39130434782608697</v>
      </c>
      <c r="O53" s="23">
        <v>11</v>
      </c>
      <c r="P53" s="22">
        <v>23</v>
      </c>
      <c r="Q53" s="24">
        <f t="shared" si="10"/>
        <v>0.52380952380952384</v>
      </c>
      <c r="R53" s="24">
        <f t="shared" si="11"/>
        <v>1.0952380952380953</v>
      </c>
      <c r="S53" s="25">
        <f t="shared" si="12"/>
        <v>0.47826086956521741</v>
      </c>
      <c r="T53" s="22">
        <v>7</v>
      </c>
      <c r="U53" s="22">
        <v>23</v>
      </c>
      <c r="V53" s="24">
        <f t="shared" si="13"/>
        <v>0.33333333333333331</v>
      </c>
      <c r="W53" s="24">
        <f t="shared" si="14"/>
        <v>1.0952380952380953</v>
      </c>
      <c r="X53" s="25">
        <f t="shared" si="15"/>
        <v>0.30434782608695654</v>
      </c>
      <c r="Y53" s="22">
        <v>16</v>
      </c>
      <c r="Z53" s="22">
        <v>20</v>
      </c>
      <c r="AA53" s="24">
        <f t="shared" si="16"/>
        <v>0.76190476190476186</v>
      </c>
      <c r="AB53" s="24">
        <f t="shared" si="17"/>
        <v>0.95238095238095233</v>
      </c>
      <c r="AC53" s="25">
        <f t="shared" si="18"/>
        <v>0.8</v>
      </c>
      <c r="AD53" s="22">
        <v>26</v>
      </c>
      <c r="AE53" s="24">
        <f t="shared" si="19"/>
        <v>1.2380952380952381</v>
      </c>
      <c r="AF53" s="22">
        <v>9</v>
      </c>
      <c r="AG53" s="24">
        <f t="shared" si="20"/>
        <v>0.42857142857142855</v>
      </c>
      <c r="AH53" s="22">
        <v>17</v>
      </c>
      <c r="AI53" s="24">
        <f t="shared" si="21"/>
        <v>0.80952380952380953</v>
      </c>
      <c r="AJ53" s="22">
        <v>13</v>
      </c>
      <c r="AK53" s="24">
        <f t="shared" si="22"/>
        <v>0.61904761904761907</v>
      </c>
      <c r="AL53" s="22">
        <v>6</v>
      </c>
      <c r="AM53" s="24">
        <f t="shared" si="23"/>
        <v>0.2857142857142857</v>
      </c>
      <c r="AN53" s="10">
        <v>1</v>
      </c>
      <c r="AO53" s="24">
        <f t="shared" si="24"/>
        <v>4.7619047619047616E-2</v>
      </c>
      <c r="AP53" s="22">
        <v>9</v>
      </c>
      <c r="AQ53" s="24">
        <f t="shared" si="36"/>
        <v>0.42857142857142855</v>
      </c>
      <c r="AR53" s="22">
        <v>22</v>
      </c>
      <c r="AS53" s="24">
        <f t="shared" si="26"/>
        <v>1.0476190476190477</v>
      </c>
      <c r="AT53" s="26">
        <v>0.174144396110199</v>
      </c>
      <c r="AU53" s="26">
        <v>2.7527270675392054E-2</v>
      </c>
      <c r="AV53" s="26">
        <v>0.14158263405363605</v>
      </c>
      <c r="AW53" s="26">
        <v>3.2561762056562943E-2</v>
      </c>
      <c r="AX53" s="26">
        <v>108.52485376814143</v>
      </c>
      <c r="AY53" s="26">
        <v>115.5750534102195</v>
      </c>
      <c r="AZ53" s="26">
        <v>1.7973456370998342</v>
      </c>
      <c r="BA53" s="26">
        <v>3.0476190476190474</v>
      </c>
      <c r="BB53" s="26">
        <v>10.116577751432523</v>
      </c>
      <c r="BC53" s="25">
        <v>0.53832116788321172</v>
      </c>
      <c r="BD53" s="25">
        <v>0.46739130434782611</v>
      </c>
      <c r="BE53" s="26">
        <v>4.5690419478155251</v>
      </c>
      <c r="BF53" s="25">
        <v>0.5</v>
      </c>
      <c r="BG53" s="25">
        <v>0.43478260869565216</v>
      </c>
      <c r="BH53" s="26">
        <v>1.5503642279293808</v>
      </c>
      <c r="BI53" s="26">
        <v>2.9284657638666083</v>
      </c>
      <c r="BJ53" s="26">
        <v>2.1405519330830534</v>
      </c>
      <c r="BK53" s="26">
        <v>2.5380710659898473</v>
      </c>
      <c r="BL53" s="26">
        <v>1.2896048148928576</v>
      </c>
      <c r="BM53" s="26">
        <v>0.13953350461071024</v>
      </c>
      <c r="BN53" s="26">
        <v>14.106583072100314</v>
      </c>
      <c r="BO53" s="27" t="s">
        <v>189</v>
      </c>
      <c r="BP53" s="28"/>
      <c r="BQ53" s="17" t="s">
        <v>255</v>
      </c>
      <c r="BR53" s="35">
        <v>140.66</v>
      </c>
      <c r="BS53" s="35">
        <v>183.76</v>
      </c>
      <c r="BT53" s="35">
        <v>43.1</v>
      </c>
      <c r="BU53" s="35">
        <f t="shared" si="35"/>
        <v>6.6980952380952381</v>
      </c>
      <c r="BV53" s="35">
        <f t="shared" si="30"/>
        <v>8.7504761904761903</v>
      </c>
      <c r="BW53" s="35">
        <f t="shared" si="31"/>
        <v>2.0523809523809526</v>
      </c>
      <c r="BX53" s="36">
        <f t="shared" si="32"/>
        <v>22.234341039320292</v>
      </c>
      <c r="BY53" s="36">
        <f t="shared" si="33"/>
        <v>29.047223868800632</v>
      </c>
      <c r="BZ53" s="36">
        <f t="shared" si="34"/>
        <v>6.8128828294803396</v>
      </c>
      <c r="CA53" s="48">
        <v>29</v>
      </c>
      <c r="CB53" s="48">
        <v>14</v>
      </c>
    </row>
    <row r="54" spans="1:80" x14ac:dyDescent="0.4">
      <c r="A54" s="21" t="s">
        <v>231</v>
      </c>
      <c r="B54" s="37" t="s">
        <v>191</v>
      </c>
      <c r="C54" s="37" t="s">
        <v>55</v>
      </c>
      <c r="D54" s="33">
        <v>43</v>
      </c>
      <c r="E54" s="33">
        <v>9</v>
      </c>
      <c r="F54" s="33">
        <v>52</v>
      </c>
      <c r="G54" s="23">
        <v>25456</v>
      </c>
      <c r="H54" s="23">
        <v>83</v>
      </c>
      <c r="I54" s="24">
        <f t="shared" si="6"/>
        <v>1.930232558139535</v>
      </c>
      <c r="J54" s="22">
        <v>34</v>
      </c>
      <c r="K54" s="22">
        <v>92</v>
      </c>
      <c r="L54" s="24">
        <f t="shared" si="7"/>
        <v>0.79069767441860461</v>
      </c>
      <c r="M54" s="24">
        <f t="shared" si="8"/>
        <v>2.13953488372093</v>
      </c>
      <c r="N54" s="25">
        <f t="shared" si="9"/>
        <v>0.36956521739130432</v>
      </c>
      <c r="O54" s="23">
        <v>28</v>
      </c>
      <c r="P54" s="22">
        <v>54</v>
      </c>
      <c r="Q54" s="24">
        <f t="shared" si="10"/>
        <v>0.65116279069767447</v>
      </c>
      <c r="R54" s="24">
        <f t="shared" si="11"/>
        <v>1.2558139534883721</v>
      </c>
      <c r="S54" s="25">
        <f t="shared" si="12"/>
        <v>0.51851851851851849</v>
      </c>
      <c r="T54" s="22">
        <v>6</v>
      </c>
      <c r="U54" s="22">
        <v>38</v>
      </c>
      <c r="V54" s="24">
        <f t="shared" si="13"/>
        <v>0.13953488372093023</v>
      </c>
      <c r="W54" s="24">
        <f t="shared" si="14"/>
        <v>0.88372093023255816</v>
      </c>
      <c r="X54" s="25">
        <f t="shared" si="15"/>
        <v>0.15789473684210525</v>
      </c>
      <c r="Y54" s="22">
        <v>9</v>
      </c>
      <c r="Z54" s="22">
        <v>12</v>
      </c>
      <c r="AA54" s="24">
        <f t="shared" si="16"/>
        <v>0.20930232558139536</v>
      </c>
      <c r="AB54" s="24">
        <f t="shared" si="17"/>
        <v>0.27906976744186046</v>
      </c>
      <c r="AC54" s="25">
        <f t="shared" si="18"/>
        <v>0.75</v>
      </c>
      <c r="AD54" s="22">
        <v>42</v>
      </c>
      <c r="AE54" s="24">
        <f t="shared" si="19"/>
        <v>0.97674418604651159</v>
      </c>
      <c r="AF54" s="22">
        <v>8</v>
      </c>
      <c r="AG54" s="24">
        <f t="shared" si="20"/>
        <v>0.18604651162790697</v>
      </c>
      <c r="AH54" s="22">
        <v>34</v>
      </c>
      <c r="AI54" s="24">
        <f t="shared" si="21"/>
        <v>0.79069767441860461</v>
      </c>
      <c r="AJ54" s="22">
        <v>33</v>
      </c>
      <c r="AK54" s="24">
        <f t="shared" si="22"/>
        <v>0.76744186046511631</v>
      </c>
      <c r="AL54" s="22">
        <v>11</v>
      </c>
      <c r="AM54" s="24">
        <f t="shared" si="23"/>
        <v>0.2558139534883721</v>
      </c>
      <c r="AN54" s="10">
        <v>0</v>
      </c>
      <c r="AO54" s="24">
        <f t="shared" si="24"/>
        <v>0</v>
      </c>
      <c r="AP54" s="22">
        <v>18</v>
      </c>
      <c r="AQ54" s="24">
        <f t="shared" si="36"/>
        <v>0.41860465116279072</v>
      </c>
      <c r="AR54" s="22">
        <v>38</v>
      </c>
      <c r="AS54" s="24">
        <f t="shared" si="26"/>
        <v>0.88372093023255816</v>
      </c>
      <c r="AT54" s="26">
        <v>-0.20918217999582145</v>
      </c>
      <c r="AU54" s="26">
        <v>-1.9721764298788951E-2</v>
      </c>
      <c r="AV54" s="26">
        <v>-0.29004610710224005</v>
      </c>
      <c r="AW54" s="26">
        <v>8.0863927106418612E-2</v>
      </c>
      <c r="AX54" s="26">
        <v>89.28884070604424</v>
      </c>
      <c r="AY54" s="26">
        <v>114.96857545636267</v>
      </c>
      <c r="AZ54" s="26">
        <v>2.2899898561082672</v>
      </c>
      <c r="BA54" s="26">
        <v>2.0930232558139537</v>
      </c>
      <c r="BB54" s="26">
        <v>8.4852294154619727</v>
      </c>
      <c r="BC54" s="25">
        <v>0.4266036184210526</v>
      </c>
      <c r="BD54" s="25">
        <v>0.40217391304347827</v>
      </c>
      <c r="BE54" s="26">
        <v>10.082657735401954</v>
      </c>
      <c r="BF54" s="25">
        <v>0.41304347826086957</v>
      </c>
      <c r="BG54" s="25">
        <v>0.13043478260869565</v>
      </c>
      <c r="BH54" s="26">
        <v>1.6830530582476613</v>
      </c>
      <c r="BI54" s="26">
        <v>7.1529754975525606</v>
      </c>
      <c r="BJ54" s="26">
        <v>4.2229729729729728</v>
      </c>
      <c r="BK54" s="26">
        <v>8.2472509163612138</v>
      </c>
      <c r="BL54" s="26">
        <v>1.4101506452290282</v>
      </c>
      <c r="BM54" s="26">
        <v>0</v>
      </c>
      <c r="BN54" s="26">
        <v>15.614156835530881</v>
      </c>
      <c r="BO54" s="27" t="s">
        <v>189</v>
      </c>
      <c r="BP54" s="28"/>
      <c r="BQ54" s="17" t="s">
        <v>255</v>
      </c>
      <c r="BR54" s="35">
        <v>214.44</v>
      </c>
      <c r="BS54" s="35">
        <v>298.64</v>
      </c>
      <c r="BT54" s="35">
        <v>84.2</v>
      </c>
      <c r="BU54" s="35">
        <f t="shared" si="35"/>
        <v>4.9869767441860464</v>
      </c>
      <c r="BV54" s="35">
        <f t="shared" si="30"/>
        <v>6.9451162790697669</v>
      </c>
      <c r="BW54" s="35">
        <f t="shared" si="31"/>
        <v>1.9581395348837209</v>
      </c>
      <c r="BX54" s="36">
        <f t="shared" si="32"/>
        <v>20.217473287240729</v>
      </c>
      <c r="BY54" s="36">
        <f t="shared" si="33"/>
        <v>28.155876807039597</v>
      </c>
      <c r="BZ54" s="36">
        <f t="shared" si="34"/>
        <v>7.9384035197988689</v>
      </c>
      <c r="CA54" s="48">
        <v>36</v>
      </c>
      <c r="CB54" s="48">
        <v>18</v>
      </c>
    </row>
    <row r="55" spans="1:80" x14ac:dyDescent="0.4">
      <c r="A55" s="21" t="s">
        <v>231</v>
      </c>
      <c r="B55" s="37" t="s">
        <v>191</v>
      </c>
      <c r="C55" s="37" t="s">
        <v>53</v>
      </c>
      <c r="D55" s="33">
        <v>54</v>
      </c>
      <c r="E55" s="33">
        <v>20</v>
      </c>
      <c r="F55" s="33">
        <v>6</v>
      </c>
      <c r="G55" s="23">
        <v>65124</v>
      </c>
      <c r="H55" s="23">
        <v>354</v>
      </c>
      <c r="I55" s="24">
        <f t="shared" si="6"/>
        <v>6.5555555555555554</v>
      </c>
      <c r="J55" s="22">
        <v>132</v>
      </c>
      <c r="K55" s="22">
        <v>315</v>
      </c>
      <c r="L55" s="24">
        <f t="shared" si="7"/>
        <v>2.4444444444444446</v>
      </c>
      <c r="M55" s="24">
        <f t="shared" si="8"/>
        <v>5.833333333333333</v>
      </c>
      <c r="N55" s="25">
        <f t="shared" si="9"/>
        <v>0.41904761904761906</v>
      </c>
      <c r="O55" s="23">
        <v>82</v>
      </c>
      <c r="P55" s="22">
        <v>157</v>
      </c>
      <c r="Q55" s="24">
        <f t="shared" si="10"/>
        <v>1.5185185185185186</v>
      </c>
      <c r="R55" s="24">
        <f t="shared" si="11"/>
        <v>2.9074074074074074</v>
      </c>
      <c r="S55" s="25">
        <f t="shared" si="12"/>
        <v>0.52229299363057324</v>
      </c>
      <c r="T55" s="22">
        <v>50</v>
      </c>
      <c r="U55" s="22">
        <v>158</v>
      </c>
      <c r="V55" s="24">
        <f t="shared" si="13"/>
        <v>0.92592592592592593</v>
      </c>
      <c r="W55" s="24">
        <f t="shared" si="14"/>
        <v>2.925925925925926</v>
      </c>
      <c r="X55" s="25">
        <f t="shared" si="15"/>
        <v>0.31645569620253167</v>
      </c>
      <c r="Y55" s="22">
        <v>40</v>
      </c>
      <c r="Z55" s="22">
        <v>64</v>
      </c>
      <c r="AA55" s="24">
        <f t="shared" si="16"/>
        <v>0.7407407407407407</v>
      </c>
      <c r="AB55" s="24">
        <f t="shared" si="17"/>
        <v>1.1851851851851851</v>
      </c>
      <c r="AC55" s="25">
        <f t="shared" si="18"/>
        <v>0.625</v>
      </c>
      <c r="AD55" s="22">
        <v>127</v>
      </c>
      <c r="AE55" s="24">
        <f t="shared" si="19"/>
        <v>2.3518518518518516</v>
      </c>
      <c r="AF55" s="22">
        <v>36</v>
      </c>
      <c r="AG55" s="24">
        <f t="shared" si="20"/>
        <v>0.66666666666666663</v>
      </c>
      <c r="AH55" s="22">
        <v>91</v>
      </c>
      <c r="AI55" s="24">
        <f t="shared" si="21"/>
        <v>1.6851851851851851</v>
      </c>
      <c r="AJ55" s="22">
        <v>81</v>
      </c>
      <c r="AK55" s="24">
        <f t="shared" si="22"/>
        <v>1.5</v>
      </c>
      <c r="AL55" s="22">
        <v>49</v>
      </c>
      <c r="AM55" s="24">
        <f t="shared" si="23"/>
        <v>0.90740740740740744</v>
      </c>
      <c r="AN55" s="10">
        <v>12</v>
      </c>
      <c r="AO55" s="24">
        <f t="shared" si="24"/>
        <v>0.22222222222222221</v>
      </c>
      <c r="AP55" s="22">
        <v>39</v>
      </c>
      <c r="AQ55" s="24">
        <f t="shared" si="36"/>
        <v>0.72222222222222221</v>
      </c>
      <c r="AR55" s="22">
        <v>134</v>
      </c>
      <c r="AS55" s="24">
        <f t="shared" si="26"/>
        <v>2.4814814814814814</v>
      </c>
      <c r="AT55" s="26">
        <v>1.1733107513766416</v>
      </c>
      <c r="AU55" s="26">
        <v>4.3239754979791475E-2</v>
      </c>
      <c r="AV55" s="26">
        <v>0.61454653457618968</v>
      </c>
      <c r="AW55" s="26">
        <v>0.55876421680045207</v>
      </c>
      <c r="AX55" s="26">
        <v>106.27550335545845</v>
      </c>
      <c r="AY55" s="26">
        <v>111.79313991317996</v>
      </c>
      <c r="AZ55" s="26">
        <v>6.9835627566627858</v>
      </c>
      <c r="BA55" s="26">
        <v>6.9814814814814818</v>
      </c>
      <c r="BB55" s="26">
        <v>13.893495485535286</v>
      </c>
      <c r="BC55" s="25">
        <v>0.51579438162956048</v>
      </c>
      <c r="BD55" s="25">
        <v>0.49841269841269842</v>
      </c>
      <c r="BE55" s="26">
        <v>16.407434693979191</v>
      </c>
      <c r="BF55" s="25">
        <v>0.50158730158730158</v>
      </c>
      <c r="BG55" s="25">
        <v>0.20317460317460317</v>
      </c>
      <c r="BH55" s="26">
        <v>3.7177888450843861</v>
      </c>
      <c r="BI55" s="26">
        <v>9.3977440250744202</v>
      </c>
      <c r="BJ55" s="26">
        <v>6.2682618652767905</v>
      </c>
      <c r="BK55" s="26">
        <v>10.765550239234452</v>
      </c>
      <c r="BL55" s="26">
        <v>2.455375963089375</v>
      </c>
      <c r="BM55" s="26">
        <v>1.0038081973486914</v>
      </c>
      <c r="BN55" s="26">
        <v>10.205149675528574</v>
      </c>
      <c r="BO55" s="27" t="s">
        <v>189</v>
      </c>
      <c r="BP55" s="28"/>
      <c r="BQ55" s="17" t="s">
        <v>253</v>
      </c>
      <c r="BR55" s="35">
        <v>711.93</v>
      </c>
      <c r="BS55" s="35">
        <v>961.83</v>
      </c>
      <c r="BT55" s="35">
        <v>249.9</v>
      </c>
      <c r="BU55" s="35">
        <f t="shared" si="35"/>
        <v>13.183888888888889</v>
      </c>
      <c r="BV55" s="35">
        <f t="shared" si="30"/>
        <v>17.811666666666667</v>
      </c>
      <c r="BW55" s="35">
        <f t="shared" si="31"/>
        <v>4.6277777777777782</v>
      </c>
      <c r="BX55" s="36">
        <f t="shared" si="32"/>
        <v>26.236594803758983</v>
      </c>
      <c r="BY55" s="36">
        <f t="shared" si="33"/>
        <v>35.446102819237147</v>
      </c>
      <c r="BZ55" s="36">
        <f t="shared" si="34"/>
        <v>9.2095080154781641</v>
      </c>
      <c r="CA55" s="48">
        <v>1</v>
      </c>
      <c r="CB55" s="48">
        <v>1</v>
      </c>
    </row>
    <row r="56" spans="1:80" x14ac:dyDescent="0.4">
      <c r="A56" s="21" t="s">
        <v>231</v>
      </c>
      <c r="B56" s="17" t="s">
        <v>191</v>
      </c>
      <c r="C56" s="17" t="s">
        <v>198</v>
      </c>
      <c r="D56" s="33">
        <v>2</v>
      </c>
      <c r="E56" s="33">
        <v>0</v>
      </c>
      <c r="F56" s="33">
        <v>52</v>
      </c>
      <c r="G56" s="23">
        <v>104</v>
      </c>
      <c r="H56" s="23">
        <v>0</v>
      </c>
      <c r="I56" s="24">
        <f t="shared" si="6"/>
        <v>0</v>
      </c>
      <c r="J56" s="22">
        <v>0</v>
      </c>
      <c r="K56" s="22">
        <v>1</v>
      </c>
      <c r="L56" s="24">
        <f t="shared" si="7"/>
        <v>0</v>
      </c>
      <c r="M56" s="24">
        <f t="shared" si="8"/>
        <v>0.5</v>
      </c>
      <c r="N56" s="25">
        <f t="shared" si="9"/>
        <v>0</v>
      </c>
      <c r="O56" s="23">
        <v>0</v>
      </c>
      <c r="P56" s="22">
        <v>0</v>
      </c>
      <c r="Q56" s="24">
        <f t="shared" si="10"/>
        <v>0</v>
      </c>
      <c r="R56" s="24">
        <f t="shared" si="11"/>
        <v>0</v>
      </c>
      <c r="S56" s="25" t="e">
        <f t="shared" si="12"/>
        <v>#DIV/0!</v>
      </c>
      <c r="T56" s="22">
        <v>0</v>
      </c>
      <c r="U56" s="22">
        <v>1</v>
      </c>
      <c r="V56" s="24">
        <f t="shared" si="13"/>
        <v>0</v>
      </c>
      <c r="W56" s="24">
        <f t="shared" si="14"/>
        <v>0.5</v>
      </c>
      <c r="X56" s="25">
        <f t="shared" si="15"/>
        <v>0</v>
      </c>
      <c r="Y56" s="22">
        <v>0</v>
      </c>
      <c r="Z56" s="22">
        <v>0</v>
      </c>
      <c r="AA56" s="24">
        <f t="shared" si="16"/>
        <v>0</v>
      </c>
      <c r="AB56" s="24">
        <f t="shared" si="17"/>
        <v>0</v>
      </c>
      <c r="AC56" s="25" t="e">
        <f t="shared" si="18"/>
        <v>#DIV/0!</v>
      </c>
      <c r="AD56" s="22">
        <v>1</v>
      </c>
      <c r="AE56" s="24">
        <f t="shared" si="19"/>
        <v>0.5</v>
      </c>
      <c r="AF56" s="22">
        <v>0</v>
      </c>
      <c r="AG56" s="24">
        <f t="shared" si="20"/>
        <v>0</v>
      </c>
      <c r="AH56" s="22">
        <v>1</v>
      </c>
      <c r="AI56" s="24">
        <f t="shared" si="21"/>
        <v>0.5</v>
      </c>
      <c r="AJ56" s="22">
        <v>0</v>
      </c>
      <c r="AK56" s="24">
        <f t="shared" si="22"/>
        <v>0</v>
      </c>
      <c r="AL56" s="22">
        <v>0</v>
      </c>
      <c r="AM56" s="24">
        <f t="shared" si="23"/>
        <v>0</v>
      </c>
      <c r="AN56" s="10">
        <v>0</v>
      </c>
      <c r="AO56" s="24">
        <f t="shared" si="24"/>
        <v>0</v>
      </c>
      <c r="AP56" s="22">
        <v>0</v>
      </c>
      <c r="AQ56" s="24">
        <f t="shared" si="36"/>
        <v>0</v>
      </c>
      <c r="AR56" s="22">
        <v>0</v>
      </c>
      <c r="AS56" s="24">
        <f t="shared" si="26"/>
        <v>0</v>
      </c>
      <c r="AT56" s="26">
        <v>-1.6325264551360533E-2</v>
      </c>
      <c r="AU56" s="26">
        <v>-0.37673687426216618</v>
      </c>
      <c r="AV56" s="26">
        <v>-1.9748673952511481E-2</v>
      </c>
      <c r="AW56" s="26">
        <v>3.4234094011509489E-3</v>
      </c>
      <c r="AX56" s="26">
        <v>0</v>
      </c>
      <c r="AY56" s="26">
        <v>97.490666914421638</v>
      </c>
      <c r="AZ56" s="26">
        <v>-0.37767331239697466</v>
      </c>
      <c r="BA56" s="26">
        <v>0</v>
      </c>
      <c r="BB56" s="26">
        <v>0</v>
      </c>
      <c r="BC56" s="25">
        <v>0</v>
      </c>
      <c r="BD56" s="25">
        <v>0</v>
      </c>
      <c r="BE56" s="26">
        <v>0.99572502057831713</v>
      </c>
      <c r="BF56" s="25">
        <v>1</v>
      </c>
      <c r="BG56" s="25">
        <v>0</v>
      </c>
      <c r="BH56" s="26">
        <v>0</v>
      </c>
      <c r="BI56" s="26">
        <v>2.3951139675062874</v>
      </c>
      <c r="BJ56" s="26">
        <v>1.1446886446886446</v>
      </c>
      <c r="BK56" s="26">
        <v>0</v>
      </c>
      <c r="BL56" s="26">
        <v>0</v>
      </c>
      <c r="BM56" s="26">
        <v>0</v>
      </c>
      <c r="BN56" s="26">
        <v>0</v>
      </c>
      <c r="BO56" s="27" t="s">
        <v>189</v>
      </c>
      <c r="BP56" s="28"/>
      <c r="BQ56" s="17" t="s">
        <v>254</v>
      </c>
      <c r="BR56" s="35">
        <v>0.53</v>
      </c>
      <c r="BS56" s="35">
        <v>1.43</v>
      </c>
      <c r="BT56" s="35">
        <v>0.9</v>
      </c>
      <c r="BU56" s="35">
        <f t="shared" si="35"/>
        <v>0.26499999999999996</v>
      </c>
      <c r="BV56" s="35">
        <f t="shared" si="30"/>
        <v>0.71499999999999997</v>
      </c>
      <c r="BW56" s="35">
        <f t="shared" si="31"/>
        <v>0.45</v>
      </c>
      <c r="BX56" s="36">
        <f t="shared" si="32"/>
        <v>12.23076923076923</v>
      </c>
      <c r="BY56" s="36">
        <f t="shared" si="33"/>
        <v>33</v>
      </c>
      <c r="BZ56" s="36">
        <f t="shared" si="34"/>
        <v>20.76923076923077</v>
      </c>
      <c r="CA56" s="48">
        <v>36</v>
      </c>
      <c r="CB56" s="48">
        <v>18</v>
      </c>
    </row>
    <row r="57" spans="1:80" x14ac:dyDescent="0.4">
      <c r="A57" s="21" t="s">
        <v>231</v>
      </c>
      <c r="B57" s="17" t="s">
        <v>191</v>
      </c>
      <c r="C57" s="17" t="s">
        <v>47</v>
      </c>
      <c r="D57" s="33">
        <v>54</v>
      </c>
      <c r="E57" s="33">
        <v>33</v>
      </c>
      <c r="F57" s="33">
        <v>3</v>
      </c>
      <c r="G57" s="23">
        <v>107082</v>
      </c>
      <c r="H57" s="23">
        <v>1308</v>
      </c>
      <c r="I57" s="24">
        <f t="shared" si="6"/>
        <v>24.222222222222221</v>
      </c>
      <c r="J57" s="22">
        <v>561</v>
      </c>
      <c r="K57" s="22">
        <v>1089</v>
      </c>
      <c r="L57" s="24">
        <f t="shared" si="7"/>
        <v>10.388888888888889</v>
      </c>
      <c r="M57" s="24">
        <f t="shared" si="8"/>
        <v>20.166666666666668</v>
      </c>
      <c r="N57" s="25">
        <f t="shared" si="9"/>
        <v>0.51515151515151514</v>
      </c>
      <c r="O57" s="23">
        <v>539</v>
      </c>
      <c r="P57" s="22">
        <v>1000</v>
      </c>
      <c r="Q57" s="24">
        <f t="shared" si="10"/>
        <v>9.981481481481481</v>
      </c>
      <c r="R57" s="24">
        <f t="shared" si="11"/>
        <v>18.518518518518519</v>
      </c>
      <c r="S57" s="25">
        <f t="shared" si="12"/>
        <v>0.53900000000000003</v>
      </c>
      <c r="T57" s="22">
        <v>22</v>
      </c>
      <c r="U57" s="22">
        <v>89</v>
      </c>
      <c r="V57" s="24">
        <f t="shared" si="13"/>
        <v>0.40740740740740738</v>
      </c>
      <c r="W57" s="24">
        <f t="shared" si="14"/>
        <v>1.6481481481481481</v>
      </c>
      <c r="X57" s="25">
        <f t="shared" si="15"/>
        <v>0.24719101123595505</v>
      </c>
      <c r="Y57" s="22">
        <v>164</v>
      </c>
      <c r="Z57" s="22">
        <v>247</v>
      </c>
      <c r="AA57" s="24">
        <f t="shared" si="16"/>
        <v>3.0370370370370372</v>
      </c>
      <c r="AB57" s="24">
        <f t="shared" si="17"/>
        <v>4.5740740740740744</v>
      </c>
      <c r="AC57" s="25">
        <f t="shared" si="18"/>
        <v>0.66396761133603244</v>
      </c>
      <c r="AD57" s="22">
        <v>604</v>
      </c>
      <c r="AE57" s="24">
        <f t="shared" si="19"/>
        <v>11.185185185185185</v>
      </c>
      <c r="AF57" s="22">
        <v>165</v>
      </c>
      <c r="AG57" s="24">
        <f t="shared" si="20"/>
        <v>3.0555555555555554</v>
      </c>
      <c r="AH57" s="22">
        <v>439</v>
      </c>
      <c r="AI57" s="24">
        <f t="shared" si="21"/>
        <v>8.1296296296296298</v>
      </c>
      <c r="AJ57" s="22">
        <v>170</v>
      </c>
      <c r="AK57" s="24">
        <f t="shared" si="22"/>
        <v>3.1481481481481484</v>
      </c>
      <c r="AL57" s="22">
        <v>69</v>
      </c>
      <c r="AM57" s="24">
        <f t="shared" si="23"/>
        <v>1.2777777777777777</v>
      </c>
      <c r="AN57" s="10">
        <v>51</v>
      </c>
      <c r="AO57" s="24">
        <f t="shared" si="24"/>
        <v>0.94444444444444442</v>
      </c>
      <c r="AP57" s="22">
        <v>99</v>
      </c>
      <c r="AQ57" s="24">
        <f t="shared" si="36"/>
        <v>1.8333333333333333</v>
      </c>
      <c r="AR57" s="22">
        <v>86</v>
      </c>
      <c r="AS57" s="24">
        <f t="shared" si="26"/>
        <v>1.5925925925925926</v>
      </c>
      <c r="AT57" s="26">
        <v>6.2420239765162346</v>
      </c>
      <c r="AU57" s="26">
        <v>0.13990080072877759</v>
      </c>
      <c r="AV57" s="26">
        <v>4.0890019076234179</v>
      </c>
      <c r="AW57" s="26">
        <v>2.1530220688928172</v>
      </c>
      <c r="AX57" s="26">
        <v>112.93683291442431</v>
      </c>
      <c r="AY57" s="26">
        <v>105.01943058938484</v>
      </c>
      <c r="AZ57" s="26">
        <v>20.876061060794758</v>
      </c>
      <c r="BA57" s="26">
        <v>27.62962962962963</v>
      </c>
      <c r="BB57" s="26">
        <v>33.439793802880033</v>
      </c>
      <c r="BC57" s="25">
        <v>0.54605570770155631</v>
      </c>
      <c r="BD57" s="25">
        <v>0.5252525252525253</v>
      </c>
      <c r="BE57" s="26">
        <v>33.85734211978901</v>
      </c>
      <c r="BF57" s="25">
        <v>8.1726354453627179E-2</v>
      </c>
      <c r="BG57" s="25">
        <v>0.22681359044995408</v>
      </c>
      <c r="BH57" s="26">
        <v>10.363125487243542</v>
      </c>
      <c r="BI57" s="26">
        <v>27.572194478181306</v>
      </c>
      <c r="BJ57" s="26">
        <v>18.130298009269264</v>
      </c>
      <c r="BK57" s="26">
        <v>19.032691446484549</v>
      </c>
      <c r="BL57" s="26">
        <v>2.1027885536500994</v>
      </c>
      <c r="BM57" s="26">
        <v>2.5945632453407557</v>
      </c>
      <c r="BN57" s="26">
        <v>7.6348829317950457</v>
      </c>
      <c r="BO57" s="27" t="s">
        <v>232</v>
      </c>
      <c r="BP57" s="28"/>
      <c r="BQ57" s="17" t="s">
        <v>253</v>
      </c>
      <c r="BR57" s="35">
        <v>2083.98</v>
      </c>
      <c r="BS57" s="35">
        <v>2820.18</v>
      </c>
      <c r="BT57" s="35">
        <v>736.2</v>
      </c>
      <c r="BU57" s="35">
        <f t="shared" si="35"/>
        <v>38.592222222222219</v>
      </c>
      <c r="BV57" s="35">
        <f t="shared" si="30"/>
        <v>52.225555555555552</v>
      </c>
      <c r="BW57" s="35">
        <f t="shared" si="31"/>
        <v>13.633333333333335</v>
      </c>
      <c r="BX57" s="36">
        <f t="shared" si="32"/>
        <v>46.707681963355185</v>
      </c>
      <c r="BY57" s="36">
        <f t="shared" si="33"/>
        <v>63.20793410657253</v>
      </c>
      <c r="BZ57" s="36">
        <f t="shared" si="34"/>
        <v>16.500252143217349</v>
      </c>
      <c r="CA57" s="50">
        <v>4</v>
      </c>
      <c r="CB57" s="50">
        <v>4</v>
      </c>
    </row>
    <row r="58" spans="1:80" x14ac:dyDescent="0.4">
      <c r="A58" s="21" t="s">
        <v>231</v>
      </c>
      <c r="B58" s="49" t="s">
        <v>191</v>
      </c>
      <c r="C58" s="49" t="s">
        <v>290</v>
      </c>
      <c r="D58" s="33">
        <v>8</v>
      </c>
      <c r="E58" s="33">
        <v>6</v>
      </c>
      <c r="F58" s="33">
        <v>47</v>
      </c>
      <c r="G58" s="23">
        <v>3256</v>
      </c>
      <c r="H58" s="23">
        <v>16</v>
      </c>
      <c r="I58" s="24">
        <f t="shared" si="6"/>
        <v>2</v>
      </c>
      <c r="J58" s="22">
        <v>6</v>
      </c>
      <c r="K58" s="22">
        <v>8</v>
      </c>
      <c r="L58" s="24">
        <f t="shared" si="7"/>
        <v>0.75</v>
      </c>
      <c r="M58" s="24">
        <f t="shared" si="8"/>
        <v>1</v>
      </c>
      <c r="N58" s="25">
        <f t="shared" si="9"/>
        <v>0.75</v>
      </c>
      <c r="O58" s="23">
        <v>5</v>
      </c>
      <c r="P58" s="22">
        <v>6</v>
      </c>
      <c r="Q58" s="24">
        <f t="shared" si="10"/>
        <v>0.625</v>
      </c>
      <c r="R58" s="24">
        <f t="shared" si="11"/>
        <v>0.75</v>
      </c>
      <c r="S58" s="25">
        <f t="shared" si="12"/>
        <v>0.83333333333333337</v>
      </c>
      <c r="T58" s="22">
        <v>1</v>
      </c>
      <c r="U58" s="22">
        <v>2</v>
      </c>
      <c r="V58" s="24">
        <f t="shared" si="13"/>
        <v>0.125</v>
      </c>
      <c r="W58" s="24">
        <f t="shared" si="14"/>
        <v>0.25</v>
      </c>
      <c r="X58" s="25">
        <f t="shared" si="15"/>
        <v>0.5</v>
      </c>
      <c r="Y58" s="22">
        <v>3</v>
      </c>
      <c r="Z58" s="22">
        <v>4</v>
      </c>
      <c r="AA58" s="24">
        <f t="shared" si="16"/>
        <v>0.375</v>
      </c>
      <c r="AB58" s="24">
        <f t="shared" si="17"/>
        <v>0.5</v>
      </c>
      <c r="AC58" s="25">
        <f t="shared" si="18"/>
        <v>0.75</v>
      </c>
      <c r="AD58" s="22">
        <v>8</v>
      </c>
      <c r="AE58" s="24">
        <f t="shared" si="19"/>
        <v>1</v>
      </c>
      <c r="AF58" s="22">
        <v>3</v>
      </c>
      <c r="AG58" s="24">
        <f t="shared" si="20"/>
        <v>0.375</v>
      </c>
      <c r="AH58" s="22">
        <v>5</v>
      </c>
      <c r="AI58" s="24">
        <f t="shared" si="21"/>
        <v>0.625</v>
      </c>
      <c r="AJ58" s="22">
        <v>2</v>
      </c>
      <c r="AK58" s="24">
        <f t="shared" si="22"/>
        <v>0.25</v>
      </c>
      <c r="AL58" s="22">
        <v>3</v>
      </c>
      <c r="AM58" s="24">
        <f t="shared" si="23"/>
        <v>0.375</v>
      </c>
      <c r="AN58" s="10">
        <v>0</v>
      </c>
      <c r="AO58" s="24">
        <f t="shared" si="24"/>
        <v>0</v>
      </c>
      <c r="AP58" s="22">
        <v>4</v>
      </c>
      <c r="AQ58" s="24">
        <f t="shared" si="36"/>
        <v>0.5</v>
      </c>
      <c r="AR58" s="22">
        <v>4</v>
      </c>
      <c r="AS58" s="24">
        <f t="shared" si="26"/>
        <v>0.5</v>
      </c>
      <c r="AT58" s="26">
        <v>9.6677934705747065E-2</v>
      </c>
      <c r="AU58" s="26">
        <v>7.1261376932983095E-2</v>
      </c>
      <c r="AV58" s="26">
        <v>6.4007046784154836E-2</v>
      </c>
      <c r="AW58" s="26">
        <v>3.2670887921592236E-2</v>
      </c>
      <c r="AX58" s="26">
        <v>117.96934984500169</v>
      </c>
      <c r="AY58" s="26">
        <v>110.93863022895631</v>
      </c>
      <c r="AZ58" s="26">
        <v>1.3451742458532445</v>
      </c>
      <c r="BA58" s="26">
        <v>2.75</v>
      </c>
      <c r="BB58" s="26">
        <v>16.216216216216218</v>
      </c>
      <c r="BC58" s="25">
        <v>0.81967213114754101</v>
      </c>
      <c r="BD58" s="25">
        <v>0.8125</v>
      </c>
      <c r="BE58" s="26">
        <v>1.7505188371601903</v>
      </c>
      <c r="BF58" s="25">
        <v>0.25</v>
      </c>
      <c r="BG58" s="25">
        <v>0.5</v>
      </c>
      <c r="BH58" s="26">
        <v>0.91802894086236064</v>
      </c>
      <c r="BI58" s="26">
        <v>1.5300482347706013</v>
      </c>
      <c r="BJ58" s="26">
        <v>1.1700011700011701</v>
      </c>
      <c r="BK58" s="26">
        <v>0.68383861408707536</v>
      </c>
      <c r="BL58" s="26">
        <v>3.0067674914800766</v>
      </c>
      <c r="BM58" s="26">
        <v>0</v>
      </c>
      <c r="BN58" s="26">
        <v>29.069767441860467</v>
      </c>
      <c r="BO58" s="27" t="s">
        <v>189</v>
      </c>
      <c r="BP58" s="28"/>
      <c r="BQ58" s="17" t="s">
        <v>255</v>
      </c>
      <c r="BR58" s="57">
        <v>37.85</v>
      </c>
      <c r="BS58" s="57">
        <v>46.55</v>
      </c>
      <c r="BT58" s="57">
        <v>8.6999999999999993</v>
      </c>
      <c r="BU58" s="35">
        <f t="shared" si="35"/>
        <v>4.7312499999999993</v>
      </c>
      <c r="BV58" s="35">
        <f t="shared" si="30"/>
        <v>5.8187499999999996</v>
      </c>
      <c r="BW58" s="35">
        <f t="shared" si="31"/>
        <v>1.0874999999999999</v>
      </c>
      <c r="BX58" s="36">
        <f t="shared" si="32"/>
        <v>27.899262899262897</v>
      </c>
      <c r="BY58" s="36">
        <f t="shared" si="33"/>
        <v>34.31203931203931</v>
      </c>
      <c r="BZ58" s="36">
        <f t="shared" si="34"/>
        <v>6.4127764127764131</v>
      </c>
      <c r="CA58" s="50">
        <v>1</v>
      </c>
      <c r="CB58" s="50">
        <v>7</v>
      </c>
    </row>
    <row r="59" spans="1:80" x14ac:dyDescent="0.4">
      <c r="A59" s="21" t="s">
        <v>231</v>
      </c>
      <c r="B59" s="17" t="s">
        <v>191</v>
      </c>
      <c r="C59" s="17" t="s">
        <v>49</v>
      </c>
      <c r="D59" s="33">
        <v>50</v>
      </c>
      <c r="E59" s="33">
        <v>23</v>
      </c>
      <c r="F59" s="33">
        <v>14</v>
      </c>
      <c r="G59" s="23">
        <v>69700</v>
      </c>
      <c r="H59" s="23">
        <v>361</v>
      </c>
      <c r="I59" s="24">
        <f t="shared" si="6"/>
        <v>7.22</v>
      </c>
      <c r="J59" s="22">
        <v>150</v>
      </c>
      <c r="K59" s="22">
        <v>270</v>
      </c>
      <c r="L59" s="24">
        <f t="shared" si="7"/>
        <v>3</v>
      </c>
      <c r="M59" s="24">
        <f t="shared" si="8"/>
        <v>5.4</v>
      </c>
      <c r="N59" s="25">
        <f t="shared" si="9"/>
        <v>0.55555555555555558</v>
      </c>
      <c r="O59" s="23">
        <v>150</v>
      </c>
      <c r="P59" s="22">
        <v>266</v>
      </c>
      <c r="Q59" s="24">
        <f t="shared" si="10"/>
        <v>3</v>
      </c>
      <c r="R59" s="24">
        <f t="shared" si="11"/>
        <v>5.32</v>
      </c>
      <c r="S59" s="25">
        <f t="shared" si="12"/>
        <v>0.56390977443609025</v>
      </c>
      <c r="T59" s="22">
        <v>0</v>
      </c>
      <c r="U59" s="22">
        <v>4</v>
      </c>
      <c r="V59" s="24">
        <f t="shared" si="13"/>
        <v>0</v>
      </c>
      <c r="W59" s="24">
        <f t="shared" si="14"/>
        <v>0.08</v>
      </c>
      <c r="X59" s="25">
        <f t="shared" si="15"/>
        <v>0</v>
      </c>
      <c r="Y59" s="22">
        <v>61</v>
      </c>
      <c r="Z59" s="22">
        <v>83</v>
      </c>
      <c r="AA59" s="24">
        <f t="shared" si="16"/>
        <v>1.22</v>
      </c>
      <c r="AB59" s="24">
        <f t="shared" si="17"/>
        <v>1.66</v>
      </c>
      <c r="AC59" s="25">
        <f t="shared" si="18"/>
        <v>0.73493975903614461</v>
      </c>
      <c r="AD59" s="22">
        <v>250</v>
      </c>
      <c r="AE59" s="24">
        <f t="shared" si="19"/>
        <v>5</v>
      </c>
      <c r="AF59" s="22">
        <v>98</v>
      </c>
      <c r="AG59" s="24">
        <f t="shared" si="20"/>
        <v>1.96</v>
      </c>
      <c r="AH59" s="22">
        <v>152</v>
      </c>
      <c r="AI59" s="24">
        <f t="shared" si="21"/>
        <v>3.04</v>
      </c>
      <c r="AJ59" s="22">
        <v>50</v>
      </c>
      <c r="AK59" s="24">
        <f t="shared" si="22"/>
        <v>1</v>
      </c>
      <c r="AL59" s="22">
        <v>46</v>
      </c>
      <c r="AM59" s="24">
        <f t="shared" si="23"/>
        <v>0.92</v>
      </c>
      <c r="AN59" s="10">
        <v>15</v>
      </c>
      <c r="AO59" s="24">
        <f t="shared" si="24"/>
        <v>0.3</v>
      </c>
      <c r="AP59" s="22">
        <v>30</v>
      </c>
      <c r="AQ59" s="24">
        <f t="shared" si="36"/>
        <v>0.6</v>
      </c>
      <c r="AR59" s="22">
        <v>110</v>
      </c>
      <c r="AS59" s="24">
        <f t="shared" si="26"/>
        <v>2.2000000000000002</v>
      </c>
      <c r="AT59" s="26">
        <v>2.7446869058561116</v>
      </c>
      <c r="AU59" s="26">
        <v>9.4508587863051177E-2</v>
      </c>
      <c r="AV59" s="26">
        <v>1.9893784435986008</v>
      </c>
      <c r="AW59" s="26">
        <v>0.75530846225751069</v>
      </c>
      <c r="AX59" s="26">
        <v>123.10231995859822</v>
      </c>
      <c r="AY59" s="26">
        <v>110.46701719196464</v>
      </c>
      <c r="AZ59" s="26">
        <v>9.4988186097269924</v>
      </c>
      <c r="BA59" s="26">
        <v>11</v>
      </c>
      <c r="BB59" s="26">
        <v>18.938307030129124</v>
      </c>
      <c r="BC59" s="25">
        <v>0.58886858932532959</v>
      </c>
      <c r="BD59" s="25">
        <v>0.55555555555555558</v>
      </c>
      <c r="BE59" s="26">
        <v>12.499449041679192</v>
      </c>
      <c r="BF59" s="25">
        <v>1.4814814814814815E-2</v>
      </c>
      <c r="BG59" s="25">
        <v>0.30740740740740741</v>
      </c>
      <c r="BH59" s="26">
        <v>8.7557394393199708</v>
      </c>
      <c r="BI59" s="26">
        <v>13.580330558945262</v>
      </c>
      <c r="BJ59" s="26">
        <v>10.675001708000273</v>
      </c>
      <c r="BK59" s="26">
        <v>5.7321919902170588</v>
      </c>
      <c r="BL59" s="26">
        <v>2.153714049755715</v>
      </c>
      <c r="BM59" s="26">
        <v>1.085538635224643</v>
      </c>
      <c r="BN59" s="26">
        <v>8.9147747533578983</v>
      </c>
      <c r="BO59" s="27" t="s">
        <v>189</v>
      </c>
      <c r="BP59" s="28"/>
      <c r="BQ59" s="17" t="s">
        <v>253</v>
      </c>
      <c r="BR59" s="57">
        <v>919.21</v>
      </c>
      <c r="BS59" s="57">
        <v>1101.4100000000001</v>
      </c>
      <c r="BT59" s="57">
        <v>182.2</v>
      </c>
      <c r="BU59" s="35">
        <f t="shared" si="35"/>
        <v>18.384200000000003</v>
      </c>
      <c r="BV59" s="35">
        <f t="shared" si="30"/>
        <v>22.028200000000002</v>
      </c>
      <c r="BW59" s="35">
        <f t="shared" si="31"/>
        <v>3.6439999999999997</v>
      </c>
      <c r="BX59" s="36">
        <f t="shared" si="32"/>
        <v>31.651420373027257</v>
      </c>
      <c r="BY59" s="36">
        <f t="shared" si="33"/>
        <v>37.925164992826396</v>
      </c>
      <c r="BZ59" s="36">
        <f t="shared" si="34"/>
        <v>6.2737446197991389</v>
      </c>
      <c r="CA59" s="50">
        <v>35</v>
      </c>
      <c r="CB59" s="50">
        <v>15</v>
      </c>
    </row>
    <row r="60" spans="1:80" x14ac:dyDescent="0.4">
      <c r="A60" s="21" t="s">
        <v>231</v>
      </c>
      <c r="B60" s="37" t="s">
        <v>191</v>
      </c>
      <c r="C60" s="37" t="s">
        <v>167</v>
      </c>
      <c r="D60" s="33">
        <v>36</v>
      </c>
      <c r="E60" s="33">
        <v>26</v>
      </c>
      <c r="F60" s="33">
        <v>30</v>
      </c>
      <c r="G60" s="23">
        <v>57240</v>
      </c>
      <c r="H60" s="23">
        <v>249</v>
      </c>
      <c r="I60" s="24">
        <f t="shared" si="6"/>
        <v>6.916666666666667</v>
      </c>
      <c r="J60" s="22">
        <v>84</v>
      </c>
      <c r="K60" s="22">
        <v>210</v>
      </c>
      <c r="L60" s="24">
        <f t="shared" si="7"/>
        <v>2.3333333333333335</v>
      </c>
      <c r="M60" s="24">
        <f t="shared" si="8"/>
        <v>5.833333333333333</v>
      </c>
      <c r="N60" s="25">
        <f t="shared" si="9"/>
        <v>0.4</v>
      </c>
      <c r="O60" s="23">
        <v>24</v>
      </c>
      <c r="P60" s="22">
        <v>51</v>
      </c>
      <c r="Q60" s="24">
        <f t="shared" si="10"/>
        <v>0.66666666666666663</v>
      </c>
      <c r="R60" s="24">
        <f t="shared" si="11"/>
        <v>1.4166666666666667</v>
      </c>
      <c r="S60" s="25">
        <f t="shared" si="12"/>
        <v>0.47058823529411764</v>
      </c>
      <c r="T60" s="22">
        <v>60</v>
      </c>
      <c r="U60" s="22">
        <v>159</v>
      </c>
      <c r="V60" s="24">
        <f t="shared" si="13"/>
        <v>1.6666666666666667</v>
      </c>
      <c r="W60" s="24">
        <f t="shared" si="14"/>
        <v>4.416666666666667</v>
      </c>
      <c r="X60" s="25">
        <f t="shared" si="15"/>
        <v>0.37735849056603776</v>
      </c>
      <c r="Y60" s="22">
        <v>21</v>
      </c>
      <c r="Z60" s="22">
        <v>24</v>
      </c>
      <c r="AA60" s="24">
        <f t="shared" si="16"/>
        <v>0.58333333333333337</v>
      </c>
      <c r="AB60" s="24">
        <f t="shared" si="17"/>
        <v>0.66666666666666663</v>
      </c>
      <c r="AC60" s="25">
        <f t="shared" si="18"/>
        <v>0.875</v>
      </c>
      <c r="AD60" s="22">
        <v>63</v>
      </c>
      <c r="AE60" s="24">
        <f t="shared" si="19"/>
        <v>1.75</v>
      </c>
      <c r="AF60" s="22">
        <v>12</v>
      </c>
      <c r="AG60" s="24">
        <f t="shared" si="20"/>
        <v>0.33333333333333331</v>
      </c>
      <c r="AH60" s="22">
        <v>51</v>
      </c>
      <c r="AI60" s="24">
        <f t="shared" si="21"/>
        <v>1.4166666666666667</v>
      </c>
      <c r="AJ60" s="22">
        <v>68</v>
      </c>
      <c r="AK60" s="24">
        <f t="shared" si="22"/>
        <v>1.8888888888888888</v>
      </c>
      <c r="AL60" s="22">
        <v>27</v>
      </c>
      <c r="AM60" s="24">
        <f t="shared" si="23"/>
        <v>0.75</v>
      </c>
      <c r="AN60" s="11">
        <v>1</v>
      </c>
      <c r="AO60" s="24">
        <f t="shared" si="24"/>
        <v>2.7777777777777776E-2</v>
      </c>
      <c r="AP60" s="22">
        <v>23</v>
      </c>
      <c r="AQ60" s="24">
        <f t="shared" si="36"/>
        <v>0.63888888888888884</v>
      </c>
      <c r="AR60" s="22">
        <v>94</v>
      </c>
      <c r="AS60" s="24">
        <f t="shared" si="26"/>
        <v>2.6111111111111112</v>
      </c>
      <c r="AT60" s="26">
        <v>1.0206506547719647</v>
      </c>
      <c r="AU60" s="26">
        <v>4.279457671999852E-2</v>
      </c>
      <c r="AV60" s="26">
        <v>0.91205603024381987</v>
      </c>
      <c r="AW60" s="26">
        <v>0.1085946245281449</v>
      </c>
      <c r="AX60" s="26">
        <v>115.402770739395</v>
      </c>
      <c r="AY60" s="26">
        <v>115.72046710794007</v>
      </c>
      <c r="AZ60" s="26">
        <v>3.6417030731461018</v>
      </c>
      <c r="BA60" s="26">
        <v>7.1111111111111107</v>
      </c>
      <c r="BB60" s="26">
        <v>10.733752620545074</v>
      </c>
      <c r="BC60" s="25">
        <v>0.56447225244831334</v>
      </c>
      <c r="BD60" s="25">
        <v>0.54285714285714282</v>
      </c>
      <c r="BE60" s="26">
        <v>7.9314319953628019</v>
      </c>
      <c r="BF60" s="25">
        <v>0.75714285714285712</v>
      </c>
      <c r="BG60" s="25">
        <v>0.11428571428571428</v>
      </c>
      <c r="BH60" s="26">
        <v>0.93996925517227869</v>
      </c>
      <c r="BI60" s="26">
        <v>3.9948693344821846</v>
      </c>
      <c r="BJ60" s="26">
        <v>2.358490566037736</v>
      </c>
      <c r="BK60" s="26">
        <v>6.284658040665434</v>
      </c>
      <c r="BL60" s="26">
        <v>1.5393136717388569</v>
      </c>
      <c r="BM60" s="26">
        <v>6.3448253983360695E-2</v>
      </c>
      <c r="BN60" s="26">
        <v>9.4432583347019214</v>
      </c>
      <c r="BO60" s="27" t="s">
        <v>189</v>
      </c>
      <c r="BP60" s="28"/>
      <c r="BQ60" s="17" t="s">
        <v>255</v>
      </c>
      <c r="BR60" s="57">
        <v>538</v>
      </c>
      <c r="BS60" s="57">
        <v>691</v>
      </c>
      <c r="BT60" s="57">
        <v>153</v>
      </c>
      <c r="BU60" s="35">
        <f t="shared" si="35"/>
        <v>14.944444444444443</v>
      </c>
      <c r="BV60" s="35">
        <f t="shared" si="30"/>
        <v>19.194444444444443</v>
      </c>
      <c r="BW60" s="35">
        <f t="shared" si="31"/>
        <v>4.25</v>
      </c>
      <c r="BX60" s="36">
        <f t="shared" si="32"/>
        <v>22.557651991614257</v>
      </c>
      <c r="BY60" s="36">
        <f t="shared" si="33"/>
        <v>28.972746331236898</v>
      </c>
      <c r="BZ60" s="36">
        <f t="shared" si="34"/>
        <v>6.4150943396226419</v>
      </c>
      <c r="CA60" s="50">
        <v>26</v>
      </c>
      <c r="CB60" s="50">
        <v>10</v>
      </c>
    </row>
    <row r="61" spans="1:80" x14ac:dyDescent="0.4">
      <c r="A61" s="21" t="s">
        <v>231</v>
      </c>
      <c r="B61" s="17" t="s">
        <v>191</v>
      </c>
      <c r="C61" s="17" t="s">
        <v>50</v>
      </c>
      <c r="D61" s="39">
        <v>36</v>
      </c>
      <c r="E61" s="39">
        <v>12</v>
      </c>
      <c r="F61" s="39">
        <v>2</v>
      </c>
      <c r="G61" s="23">
        <v>25992</v>
      </c>
      <c r="H61" s="23">
        <v>71</v>
      </c>
      <c r="I61" s="24">
        <f t="shared" si="6"/>
        <v>1.9722222222222223</v>
      </c>
      <c r="J61" s="22">
        <v>28</v>
      </c>
      <c r="K61" s="22">
        <v>73</v>
      </c>
      <c r="L61" s="24">
        <f t="shared" si="7"/>
        <v>0.77777777777777779</v>
      </c>
      <c r="M61" s="24">
        <f t="shared" si="8"/>
        <v>2.0277777777777777</v>
      </c>
      <c r="N61" s="25">
        <f t="shared" si="9"/>
        <v>0.38356164383561642</v>
      </c>
      <c r="O61" s="23">
        <v>17</v>
      </c>
      <c r="P61" s="22">
        <v>29</v>
      </c>
      <c r="Q61" s="24">
        <f t="shared" si="10"/>
        <v>0.47222222222222221</v>
      </c>
      <c r="R61" s="24">
        <f t="shared" si="11"/>
        <v>0.80555555555555558</v>
      </c>
      <c r="S61" s="25">
        <f t="shared" si="12"/>
        <v>0.58620689655172409</v>
      </c>
      <c r="T61" s="22">
        <v>11</v>
      </c>
      <c r="U61" s="22">
        <v>44</v>
      </c>
      <c r="V61" s="24">
        <f t="shared" si="13"/>
        <v>0.30555555555555558</v>
      </c>
      <c r="W61" s="24">
        <f t="shared" si="14"/>
        <v>1.2222222222222223</v>
      </c>
      <c r="X61" s="25">
        <f t="shared" si="15"/>
        <v>0.25</v>
      </c>
      <c r="Y61" s="15">
        <v>4</v>
      </c>
      <c r="Z61" s="15">
        <v>7</v>
      </c>
      <c r="AA61" s="24">
        <f t="shared" si="16"/>
        <v>0.1111111111111111</v>
      </c>
      <c r="AB61" s="24">
        <f t="shared" si="17"/>
        <v>0.19444444444444445</v>
      </c>
      <c r="AC61" s="25">
        <f t="shared" si="18"/>
        <v>0.5714285714285714</v>
      </c>
      <c r="AD61" s="22">
        <v>59</v>
      </c>
      <c r="AE61" s="24">
        <f t="shared" si="19"/>
        <v>1.6388888888888888</v>
      </c>
      <c r="AF61" s="22">
        <v>30</v>
      </c>
      <c r="AG61" s="24">
        <f t="shared" si="20"/>
        <v>0.83333333333333337</v>
      </c>
      <c r="AH61" s="22">
        <v>29</v>
      </c>
      <c r="AI61" s="24">
        <f t="shared" si="21"/>
        <v>0.80555555555555558</v>
      </c>
      <c r="AJ61" s="22">
        <v>38</v>
      </c>
      <c r="AK61" s="24">
        <f t="shared" si="22"/>
        <v>1.0555555555555556</v>
      </c>
      <c r="AL61" s="13">
        <v>21</v>
      </c>
      <c r="AM61" s="24">
        <f t="shared" si="23"/>
        <v>0.58333333333333337</v>
      </c>
      <c r="AN61" s="34">
        <v>3</v>
      </c>
      <c r="AO61" s="24">
        <f t="shared" si="24"/>
        <v>8.3333333333333329E-2</v>
      </c>
      <c r="AP61" s="22">
        <v>9</v>
      </c>
      <c r="AQ61" s="24">
        <f t="shared" si="36"/>
        <v>0.25</v>
      </c>
      <c r="AR61" s="22">
        <v>67</v>
      </c>
      <c r="AS61" s="24">
        <f t="shared" si="26"/>
        <v>1.8611111111111112</v>
      </c>
      <c r="AT61" s="26">
        <v>0.5478835144753178</v>
      </c>
      <c r="AU61" s="26">
        <v>5.0589428852753263E-2</v>
      </c>
      <c r="AV61" s="26">
        <v>0.34467007359561963</v>
      </c>
      <c r="AW61" s="26">
        <v>0.20321344087969812</v>
      </c>
      <c r="AX61" s="26">
        <v>114.12191492854693</v>
      </c>
      <c r="AY61" s="26">
        <v>112.24077025614079</v>
      </c>
      <c r="AZ61" s="26">
        <v>3.3299682154402301</v>
      </c>
      <c r="BA61" s="26">
        <v>3.75</v>
      </c>
      <c r="BB61" s="26">
        <v>12.465373961218837</v>
      </c>
      <c r="BC61" s="25">
        <v>0.46661409043112512</v>
      </c>
      <c r="BD61" s="25">
        <v>0.4589041095890411</v>
      </c>
      <c r="BE61" s="26">
        <v>6.1014498712489855</v>
      </c>
      <c r="BF61" s="25">
        <v>0.60273972602739723</v>
      </c>
      <c r="BG61" s="25">
        <v>9.5890410958904104E-2</v>
      </c>
      <c r="BH61" s="26">
        <v>5.1750384893487649</v>
      </c>
      <c r="BI61" s="26">
        <v>5.0025372063704721</v>
      </c>
      <c r="BJ61" s="26">
        <v>4.8641340192586728</v>
      </c>
      <c r="BK61" s="26">
        <v>7.577771869183727</v>
      </c>
      <c r="BL61" s="26">
        <v>2.6365898994234342</v>
      </c>
      <c r="BM61" s="26">
        <v>0.41918029293716141</v>
      </c>
      <c r="BN61" s="26">
        <v>10.578279266572638</v>
      </c>
      <c r="BO61" s="27" t="s">
        <v>189</v>
      </c>
      <c r="BP61" s="28"/>
      <c r="BQ61" s="17" t="s">
        <v>255</v>
      </c>
      <c r="BR61" s="57">
        <v>281.27</v>
      </c>
      <c r="BS61" s="57">
        <v>338.87</v>
      </c>
      <c r="BT61" s="57">
        <v>57.6</v>
      </c>
      <c r="BU61" s="35">
        <f t="shared" si="35"/>
        <v>7.8130555555555556</v>
      </c>
      <c r="BV61" s="35">
        <f t="shared" si="30"/>
        <v>9.4130555555555553</v>
      </c>
      <c r="BW61" s="35">
        <f t="shared" si="31"/>
        <v>1.6</v>
      </c>
      <c r="BX61" s="36">
        <f t="shared" si="32"/>
        <v>25.971375807940905</v>
      </c>
      <c r="BY61" s="36">
        <f t="shared" si="33"/>
        <v>31.289935364727608</v>
      </c>
      <c r="BZ61" s="36">
        <f t="shared" si="34"/>
        <v>5.3185595567867034</v>
      </c>
      <c r="CA61" s="48">
        <v>24</v>
      </c>
      <c r="CB61" s="48">
        <v>12</v>
      </c>
    </row>
    <row r="62" spans="1:80" x14ac:dyDescent="0.4">
      <c r="A62" s="21" t="s">
        <v>231</v>
      </c>
      <c r="B62" s="17" t="s">
        <v>191</v>
      </c>
      <c r="C62" s="17" t="s">
        <v>71</v>
      </c>
      <c r="D62" s="33">
        <v>26</v>
      </c>
      <c r="E62" s="33">
        <v>32</v>
      </c>
      <c r="F62" s="33">
        <v>25</v>
      </c>
      <c r="G62" s="23">
        <v>50570</v>
      </c>
      <c r="H62" s="23">
        <v>331</v>
      </c>
      <c r="I62" s="24">
        <f t="shared" si="6"/>
        <v>12.73076923076923</v>
      </c>
      <c r="J62" s="22">
        <v>118</v>
      </c>
      <c r="K62" s="22">
        <v>291</v>
      </c>
      <c r="L62" s="24">
        <f t="shared" si="7"/>
        <v>4.5384615384615383</v>
      </c>
      <c r="M62" s="24">
        <f t="shared" si="8"/>
        <v>11.192307692307692</v>
      </c>
      <c r="N62" s="25">
        <f t="shared" si="9"/>
        <v>0.40549828178694158</v>
      </c>
      <c r="O62" s="23">
        <v>80</v>
      </c>
      <c r="P62" s="22">
        <v>166</v>
      </c>
      <c r="Q62" s="24">
        <f t="shared" si="10"/>
        <v>3.0769230769230771</v>
      </c>
      <c r="R62" s="24">
        <f t="shared" si="11"/>
        <v>6.384615384615385</v>
      </c>
      <c r="S62" s="25">
        <f t="shared" si="12"/>
        <v>0.48192771084337349</v>
      </c>
      <c r="T62" s="22">
        <v>38</v>
      </c>
      <c r="U62" s="22">
        <v>125</v>
      </c>
      <c r="V62" s="24">
        <f t="shared" si="13"/>
        <v>1.4615384615384615</v>
      </c>
      <c r="W62" s="24">
        <f t="shared" si="14"/>
        <v>4.8076923076923075</v>
      </c>
      <c r="X62" s="25">
        <f t="shared" si="15"/>
        <v>0.30399999999999999</v>
      </c>
      <c r="Y62" s="22">
        <v>57</v>
      </c>
      <c r="Z62" s="22">
        <v>98</v>
      </c>
      <c r="AA62" s="24">
        <f t="shared" si="16"/>
        <v>2.1923076923076925</v>
      </c>
      <c r="AB62" s="24">
        <f t="shared" si="17"/>
        <v>3.7692307692307692</v>
      </c>
      <c r="AC62" s="25">
        <f t="shared" si="18"/>
        <v>0.58163265306122447</v>
      </c>
      <c r="AD62" s="22">
        <v>153</v>
      </c>
      <c r="AE62" s="24">
        <f t="shared" si="19"/>
        <v>5.884615384615385</v>
      </c>
      <c r="AF62" s="22">
        <v>25</v>
      </c>
      <c r="AG62" s="24">
        <f t="shared" si="20"/>
        <v>0.96153846153846156</v>
      </c>
      <c r="AH62" s="22">
        <v>128</v>
      </c>
      <c r="AI62" s="24">
        <f t="shared" si="21"/>
        <v>4.9230769230769234</v>
      </c>
      <c r="AJ62" s="22">
        <v>98</v>
      </c>
      <c r="AK62" s="24">
        <f t="shared" si="22"/>
        <v>3.7692307692307692</v>
      </c>
      <c r="AL62" s="22">
        <v>21</v>
      </c>
      <c r="AM62" s="24">
        <f t="shared" si="23"/>
        <v>0.80769230769230771</v>
      </c>
      <c r="AN62" s="10">
        <v>19</v>
      </c>
      <c r="AO62" s="24">
        <f t="shared" si="24"/>
        <v>0.73076923076923073</v>
      </c>
      <c r="AP62" s="22">
        <v>46</v>
      </c>
      <c r="AQ62" s="24">
        <f t="shared" si="36"/>
        <v>1.7692307692307692</v>
      </c>
      <c r="AR62" s="22">
        <v>69</v>
      </c>
      <c r="AS62" s="24">
        <f t="shared" si="26"/>
        <v>2.6538461538461537</v>
      </c>
      <c r="AT62" s="26">
        <v>0.74825804892024839</v>
      </c>
      <c r="AU62" s="26">
        <v>3.551155462544188E-2</v>
      </c>
      <c r="AV62" s="26">
        <v>0.23584988577766541</v>
      </c>
      <c r="AW62" s="26">
        <v>0.51240816314258297</v>
      </c>
      <c r="AX62" s="26">
        <v>102.08591816947062</v>
      </c>
      <c r="AY62" s="26">
        <v>110.88068869364898</v>
      </c>
      <c r="AZ62" s="26">
        <v>4.3392345586856136</v>
      </c>
      <c r="BA62" s="26">
        <v>13.923076923076923</v>
      </c>
      <c r="BB62" s="26">
        <v>17.180146331817284</v>
      </c>
      <c r="BC62" s="25">
        <v>0.49533101879564229</v>
      </c>
      <c r="BD62" s="25">
        <v>0.47079037800687284</v>
      </c>
      <c r="BE62" s="26">
        <v>10.119146391134166</v>
      </c>
      <c r="BF62" s="25">
        <v>0.42955326460481097</v>
      </c>
      <c r="BG62" s="25">
        <v>0.33676975945017185</v>
      </c>
      <c r="BH62" s="26">
        <v>1.6008473818808089</v>
      </c>
      <c r="BI62" s="26">
        <v>8.1963385952297418</v>
      </c>
      <c r="BJ62" s="26">
        <v>4.6823356591994125</v>
      </c>
      <c r="BK62" s="26">
        <v>7.4904458598726116</v>
      </c>
      <c r="BL62" s="26">
        <v>1.3551561136209989</v>
      </c>
      <c r="BM62" s="26">
        <v>0.9854867623842295</v>
      </c>
      <c r="BN62" s="26">
        <v>12.101441650005262</v>
      </c>
      <c r="BO62" s="27" t="s">
        <v>189</v>
      </c>
      <c r="BP62" s="27"/>
      <c r="BQ62" s="17" t="s">
        <v>253</v>
      </c>
      <c r="BR62" s="57">
        <v>629.61</v>
      </c>
      <c r="BS62" s="57">
        <v>895.71</v>
      </c>
      <c r="BT62" s="57">
        <v>266.10000000000002</v>
      </c>
      <c r="BU62" s="35">
        <f t="shared" si="35"/>
        <v>24.215769230769229</v>
      </c>
      <c r="BV62" s="35">
        <f t="shared" si="30"/>
        <v>34.450384615384614</v>
      </c>
      <c r="BW62" s="35">
        <f t="shared" si="31"/>
        <v>10.234615384615385</v>
      </c>
      <c r="BX62" s="36">
        <f t="shared" si="32"/>
        <v>29.880640696064859</v>
      </c>
      <c r="BY62" s="36">
        <f t="shared" si="33"/>
        <v>42.509472018983587</v>
      </c>
      <c r="BZ62" s="36">
        <f t="shared" si="34"/>
        <v>12.628831322918726</v>
      </c>
      <c r="CA62" s="50">
        <v>19</v>
      </c>
      <c r="CB62" s="50">
        <v>7</v>
      </c>
    </row>
    <row r="63" spans="1:80" x14ac:dyDescent="0.4">
      <c r="A63" s="21" t="s">
        <v>231</v>
      </c>
      <c r="B63" s="17" t="s">
        <v>191</v>
      </c>
      <c r="C63" s="17" t="s">
        <v>51</v>
      </c>
      <c r="D63" s="39">
        <v>54</v>
      </c>
      <c r="E63" s="39">
        <v>25</v>
      </c>
      <c r="F63" s="39">
        <v>45</v>
      </c>
      <c r="G63" s="23">
        <v>83430</v>
      </c>
      <c r="H63" s="23">
        <v>509</v>
      </c>
      <c r="I63" s="24">
        <f t="shared" si="6"/>
        <v>9.4259259259259256</v>
      </c>
      <c r="J63" s="22">
        <v>174</v>
      </c>
      <c r="K63" s="22">
        <v>377</v>
      </c>
      <c r="L63" s="24">
        <f t="shared" si="7"/>
        <v>3.2222222222222223</v>
      </c>
      <c r="M63" s="24">
        <f t="shared" si="8"/>
        <v>6.9814814814814818</v>
      </c>
      <c r="N63" s="25">
        <f t="shared" si="9"/>
        <v>0.46153846153846156</v>
      </c>
      <c r="O63" s="23">
        <v>107</v>
      </c>
      <c r="P63" s="22">
        <v>203</v>
      </c>
      <c r="Q63" s="24">
        <f t="shared" si="10"/>
        <v>1.9814814814814814</v>
      </c>
      <c r="R63" s="24">
        <f t="shared" si="11"/>
        <v>3.7592592592592591</v>
      </c>
      <c r="S63" s="25">
        <f t="shared" si="12"/>
        <v>0.52709359605911332</v>
      </c>
      <c r="T63" s="22">
        <v>67</v>
      </c>
      <c r="U63" s="22">
        <v>174</v>
      </c>
      <c r="V63" s="24">
        <f t="shared" si="13"/>
        <v>1.2407407407407407</v>
      </c>
      <c r="W63" s="24">
        <f t="shared" si="14"/>
        <v>3.2222222222222223</v>
      </c>
      <c r="X63" s="25">
        <f t="shared" si="15"/>
        <v>0.38505747126436779</v>
      </c>
      <c r="Y63" s="15">
        <v>94</v>
      </c>
      <c r="Z63" s="15">
        <v>116</v>
      </c>
      <c r="AA63" s="24">
        <f t="shared" si="16"/>
        <v>1.7407407407407407</v>
      </c>
      <c r="AB63" s="24">
        <f t="shared" si="17"/>
        <v>2.1481481481481484</v>
      </c>
      <c r="AC63" s="25">
        <f t="shared" si="18"/>
        <v>0.81034482758620685</v>
      </c>
      <c r="AD63" s="22">
        <v>218</v>
      </c>
      <c r="AE63" s="24">
        <f t="shared" si="19"/>
        <v>4.0370370370370372</v>
      </c>
      <c r="AF63" s="22">
        <v>66</v>
      </c>
      <c r="AG63" s="24">
        <f t="shared" si="20"/>
        <v>1.2222222222222223</v>
      </c>
      <c r="AH63" s="22">
        <v>152</v>
      </c>
      <c r="AI63" s="24">
        <f t="shared" si="21"/>
        <v>2.8148148148148149</v>
      </c>
      <c r="AJ63" s="22">
        <v>33</v>
      </c>
      <c r="AK63" s="24">
        <f t="shared" si="22"/>
        <v>0.61111111111111116</v>
      </c>
      <c r="AL63" s="13">
        <v>36</v>
      </c>
      <c r="AM63" s="24">
        <f t="shared" si="23"/>
        <v>0.66666666666666663</v>
      </c>
      <c r="AN63" s="12">
        <v>5</v>
      </c>
      <c r="AO63" s="24">
        <f t="shared" si="24"/>
        <v>9.2592592592592587E-2</v>
      </c>
      <c r="AP63" s="22">
        <v>24</v>
      </c>
      <c r="AQ63" s="24">
        <f t="shared" si="36"/>
        <v>0.44444444444444442</v>
      </c>
      <c r="AR63" s="22">
        <v>120</v>
      </c>
      <c r="AS63" s="24">
        <f t="shared" si="26"/>
        <v>2.2222222222222223</v>
      </c>
      <c r="AT63" s="26">
        <v>2.9543105541414447</v>
      </c>
      <c r="AU63" s="26">
        <v>8.498556070885134E-2</v>
      </c>
      <c r="AV63" s="26">
        <v>2.4896139732033702</v>
      </c>
      <c r="AW63" s="26">
        <v>0.46469658093807442</v>
      </c>
      <c r="AX63" s="26">
        <v>123.58716802432505</v>
      </c>
      <c r="AY63" s="26">
        <v>113.56210376237154</v>
      </c>
      <c r="AZ63" s="26">
        <v>8.9589547935734064</v>
      </c>
      <c r="BA63" s="26">
        <v>10.222222222222221</v>
      </c>
      <c r="BB63" s="26">
        <v>15.879180151024812</v>
      </c>
      <c r="BC63" s="25">
        <v>0.59457060087842251</v>
      </c>
      <c r="BD63" s="25">
        <v>0.5503978779840849</v>
      </c>
      <c r="BE63" s="26">
        <v>15.149250480074802</v>
      </c>
      <c r="BF63" s="25">
        <v>0.46153846153846156</v>
      </c>
      <c r="BG63" s="25">
        <v>0.30769230769230771</v>
      </c>
      <c r="BH63" s="26">
        <v>5.3204085025770729</v>
      </c>
      <c r="BI63" s="26">
        <v>12.253062005935076</v>
      </c>
      <c r="BJ63" s="26">
        <v>8.3988287871783012</v>
      </c>
      <c r="BK63" s="26">
        <v>3.441084462982273</v>
      </c>
      <c r="BL63" s="26">
        <v>1.4081316004687709</v>
      </c>
      <c r="BM63" s="26">
        <v>0.32648130690467153</v>
      </c>
      <c r="BN63" s="26">
        <v>5.3092646668436423</v>
      </c>
      <c r="BO63" s="27" t="s">
        <v>189</v>
      </c>
      <c r="BP63" s="28"/>
      <c r="BQ63" s="17" t="s">
        <v>253</v>
      </c>
      <c r="BR63" s="58">
        <v>956.81</v>
      </c>
      <c r="BS63" s="58">
        <v>1202.71</v>
      </c>
      <c r="BT63" s="58">
        <v>245.9</v>
      </c>
      <c r="BU63" s="35">
        <f t="shared" si="35"/>
        <v>17.718703703703703</v>
      </c>
      <c r="BV63" s="35">
        <f t="shared" si="30"/>
        <v>22.272407407407407</v>
      </c>
      <c r="BW63" s="35">
        <f t="shared" si="31"/>
        <v>4.5537037037037038</v>
      </c>
      <c r="BX63" s="36">
        <f t="shared" si="32"/>
        <v>27.524199928083423</v>
      </c>
      <c r="BY63" s="36">
        <f t="shared" si="33"/>
        <v>34.597914419273643</v>
      </c>
      <c r="BZ63" s="36">
        <f t="shared" si="34"/>
        <v>7.073714491190219</v>
      </c>
      <c r="CA63" s="50">
        <v>36</v>
      </c>
      <c r="CB63" s="50">
        <v>18</v>
      </c>
    </row>
    <row r="64" spans="1:80" x14ac:dyDescent="0.4">
      <c r="A64" s="21" t="s">
        <v>231</v>
      </c>
      <c r="B64" s="37" t="s">
        <v>191</v>
      </c>
      <c r="C64" s="37" t="s">
        <v>132</v>
      </c>
      <c r="D64" s="33">
        <v>24</v>
      </c>
      <c r="E64" s="33">
        <v>9</v>
      </c>
      <c r="F64" s="33">
        <v>6</v>
      </c>
      <c r="G64" s="23">
        <v>13104</v>
      </c>
      <c r="H64" s="23">
        <v>55</v>
      </c>
      <c r="I64" s="24">
        <f t="shared" si="6"/>
        <v>2.2916666666666665</v>
      </c>
      <c r="J64" s="22">
        <v>19</v>
      </c>
      <c r="K64" s="22">
        <v>52</v>
      </c>
      <c r="L64" s="24">
        <f t="shared" si="7"/>
        <v>0.79166666666666663</v>
      </c>
      <c r="M64" s="24">
        <f t="shared" si="8"/>
        <v>2.1666666666666665</v>
      </c>
      <c r="N64" s="25">
        <f t="shared" si="9"/>
        <v>0.36538461538461536</v>
      </c>
      <c r="O64" s="23">
        <v>7</v>
      </c>
      <c r="P64" s="22">
        <v>15</v>
      </c>
      <c r="Q64" s="24">
        <f t="shared" si="10"/>
        <v>0.29166666666666669</v>
      </c>
      <c r="R64" s="24">
        <f t="shared" si="11"/>
        <v>0.625</v>
      </c>
      <c r="S64" s="25">
        <f t="shared" si="12"/>
        <v>0.46666666666666667</v>
      </c>
      <c r="T64" s="22">
        <v>12</v>
      </c>
      <c r="U64" s="22">
        <v>37</v>
      </c>
      <c r="V64" s="24">
        <f t="shared" si="13"/>
        <v>0.5</v>
      </c>
      <c r="W64" s="24">
        <f t="shared" si="14"/>
        <v>1.5416666666666667</v>
      </c>
      <c r="X64" s="25">
        <f t="shared" si="15"/>
        <v>0.32432432432432434</v>
      </c>
      <c r="Y64" s="22">
        <v>5</v>
      </c>
      <c r="Z64" s="22">
        <v>6</v>
      </c>
      <c r="AA64" s="24">
        <f t="shared" si="16"/>
        <v>0.20833333333333334</v>
      </c>
      <c r="AB64" s="24">
        <f t="shared" si="17"/>
        <v>0.25</v>
      </c>
      <c r="AC64" s="25">
        <f t="shared" si="18"/>
        <v>0.83333333333333337</v>
      </c>
      <c r="AD64" s="22">
        <v>14</v>
      </c>
      <c r="AE64" s="24">
        <f t="shared" si="19"/>
        <v>0.58333333333333337</v>
      </c>
      <c r="AF64" s="22">
        <v>9</v>
      </c>
      <c r="AG64" s="24">
        <f t="shared" si="20"/>
        <v>0.375</v>
      </c>
      <c r="AH64" s="22">
        <v>5</v>
      </c>
      <c r="AI64" s="24">
        <f t="shared" si="21"/>
        <v>0.20833333333333334</v>
      </c>
      <c r="AJ64" s="22">
        <v>11</v>
      </c>
      <c r="AK64" s="24">
        <f t="shared" si="22"/>
        <v>0.45833333333333331</v>
      </c>
      <c r="AL64" s="22">
        <v>7</v>
      </c>
      <c r="AM64" s="24">
        <f t="shared" si="23"/>
        <v>0.29166666666666669</v>
      </c>
      <c r="AN64" s="11">
        <v>0</v>
      </c>
      <c r="AO64" s="24">
        <f t="shared" si="24"/>
        <v>0</v>
      </c>
      <c r="AP64" s="22">
        <v>6</v>
      </c>
      <c r="AQ64" s="24">
        <f t="shared" si="36"/>
        <v>0.25</v>
      </c>
      <c r="AR64" s="22">
        <v>32</v>
      </c>
      <c r="AS64" s="24">
        <f t="shared" si="26"/>
        <v>1.3333333333333333</v>
      </c>
      <c r="AT64" s="26">
        <v>0.10811053275734776</v>
      </c>
      <c r="AU64" s="26">
        <v>1.980046387497212E-2</v>
      </c>
      <c r="AV64" s="26">
        <v>0.10021845863630764</v>
      </c>
      <c r="AW64" s="26">
        <v>7.8920741210401161E-3</v>
      </c>
      <c r="AX64" s="26">
        <v>106.42635937223905</v>
      </c>
      <c r="AY64" s="26">
        <v>116.48145674121442</v>
      </c>
      <c r="AZ64" s="26">
        <v>1.4679554892865336</v>
      </c>
      <c r="BA64" s="26">
        <v>1.9583333333333333</v>
      </c>
      <c r="BB64" s="26">
        <v>8.6080586080586077</v>
      </c>
      <c r="BC64" s="25">
        <v>0.50329428989751102</v>
      </c>
      <c r="BD64" s="25">
        <v>0.48076923076923078</v>
      </c>
      <c r="BE64" s="26">
        <v>5.7505490712256337</v>
      </c>
      <c r="BF64" s="25">
        <v>0.71153846153846156</v>
      </c>
      <c r="BG64" s="25">
        <v>0.11538461538461539</v>
      </c>
      <c r="BH64" s="26">
        <v>2.0529548292911035</v>
      </c>
      <c r="BI64" s="26">
        <v>1.1405304607172797</v>
      </c>
      <c r="BJ64" s="26">
        <v>1.5262515262515262</v>
      </c>
      <c r="BK64" s="26">
        <v>2.8841111693759829</v>
      </c>
      <c r="BL64" s="26">
        <v>1.743239841926483</v>
      </c>
      <c r="BM64" s="26">
        <v>0</v>
      </c>
      <c r="BN64" s="26">
        <v>9.8944591029023741</v>
      </c>
      <c r="BO64" s="27" t="s">
        <v>189</v>
      </c>
      <c r="BP64" s="28"/>
      <c r="BQ64" s="17" t="s">
        <v>255</v>
      </c>
      <c r="BR64" s="58">
        <v>115.79</v>
      </c>
      <c r="BS64" s="58">
        <v>156.09</v>
      </c>
      <c r="BT64" s="58">
        <v>40.299999999999997</v>
      </c>
      <c r="BU64" s="35">
        <f t="shared" si="35"/>
        <v>4.8245833333333339</v>
      </c>
      <c r="BV64" s="35">
        <f t="shared" si="30"/>
        <v>6.5037500000000001</v>
      </c>
      <c r="BW64" s="35">
        <f t="shared" si="31"/>
        <v>1.6791666666666665</v>
      </c>
      <c r="BX64" s="36">
        <f t="shared" si="32"/>
        <v>21.206959706959708</v>
      </c>
      <c r="BY64" s="36">
        <f t="shared" si="33"/>
        <v>28.587912087912088</v>
      </c>
      <c r="BZ64" s="36">
        <f t="shared" si="34"/>
        <v>7.3809523809523814</v>
      </c>
      <c r="CA64" s="50">
        <v>14</v>
      </c>
      <c r="CB64" s="50">
        <v>10</v>
      </c>
    </row>
    <row r="65" spans="1:80" x14ac:dyDescent="0.4">
      <c r="A65" s="21" t="s">
        <v>231</v>
      </c>
      <c r="B65" s="37" t="s">
        <v>193</v>
      </c>
      <c r="C65" s="37" t="s">
        <v>217</v>
      </c>
      <c r="D65" s="33">
        <v>3</v>
      </c>
      <c r="E65" s="33">
        <v>4</v>
      </c>
      <c r="F65" s="33">
        <v>49</v>
      </c>
      <c r="G65" s="23">
        <v>867</v>
      </c>
      <c r="H65" s="23">
        <v>3</v>
      </c>
      <c r="I65" s="24">
        <f t="shared" si="6"/>
        <v>1</v>
      </c>
      <c r="J65" s="22">
        <v>1</v>
      </c>
      <c r="K65" s="22">
        <v>4</v>
      </c>
      <c r="L65" s="24">
        <f t="shared" si="7"/>
        <v>0.33333333333333331</v>
      </c>
      <c r="M65" s="24">
        <f t="shared" si="8"/>
        <v>1.3333333333333333</v>
      </c>
      <c r="N65" s="25">
        <f t="shared" si="9"/>
        <v>0.25</v>
      </c>
      <c r="O65" s="23">
        <v>0</v>
      </c>
      <c r="P65" s="22">
        <v>1</v>
      </c>
      <c r="Q65" s="24">
        <f t="shared" si="10"/>
        <v>0</v>
      </c>
      <c r="R65" s="24">
        <f t="shared" si="11"/>
        <v>0.33333333333333331</v>
      </c>
      <c r="S65" s="25">
        <f t="shared" si="12"/>
        <v>0</v>
      </c>
      <c r="T65" s="22">
        <v>1</v>
      </c>
      <c r="U65" s="22">
        <v>3</v>
      </c>
      <c r="V65" s="24">
        <f t="shared" si="13"/>
        <v>0.33333333333333331</v>
      </c>
      <c r="W65" s="24">
        <f t="shared" si="14"/>
        <v>1</v>
      </c>
      <c r="X65" s="25">
        <f t="shared" si="15"/>
        <v>0.33333333333333331</v>
      </c>
      <c r="Y65" s="22">
        <v>0</v>
      </c>
      <c r="Z65" s="22">
        <v>0</v>
      </c>
      <c r="AA65" s="24">
        <f t="shared" si="16"/>
        <v>0</v>
      </c>
      <c r="AB65" s="24">
        <f t="shared" si="17"/>
        <v>0</v>
      </c>
      <c r="AC65" s="25" t="e">
        <f t="shared" si="18"/>
        <v>#DIV/0!</v>
      </c>
      <c r="AD65" s="22">
        <v>1</v>
      </c>
      <c r="AE65" s="24">
        <f t="shared" si="19"/>
        <v>0.33333333333333331</v>
      </c>
      <c r="AF65" s="22">
        <v>0</v>
      </c>
      <c r="AG65" s="24">
        <f t="shared" si="20"/>
        <v>0</v>
      </c>
      <c r="AH65" s="22">
        <v>1</v>
      </c>
      <c r="AI65" s="24">
        <f t="shared" si="21"/>
        <v>0.33333333333333331</v>
      </c>
      <c r="AJ65" s="22">
        <v>0</v>
      </c>
      <c r="AK65" s="24">
        <f t="shared" si="22"/>
        <v>0</v>
      </c>
      <c r="AL65" s="22">
        <v>0</v>
      </c>
      <c r="AM65" s="24">
        <f t="shared" si="23"/>
        <v>0</v>
      </c>
      <c r="AN65" s="11">
        <v>1</v>
      </c>
      <c r="AO65" s="24">
        <f t="shared" si="24"/>
        <v>0.33333333333333331</v>
      </c>
      <c r="AP65" s="22">
        <v>0</v>
      </c>
      <c r="AQ65" s="24">
        <f t="shared" si="36"/>
        <v>0</v>
      </c>
      <c r="AR65" s="22">
        <v>0</v>
      </c>
      <c r="AS65" s="24">
        <f t="shared" si="26"/>
        <v>0</v>
      </c>
      <c r="AT65" s="26">
        <v>-1.826158646390684E-2</v>
      </c>
      <c r="AU65" s="26">
        <v>-5.055110439835804E-2</v>
      </c>
      <c r="AV65" s="26">
        <v>-1.9556790955735079E-2</v>
      </c>
      <c r="AW65" s="26">
        <v>1.2952044918282399E-3</v>
      </c>
      <c r="AX65" s="26">
        <v>79.901900335501722</v>
      </c>
      <c r="AY65" s="26">
        <v>116.05336456226904</v>
      </c>
      <c r="AZ65" s="26">
        <v>0.24849369557521597</v>
      </c>
      <c r="BA65" s="26">
        <v>0.66666666666666663</v>
      </c>
      <c r="BB65" s="26">
        <v>5.5363321799307963</v>
      </c>
      <c r="BC65" s="25">
        <v>0.375</v>
      </c>
      <c r="BD65" s="25">
        <v>0.375</v>
      </c>
      <c r="BE65" s="26">
        <v>0.71664638159269878</v>
      </c>
      <c r="BF65" s="25">
        <v>0.75</v>
      </c>
      <c r="BG65" s="25">
        <v>0</v>
      </c>
      <c r="BH65" s="26">
        <v>0</v>
      </c>
      <c r="BI65" s="26">
        <v>0.43095476231947039</v>
      </c>
      <c r="BJ65" s="26">
        <v>0.20596473883671115</v>
      </c>
      <c r="BK65" s="26">
        <v>0</v>
      </c>
      <c r="BL65" s="26">
        <v>0</v>
      </c>
      <c r="BM65" s="26">
        <v>0.34907516897419905</v>
      </c>
      <c r="BN65" s="26">
        <v>0</v>
      </c>
      <c r="BO65" s="27" t="s">
        <v>189</v>
      </c>
      <c r="BP65" s="28"/>
      <c r="BQ65" s="17" t="s">
        <v>253</v>
      </c>
      <c r="BR65" s="35">
        <v>5.82</v>
      </c>
      <c r="BS65" s="35">
        <v>8.6199999999999992</v>
      </c>
      <c r="BT65" s="35">
        <v>2.8</v>
      </c>
      <c r="BU65" s="35">
        <f t="shared" si="35"/>
        <v>1.94</v>
      </c>
      <c r="BV65" s="35">
        <f t="shared" si="30"/>
        <v>2.8733333333333331</v>
      </c>
      <c r="BW65" s="35">
        <f t="shared" si="31"/>
        <v>0.93333333333333324</v>
      </c>
      <c r="BX65" s="36">
        <f t="shared" si="32"/>
        <v>16.110726643598611</v>
      </c>
      <c r="BY65" s="36">
        <f t="shared" si="33"/>
        <v>23.861591695501726</v>
      </c>
      <c r="BZ65" s="36">
        <f t="shared" si="34"/>
        <v>7.7508650519031139</v>
      </c>
      <c r="CA65" s="50">
        <v>1</v>
      </c>
      <c r="CB65" s="50">
        <v>2</v>
      </c>
    </row>
    <row r="66" spans="1:80" x14ac:dyDescent="0.4">
      <c r="A66" s="21" t="s">
        <v>231</v>
      </c>
      <c r="B66" s="17" t="s">
        <v>193</v>
      </c>
      <c r="C66" s="17" t="s">
        <v>134</v>
      </c>
      <c r="D66" s="33">
        <v>15</v>
      </c>
      <c r="E66" s="33">
        <v>8</v>
      </c>
      <c r="F66" s="33">
        <v>40</v>
      </c>
      <c r="G66" s="23">
        <v>7800</v>
      </c>
      <c r="H66" s="23">
        <v>23</v>
      </c>
      <c r="I66" s="24">
        <f t="shared" ref="I66:I129" si="37">H66/$D66</f>
        <v>1.5333333333333334</v>
      </c>
      <c r="J66" s="22">
        <v>7</v>
      </c>
      <c r="K66" s="22">
        <v>26</v>
      </c>
      <c r="L66" s="24">
        <f t="shared" si="7"/>
        <v>0.46666666666666667</v>
      </c>
      <c r="M66" s="24">
        <f t="shared" si="8"/>
        <v>1.7333333333333334</v>
      </c>
      <c r="N66" s="25">
        <f t="shared" si="9"/>
        <v>0.26923076923076922</v>
      </c>
      <c r="O66" s="23">
        <v>6</v>
      </c>
      <c r="P66" s="22">
        <v>19</v>
      </c>
      <c r="Q66" s="24">
        <f t="shared" ref="Q66:Q129" si="38">O66/$D66</f>
        <v>0.4</v>
      </c>
      <c r="R66" s="24">
        <f t="shared" ref="R66:R129" si="39">P66/$D66</f>
        <v>1.2666666666666666</v>
      </c>
      <c r="S66" s="25">
        <f t="shared" ref="S66:S129" si="40">O66/P66</f>
        <v>0.31578947368421051</v>
      </c>
      <c r="T66" s="22">
        <v>1</v>
      </c>
      <c r="U66" s="22">
        <v>7</v>
      </c>
      <c r="V66" s="24">
        <f t="shared" ref="V66:V129" si="41">T66/$D66</f>
        <v>6.6666666666666666E-2</v>
      </c>
      <c r="W66" s="24">
        <f t="shared" ref="W66:W129" si="42">U66/$D66</f>
        <v>0.46666666666666667</v>
      </c>
      <c r="X66" s="25">
        <f t="shared" ref="X66:X129" si="43">T66/U66</f>
        <v>0.14285714285714285</v>
      </c>
      <c r="Y66" s="22">
        <v>8</v>
      </c>
      <c r="Z66" s="22">
        <v>11</v>
      </c>
      <c r="AA66" s="24">
        <f t="shared" ref="AA66:AA129" si="44">Y66/$D66</f>
        <v>0.53333333333333333</v>
      </c>
      <c r="AB66" s="24">
        <f t="shared" ref="AB66:AB129" si="45">Z66/$D66</f>
        <v>0.73333333333333328</v>
      </c>
      <c r="AC66" s="25">
        <f t="shared" ref="AC66:AC129" si="46">Y66/Z66</f>
        <v>0.72727272727272729</v>
      </c>
      <c r="AD66" s="22">
        <v>7</v>
      </c>
      <c r="AE66" s="24">
        <f t="shared" ref="AE66:AE129" si="47">AD66/$D66</f>
        <v>0.46666666666666667</v>
      </c>
      <c r="AF66" s="22">
        <v>2</v>
      </c>
      <c r="AG66" s="24">
        <f t="shared" ref="AG66:AG129" si="48">AF66/$D66</f>
        <v>0.13333333333333333</v>
      </c>
      <c r="AH66" s="22">
        <v>5</v>
      </c>
      <c r="AI66" s="24">
        <f t="shared" ref="AI66:AI129" si="49">AH66/$D66</f>
        <v>0.33333333333333331</v>
      </c>
      <c r="AJ66" s="22">
        <v>17</v>
      </c>
      <c r="AK66" s="24">
        <f t="shared" ref="AK66:AK129" si="50">AJ66/$D66</f>
        <v>1.1333333333333333</v>
      </c>
      <c r="AL66" s="32">
        <v>8</v>
      </c>
      <c r="AM66" s="24">
        <f t="shared" ref="AM66:AM129" si="51">AL66/$D66</f>
        <v>0.53333333333333333</v>
      </c>
      <c r="AN66" s="11">
        <v>0</v>
      </c>
      <c r="AO66" s="24">
        <f t="shared" ref="AO66:AO129" si="52">AN66/$D66</f>
        <v>0</v>
      </c>
      <c r="AP66" s="22">
        <v>9</v>
      </c>
      <c r="AQ66" s="24">
        <f t="shared" si="36"/>
        <v>0.6</v>
      </c>
      <c r="AR66" s="22">
        <v>18</v>
      </c>
      <c r="AS66" s="24">
        <f t="shared" ref="AS66:AS129" si="53">AR66/$D66</f>
        <v>1.2</v>
      </c>
      <c r="AT66" s="26">
        <v>-0.15461412177376965</v>
      </c>
      <c r="AU66" s="26">
        <v>-4.757357593039066E-2</v>
      </c>
      <c r="AV66" s="26">
        <v>-0.21133062652992063</v>
      </c>
      <c r="AW66" s="26">
        <v>5.6716504756150983E-2</v>
      </c>
      <c r="AX66" s="26">
        <v>82.427012944175843</v>
      </c>
      <c r="AY66" s="26">
        <v>113.02896252754678</v>
      </c>
      <c r="AZ66" s="26">
        <v>0.48728157627959423</v>
      </c>
      <c r="BA66" s="26">
        <v>1.6</v>
      </c>
      <c r="BB66" s="26">
        <v>7.384615384615385</v>
      </c>
      <c r="BC66" s="25">
        <v>0.37289234760051881</v>
      </c>
      <c r="BD66" s="25">
        <v>0.28846153846153844</v>
      </c>
      <c r="BE66" s="26">
        <v>3.9669684819840159</v>
      </c>
      <c r="BF66" s="25">
        <v>0.26923076923076922</v>
      </c>
      <c r="BG66" s="25">
        <v>0.42307692307692307</v>
      </c>
      <c r="BH66" s="26">
        <v>0.47902279350125743</v>
      </c>
      <c r="BI66" s="26">
        <v>1.1975569837531437</v>
      </c>
      <c r="BJ66" s="26">
        <v>0.80128205128205132</v>
      </c>
      <c r="BK66" s="26">
        <v>4.5414069456812109</v>
      </c>
      <c r="BL66" s="26">
        <v>3.3470204964988475</v>
      </c>
      <c r="BM66" s="26">
        <v>0</v>
      </c>
      <c r="BN66" s="26">
        <v>22.590361445783131</v>
      </c>
      <c r="BO66" s="27" t="s">
        <v>189</v>
      </c>
      <c r="BP66" s="27"/>
      <c r="BQ66" s="17" t="s">
        <v>255</v>
      </c>
      <c r="BR66" s="35">
        <v>64.22</v>
      </c>
      <c r="BS66" s="35">
        <v>98.52</v>
      </c>
      <c r="BT66" s="35">
        <v>34.299999999999997</v>
      </c>
      <c r="BU66" s="35">
        <f t="shared" si="35"/>
        <v>4.2813333333333325</v>
      </c>
      <c r="BV66" s="35">
        <f t="shared" si="30"/>
        <v>6.5679999999999996</v>
      </c>
      <c r="BW66" s="35">
        <f t="shared" si="31"/>
        <v>2.2866666666666666</v>
      </c>
      <c r="BX66" s="36">
        <f t="shared" si="32"/>
        <v>19.759999999999998</v>
      </c>
      <c r="BY66" s="36">
        <f t="shared" si="33"/>
        <v>30.313846153846153</v>
      </c>
      <c r="BZ66" s="36">
        <f t="shared" si="34"/>
        <v>10.553846153846154</v>
      </c>
      <c r="CA66" s="48">
        <v>4</v>
      </c>
      <c r="CB66" s="48">
        <v>11</v>
      </c>
    </row>
    <row r="67" spans="1:80" x14ac:dyDescent="0.4">
      <c r="A67" s="21" t="s">
        <v>231</v>
      </c>
      <c r="B67" s="37" t="s">
        <v>193</v>
      </c>
      <c r="C67" s="37" t="s">
        <v>133</v>
      </c>
      <c r="D67" s="16">
        <v>2</v>
      </c>
      <c r="E67" s="16">
        <v>3</v>
      </c>
      <c r="F67" s="16">
        <v>35</v>
      </c>
      <c r="G67" s="23">
        <v>430</v>
      </c>
      <c r="H67" s="23">
        <v>0</v>
      </c>
      <c r="I67" s="24">
        <f t="shared" si="37"/>
        <v>0</v>
      </c>
      <c r="J67" s="22">
        <v>0</v>
      </c>
      <c r="K67" s="22">
        <v>2</v>
      </c>
      <c r="L67" s="24">
        <f t="shared" ref="L67:L130" si="54">J67/$D67</f>
        <v>0</v>
      </c>
      <c r="M67" s="24">
        <f t="shared" ref="M67:M130" si="55">K67/$D67</f>
        <v>1</v>
      </c>
      <c r="N67" s="25">
        <f t="shared" ref="N67:N130" si="56">J67/K67</f>
        <v>0</v>
      </c>
      <c r="O67" s="23">
        <v>0</v>
      </c>
      <c r="P67" s="22">
        <v>0</v>
      </c>
      <c r="Q67" s="24">
        <f t="shared" si="38"/>
        <v>0</v>
      </c>
      <c r="R67" s="24">
        <f t="shared" si="39"/>
        <v>0</v>
      </c>
      <c r="S67" s="25" t="e">
        <f t="shared" si="40"/>
        <v>#DIV/0!</v>
      </c>
      <c r="T67" s="22">
        <v>0</v>
      </c>
      <c r="U67" s="22">
        <v>2</v>
      </c>
      <c r="V67" s="24">
        <f t="shared" si="41"/>
        <v>0</v>
      </c>
      <c r="W67" s="24">
        <f t="shared" si="42"/>
        <v>1</v>
      </c>
      <c r="X67" s="25">
        <f t="shared" si="43"/>
        <v>0</v>
      </c>
      <c r="Y67" s="15">
        <v>0</v>
      </c>
      <c r="Z67" s="15">
        <v>0</v>
      </c>
      <c r="AA67" s="24">
        <f t="shared" si="44"/>
        <v>0</v>
      </c>
      <c r="AB67" s="24">
        <f t="shared" si="45"/>
        <v>0</v>
      </c>
      <c r="AC67" s="25" t="e">
        <f t="shared" si="46"/>
        <v>#DIV/0!</v>
      </c>
      <c r="AD67" s="22">
        <v>0</v>
      </c>
      <c r="AE67" s="24">
        <f t="shared" si="47"/>
        <v>0</v>
      </c>
      <c r="AF67" s="22">
        <v>0</v>
      </c>
      <c r="AG67" s="24">
        <f t="shared" si="48"/>
        <v>0</v>
      </c>
      <c r="AH67" s="22">
        <v>0</v>
      </c>
      <c r="AI67" s="24">
        <f t="shared" si="49"/>
        <v>0</v>
      </c>
      <c r="AJ67" s="22">
        <v>0</v>
      </c>
      <c r="AK67" s="24">
        <f t="shared" si="50"/>
        <v>0</v>
      </c>
      <c r="AL67" s="40">
        <v>0</v>
      </c>
      <c r="AM67" s="24">
        <f t="shared" si="51"/>
        <v>0</v>
      </c>
      <c r="AN67" s="34">
        <v>0</v>
      </c>
      <c r="AO67" s="24">
        <f t="shared" si="52"/>
        <v>0</v>
      </c>
      <c r="AP67" s="22">
        <v>0</v>
      </c>
      <c r="AQ67" s="24">
        <f t="shared" si="36"/>
        <v>0</v>
      </c>
      <c r="AR67" s="22">
        <v>1</v>
      </c>
      <c r="AS67" s="24">
        <f t="shared" si="53"/>
        <v>0.5</v>
      </c>
      <c r="AT67" s="26">
        <v>-5.2966466922349867E-2</v>
      </c>
      <c r="AU67" s="26">
        <v>-0.29562679212474341</v>
      </c>
      <c r="AV67" s="26">
        <v>-4.8511004610343349E-2</v>
      </c>
      <c r="AW67" s="26">
        <v>-4.4554623120065156E-3</v>
      </c>
      <c r="AX67" s="26">
        <v>0</v>
      </c>
      <c r="AY67" s="26">
        <v>122.25948754879241</v>
      </c>
      <c r="AZ67" s="26">
        <v>-0.50160278993865903</v>
      </c>
      <c r="BA67" s="26">
        <v>-1</v>
      </c>
      <c r="BB67" s="26">
        <v>-11.162790697674419</v>
      </c>
      <c r="BC67" s="25">
        <v>0</v>
      </c>
      <c r="BD67" s="25">
        <v>0</v>
      </c>
      <c r="BE67" s="26">
        <v>0.48165303320997666</v>
      </c>
      <c r="BF67" s="25">
        <v>1</v>
      </c>
      <c r="BG67" s="25">
        <v>0</v>
      </c>
      <c r="BH67" s="26">
        <v>0</v>
      </c>
      <c r="BI67" s="26">
        <v>0</v>
      </c>
      <c r="BJ67" s="26">
        <v>0</v>
      </c>
      <c r="BK67" s="26">
        <v>0</v>
      </c>
      <c r="BL67" s="26">
        <v>0</v>
      </c>
      <c r="BM67" s="26">
        <v>0</v>
      </c>
      <c r="BN67" s="26">
        <v>0</v>
      </c>
      <c r="BO67" s="27" t="s">
        <v>189</v>
      </c>
      <c r="BP67" s="27"/>
      <c r="BQ67" s="17" t="s">
        <v>255</v>
      </c>
      <c r="BR67" s="35">
        <v>-0.01</v>
      </c>
      <c r="BS67" s="35">
        <v>1.79</v>
      </c>
      <c r="BT67" s="35">
        <v>1.8</v>
      </c>
      <c r="BU67" s="35">
        <f t="shared" si="35"/>
        <v>-5.0000000000000044E-3</v>
      </c>
      <c r="BV67" s="35">
        <f t="shared" si="30"/>
        <v>0.89500000000000002</v>
      </c>
      <c r="BW67" s="35">
        <f t="shared" si="31"/>
        <v>0.9</v>
      </c>
      <c r="BX67" s="36">
        <f t="shared" si="32"/>
        <v>-5.5813953488371482E-2</v>
      </c>
      <c r="BY67" s="36">
        <f t="shared" si="33"/>
        <v>9.9906976744186053</v>
      </c>
      <c r="BZ67" s="36">
        <f t="shared" si="34"/>
        <v>10.046511627906977</v>
      </c>
      <c r="CA67" s="50">
        <v>0</v>
      </c>
      <c r="CB67" s="50">
        <v>2</v>
      </c>
    </row>
    <row r="68" spans="1:80" x14ac:dyDescent="0.4">
      <c r="A68" s="21" t="s">
        <v>231</v>
      </c>
      <c r="B68" s="37" t="s">
        <v>193</v>
      </c>
      <c r="C68" s="38" t="s">
        <v>128</v>
      </c>
      <c r="D68" s="22">
        <v>15</v>
      </c>
      <c r="E68" s="22">
        <v>13</v>
      </c>
      <c r="F68" s="22">
        <v>8</v>
      </c>
      <c r="G68" s="23">
        <v>11820</v>
      </c>
      <c r="H68" s="23">
        <v>36</v>
      </c>
      <c r="I68" s="24">
        <f t="shared" si="37"/>
        <v>2.4</v>
      </c>
      <c r="J68" s="22">
        <v>13</v>
      </c>
      <c r="K68" s="22">
        <v>31</v>
      </c>
      <c r="L68" s="24">
        <f t="shared" si="54"/>
        <v>0.8666666666666667</v>
      </c>
      <c r="M68" s="24">
        <f t="shared" si="55"/>
        <v>2.0666666666666669</v>
      </c>
      <c r="N68" s="25">
        <f t="shared" si="56"/>
        <v>0.41935483870967744</v>
      </c>
      <c r="O68" s="23">
        <v>13</v>
      </c>
      <c r="P68" s="22">
        <v>30</v>
      </c>
      <c r="Q68" s="24">
        <f t="shared" si="38"/>
        <v>0.8666666666666667</v>
      </c>
      <c r="R68" s="24">
        <f t="shared" si="39"/>
        <v>2</v>
      </c>
      <c r="S68" s="25">
        <f t="shared" si="40"/>
        <v>0.43333333333333335</v>
      </c>
      <c r="T68" s="22">
        <v>0</v>
      </c>
      <c r="U68" s="22">
        <v>1</v>
      </c>
      <c r="V68" s="24">
        <f t="shared" si="41"/>
        <v>0</v>
      </c>
      <c r="W68" s="24">
        <f t="shared" si="42"/>
        <v>6.6666666666666666E-2</v>
      </c>
      <c r="X68" s="25">
        <f t="shared" si="43"/>
        <v>0</v>
      </c>
      <c r="Y68" s="22">
        <v>10</v>
      </c>
      <c r="Z68" s="22">
        <v>13</v>
      </c>
      <c r="AA68" s="24">
        <f t="shared" si="44"/>
        <v>0.66666666666666663</v>
      </c>
      <c r="AB68" s="24">
        <f t="shared" si="45"/>
        <v>0.8666666666666667</v>
      </c>
      <c r="AC68" s="25">
        <f t="shared" si="46"/>
        <v>0.76923076923076927</v>
      </c>
      <c r="AD68" s="22">
        <v>59</v>
      </c>
      <c r="AE68" s="24">
        <f t="shared" si="47"/>
        <v>3.9333333333333331</v>
      </c>
      <c r="AF68" s="22">
        <v>29</v>
      </c>
      <c r="AG68" s="24">
        <f t="shared" si="48"/>
        <v>1.9333333333333333</v>
      </c>
      <c r="AH68" s="22">
        <v>30</v>
      </c>
      <c r="AI68" s="24">
        <f t="shared" si="49"/>
        <v>2</v>
      </c>
      <c r="AJ68" s="22">
        <v>9</v>
      </c>
      <c r="AK68" s="24">
        <f t="shared" si="50"/>
        <v>0.6</v>
      </c>
      <c r="AL68" s="32">
        <v>6</v>
      </c>
      <c r="AM68" s="24">
        <f t="shared" si="51"/>
        <v>0.4</v>
      </c>
      <c r="AN68" s="11">
        <v>0</v>
      </c>
      <c r="AO68" s="24">
        <f t="shared" si="52"/>
        <v>0</v>
      </c>
      <c r="AP68" s="22">
        <v>5</v>
      </c>
      <c r="AQ68" s="24">
        <f t="shared" si="36"/>
        <v>0.33333333333333331</v>
      </c>
      <c r="AR68" s="22">
        <v>28</v>
      </c>
      <c r="AS68" s="24">
        <f t="shared" si="53"/>
        <v>1.8666666666666667</v>
      </c>
      <c r="AT68" s="26">
        <v>0.43046089244047198</v>
      </c>
      <c r="AU68" s="26">
        <v>8.7403226891466387E-2</v>
      </c>
      <c r="AV68" s="26">
        <v>0.32101165019055111</v>
      </c>
      <c r="AW68" s="26">
        <v>0.10944924224992085</v>
      </c>
      <c r="AX68" s="26">
        <v>121.58538028372077</v>
      </c>
      <c r="AY68" s="26">
        <v>111.98811069603035</v>
      </c>
      <c r="AZ68" s="26">
        <v>2.2449628481656192</v>
      </c>
      <c r="BA68" s="26">
        <v>5.6</v>
      </c>
      <c r="BB68" s="26">
        <v>17.055837563451778</v>
      </c>
      <c r="BC68" s="25">
        <v>0.49019607843137258</v>
      </c>
      <c r="BD68" s="25">
        <v>0.41935483870967744</v>
      </c>
      <c r="BE68" s="26">
        <v>2.7413270160449548</v>
      </c>
      <c r="BF68" s="25">
        <v>3.2258064516129031E-2</v>
      </c>
      <c r="BG68" s="25">
        <v>0.41935483870967744</v>
      </c>
      <c r="BH68" s="26">
        <v>4.5835429733495952</v>
      </c>
      <c r="BI68" s="26">
        <v>4.7415961793271677</v>
      </c>
      <c r="BJ68" s="26">
        <v>4.4567319313512206</v>
      </c>
      <c r="BK68" s="26">
        <v>1.5932963531216806</v>
      </c>
      <c r="BL68" s="26">
        <v>1.6565202964905466</v>
      </c>
      <c r="BM68" s="26">
        <v>0</v>
      </c>
      <c r="BN68" s="26">
        <v>11.984659635666347</v>
      </c>
      <c r="BO68" s="27" t="s">
        <v>189</v>
      </c>
      <c r="BP68" s="27"/>
      <c r="BQ68" s="17" t="s">
        <v>254</v>
      </c>
      <c r="CA68" s="55">
        <v>4</v>
      </c>
      <c r="CB68" s="55">
        <v>11</v>
      </c>
    </row>
    <row r="69" spans="1:80" x14ac:dyDescent="0.4">
      <c r="A69" s="21" t="s">
        <v>231</v>
      </c>
      <c r="B69" s="17" t="s">
        <v>193</v>
      </c>
      <c r="C69" s="17" t="s">
        <v>130</v>
      </c>
      <c r="D69" s="22">
        <v>46</v>
      </c>
      <c r="E69" s="22">
        <v>22</v>
      </c>
      <c r="F69" s="22">
        <v>36</v>
      </c>
      <c r="G69" s="23">
        <v>62376</v>
      </c>
      <c r="H69" s="23">
        <v>324</v>
      </c>
      <c r="I69" s="24">
        <f t="shared" si="37"/>
        <v>7.0434782608695654</v>
      </c>
      <c r="J69" s="22">
        <v>97</v>
      </c>
      <c r="K69" s="22">
        <v>300</v>
      </c>
      <c r="L69" s="24">
        <f t="shared" si="54"/>
        <v>2.1086956521739131</v>
      </c>
      <c r="M69" s="24">
        <f t="shared" si="55"/>
        <v>6.5217391304347823</v>
      </c>
      <c r="N69" s="25">
        <f t="shared" si="56"/>
        <v>0.32333333333333331</v>
      </c>
      <c r="O69" s="23">
        <v>61</v>
      </c>
      <c r="P69" s="22">
        <v>176</v>
      </c>
      <c r="Q69" s="24">
        <f t="shared" si="38"/>
        <v>1.326086956521739</v>
      </c>
      <c r="R69" s="24">
        <f t="shared" si="39"/>
        <v>3.8260869565217392</v>
      </c>
      <c r="S69" s="25">
        <f t="shared" si="40"/>
        <v>0.34659090909090912</v>
      </c>
      <c r="T69" s="22">
        <v>36</v>
      </c>
      <c r="U69" s="22">
        <v>124</v>
      </c>
      <c r="V69" s="24">
        <f t="shared" si="41"/>
        <v>0.78260869565217395</v>
      </c>
      <c r="W69" s="24">
        <f t="shared" si="42"/>
        <v>2.6956521739130435</v>
      </c>
      <c r="X69" s="25">
        <f t="shared" si="43"/>
        <v>0.29032258064516131</v>
      </c>
      <c r="Y69" s="22">
        <v>94</v>
      </c>
      <c r="Z69" s="22">
        <v>119</v>
      </c>
      <c r="AA69" s="24">
        <f t="shared" si="44"/>
        <v>2.0434782608695654</v>
      </c>
      <c r="AB69" s="24">
        <f t="shared" si="45"/>
        <v>2.5869565217391304</v>
      </c>
      <c r="AC69" s="25">
        <f t="shared" si="46"/>
        <v>0.78991596638655459</v>
      </c>
      <c r="AD69" s="22">
        <v>101</v>
      </c>
      <c r="AE69" s="24">
        <f t="shared" si="47"/>
        <v>2.1956521739130435</v>
      </c>
      <c r="AF69" s="22">
        <v>35</v>
      </c>
      <c r="AG69" s="24">
        <f t="shared" si="48"/>
        <v>0.76086956521739135</v>
      </c>
      <c r="AH69" s="22">
        <v>66</v>
      </c>
      <c r="AI69" s="24">
        <f t="shared" si="49"/>
        <v>1.4347826086956521</v>
      </c>
      <c r="AJ69" s="22">
        <v>146</v>
      </c>
      <c r="AK69" s="24">
        <f t="shared" si="50"/>
        <v>3.1739130434782608</v>
      </c>
      <c r="AL69" s="33">
        <v>30</v>
      </c>
      <c r="AM69" s="24">
        <f t="shared" si="51"/>
        <v>0.65217391304347827</v>
      </c>
      <c r="AN69" s="10">
        <v>2</v>
      </c>
      <c r="AO69" s="24">
        <f t="shared" si="52"/>
        <v>4.3478260869565216E-2</v>
      </c>
      <c r="AP69" s="22">
        <v>65</v>
      </c>
      <c r="AQ69" s="24">
        <f t="shared" si="36"/>
        <v>1.4130434782608696</v>
      </c>
      <c r="AR69" s="22">
        <v>92</v>
      </c>
      <c r="AS69" s="24">
        <f t="shared" si="53"/>
        <v>2</v>
      </c>
      <c r="AT69" s="26">
        <v>0.10946395884618046</v>
      </c>
      <c r="AU69" s="26">
        <v>4.2117721756898983E-3</v>
      </c>
      <c r="AV69" s="26">
        <v>1.922229922824038E-2</v>
      </c>
      <c r="AW69" s="26">
        <v>9.0241659617940076E-2</v>
      </c>
      <c r="AX69" s="26">
        <v>99.678659766688867</v>
      </c>
      <c r="AY69" s="26">
        <v>116.07804956573403</v>
      </c>
      <c r="AZ69" s="26">
        <v>5.6440792290870201</v>
      </c>
      <c r="BA69" s="26">
        <v>6.7391304347826084</v>
      </c>
      <c r="BB69" s="26">
        <v>11.927664486340902</v>
      </c>
      <c r="BC69" s="25">
        <v>0.4597570666363946</v>
      </c>
      <c r="BD69" s="25">
        <v>0.38333333333333336</v>
      </c>
      <c r="BE69" s="26">
        <v>15.936534895726737</v>
      </c>
      <c r="BF69" s="25">
        <v>0.41333333333333333</v>
      </c>
      <c r="BG69" s="25">
        <v>0.39666666666666667</v>
      </c>
      <c r="BH69" s="26">
        <v>3.2146809888358718</v>
      </c>
      <c r="BI69" s="26">
        <v>6.0619698646619309</v>
      </c>
      <c r="BJ69" s="26">
        <v>4.4335580840005617</v>
      </c>
      <c r="BK69" s="26">
        <v>16.269222197459328</v>
      </c>
      <c r="BL69" s="26">
        <v>1.5695195190873299</v>
      </c>
      <c r="BM69" s="26">
        <v>0.14879457792558037</v>
      </c>
      <c r="BN69" s="26">
        <v>15.574084723020892</v>
      </c>
      <c r="BO69" s="27" t="s">
        <v>189</v>
      </c>
      <c r="BP69" s="28"/>
      <c r="BQ69" s="17" t="s">
        <v>255</v>
      </c>
      <c r="BR69" s="35">
        <v>653.77</v>
      </c>
      <c r="BS69" s="35">
        <v>965.47</v>
      </c>
      <c r="BT69" s="35">
        <v>311.7</v>
      </c>
      <c r="BU69" s="35">
        <f t="shared" si="35"/>
        <v>14.212391304347829</v>
      </c>
      <c r="BV69" s="35">
        <f t="shared" si="30"/>
        <v>20.988478260869567</v>
      </c>
      <c r="BW69" s="35">
        <f t="shared" si="31"/>
        <v>6.7760869565217385</v>
      </c>
      <c r="BX69" s="36">
        <f t="shared" si="32"/>
        <v>25.154674874951901</v>
      </c>
      <c r="BY69" s="36">
        <f t="shared" si="33"/>
        <v>37.147749134282414</v>
      </c>
      <c r="BZ69" s="36">
        <f t="shared" si="34"/>
        <v>11.993074259330511</v>
      </c>
      <c r="CA69" s="50">
        <v>11</v>
      </c>
      <c r="CB69" s="50">
        <v>35</v>
      </c>
    </row>
    <row r="70" spans="1:80" x14ac:dyDescent="0.4">
      <c r="A70" s="21" t="s">
        <v>231</v>
      </c>
      <c r="B70" s="17" t="s">
        <v>193</v>
      </c>
      <c r="C70" s="17" t="s">
        <v>180</v>
      </c>
      <c r="D70" s="22">
        <v>12</v>
      </c>
      <c r="E70" s="22">
        <v>13</v>
      </c>
      <c r="F70" s="22">
        <v>27</v>
      </c>
      <c r="G70" s="23">
        <v>9684</v>
      </c>
      <c r="H70" s="23">
        <v>56</v>
      </c>
      <c r="I70" s="24">
        <f t="shared" si="37"/>
        <v>4.666666666666667</v>
      </c>
      <c r="J70" s="22">
        <v>22</v>
      </c>
      <c r="K70" s="22">
        <v>59</v>
      </c>
      <c r="L70" s="24">
        <f t="shared" si="54"/>
        <v>1.8333333333333333</v>
      </c>
      <c r="M70" s="24">
        <f t="shared" si="55"/>
        <v>4.916666666666667</v>
      </c>
      <c r="N70" s="25">
        <f t="shared" si="56"/>
        <v>0.3728813559322034</v>
      </c>
      <c r="O70" s="23">
        <v>16</v>
      </c>
      <c r="P70" s="22">
        <v>35</v>
      </c>
      <c r="Q70" s="24">
        <f t="shared" si="38"/>
        <v>1.3333333333333333</v>
      </c>
      <c r="R70" s="24">
        <f t="shared" si="39"/>
        <v>2.9166666666666665</v>
      </c>
      <c r="S70" s="25">
        <f t="shared" si="40"/>
        <v>0.45714285714285713</v>
      </c>
      <c r="T70" s="22">
        <v>6</v>
      </c>
      <c r="U70" s="22">
        <v>24</v>
      </c>
      <c r="V70" s="24">
        <f t="shared" si="41"/>
        <v>0.5</v>
      </c>
      <c r="W70" s="24">
        <f t="shared" si="42"/>
        <v>2</v>
      </c>
      <c r="X70" s="25">
        <f t="shared" si="43"/>
        <v>0.25</v>
      </c>
      <c r="Y70" s="22">
        <v>6</v>
      </c>
      <c r="Z70" s="22">
        <v>8</v>
      </c>
      <c r="AA70" s="24">
        <f t="shared" si="44"/>
        <v>0.5</v>
      </c>
      <c r="AB70" s="24">
        <f t="shared" si="45"/>
        <v>0.66666666666666663</v>
      </c>
      <c r="AC70" s="25">
        <f t="shared" si="46"/>
        <v>0.75</v>
      </c>
      <c r="AD70" s="22">
        <v>22</v>
      </c>
      <c r="AE70" s="24">
        <f t="shared" si="47"/>
        <v>1.8333333333333333</v>
      </c>
      <c r="AF70" s="22">
        <v>10</v>
      </c>
      <c r="AG70" s="24">
        <f t="shared" si="48"/>
        <v>0.83333333333333337</v>
      </c>
      <c r="AH70" s="22">
        <v>12</v>
      </c>
      <c r="AI70" s="24">
        <f t="shared" si="49"/>
        <v>1</v>
      </c>
      <c r="AJ70" s="22">
        <v>8</v>
      </c>
      <c r="AK70" s="24">
        <f t="shared" si="50"/>
        <v>0.66666666666666663</v>
      </c>
      <c r="AL70" s="33">
        <v>8</v>
      </c>
      <c r="AM70" s="24">
        <f t="shared" si="51"/>
        <v>0.66666666666666663</v>
      </c>
      <c r="AN70" s="10">
        <v>1</v>
      </c>
      <c r="AO70" s="24">
        <f t="shared" si="52"/>
        <v>8.3333333333333329E-2</v>
      </c>
      <c r="AP70" s="22">
        <v>14</v>
      </c>
      <c r="AQ70" s="24">
        <f t="shared" si="36"/>
        <v>1.1666666666666667</v>
      </c>
      <c r="AR70" s="22">
        <v>18</v>
      </c>
      <c r="AS70" s="24">
        <f t="shared" si="53"/>
        <v>1.5</v>
      </c>
      <c r="AT70" s="26">
        <v>-0.25353124160209428</v>
      </c>
      <c r="AU70" s="26">
        <v>-6.2833021462724722E-2</v>
      </c>
      <c r="AV70" s="26">
        <v>-0.32933926860970586</v>
      </c>
      <c r="AW70" s="26">
        <v>7.5808027007611564E-2</v>
      </c>
      <c r="AX70" s="26">
        <v>84.479359466681359</v>
      </c>
      <c r="AY70" s="26">
        <v>112.73747321038208</v>
      </c>
      <c r="AZ70" s="26">
        <v>1.1115315041919887</v>
      </c>
      <c r="BA70" s="26">
        <v>3.5</v>
      </c>
      <c r="BB70" s="26">
        <v>10.408921933085502</v>
      </c>
      <c r="BC70" s="25">
        <v>0.44785668586052463</v>
      </c>
      <c r="BD70" s="25">
        <v>0.42372881355932202</v>
      </c>
      <c r="BE70" s="26">
        <v>4.9095782972514836</v>
      </c>
      <c r="BF70" s="25">
        <v>0.40677966101694918</v>
      </c>
      <c r="BG70" s="25">
        <v>0.13559322033898305</v>
      </c>
      <c r="BH70" s="26">
        <v>1.5433200286285866</v>
      </c>
      <c r="BI70" s="26">
        <v>1.8519840343543037</v>
      </c>
      <c r="BJ70" s="26">
        <v>1.6227060836726264</v>
      </c>
      <c r="BK70" s="26">
        <v>1.4040014040014042</v>
      </c>
      <c r="BL70" s="26">
        <v>2.6958653317524797</v>
      </c>
      <c r="BM70" s="26">
        <v>0.12500957104528315</v>
      </c>
      <c r="BN70" s="26">
        <v>18.295870360690014</v>
      </c>
      <c r="BO70" s="27" t="s">
        <v>189</v>
      </c>
      <c r="BP70" s="27"/>
      <c r="BQ70" s="17" t="s">
        <v>255</v>
      </c>
      <c r="BR70" s="35">
        <v>88.06</v>
      </c>
      <c r="BS70" s="35">
        <v>145.86000000000001</v>
      </c>
      <c r="BT70" s="35">
        <v>57.8</v>
      </c>
      <c r="BU70" s="35">
        <f t="shared" si="35"/>
        <v>7.3383333333333347</v>
      </c>
      <c r="BV70" s="35">
        <f t="shared" si="30"/>
        <v>12.155000000000001</v>
      </c>
      <c r="BW70" s="35">
        <f t="shared" si="31"/>
        <v>4.8166666666666664</v>
      </c>
      <c r="BX70" s="36">
        <f t="shared" si="32"/>
        <v>21.824039653035939</v>
      </c>
      <c r="BY70" s="36">
        <f t="shared" si="33"/>
        <v>36.148698884758367</v>
      </c>
      <c r="BZ70" s="36">
        <f t="shared" si="34"/>
        <v>14.324659231722428</v>
      </c>
      <c r="CA70" s="50">
        <v>1</v>
      </c>
      <c r="CB70" s="50">
        <v>11</v>
      </c>
    </row>
    <row r="71" spans="1:80" x14ac:dyDescent="0.4">
      <c r="A71" s="21" t="s">
        <v>231</v>
      </c>
      <c r="B71" s="17" t="s">
        <v>193</v>
      </c>
      <c r="C71" s="17" t="s">
        <v>135</v>
      </c>
      <c r="D71" s="22">
        <v>8</v>
      </c>
      <c r="E71" s="22">
        <v>7</v>
      </c>
      <c r="F71" s="22">
        <v>10</v>
      </c>
      <c r="G71" s="23">
        <v>3440</v>
      </c>
      <c r="H71" s="23">
        <v>6</v>
      </c>
      <c r="I71" s="24">
        <f t="shared" si="37"/>
        <v>0.75</v>
      </c>
      <c r="J71" s="22">
        <v>3</v>
      </c>
      <c r="K71" s="22">
        <v>9</v>
      </c>
      <c r="L71" s="24">
        <f t="shared" si="54"/>
        <v>0.375</v>
      </c>
      <c r="M71" s="24">
        <f t="shared" si="55"/>
        <v>1.125</v>
      </c>
      <c r="N71" s="25">
        <f t="shared" si="56"/>
        <v>0.33333333333333331</v>
      </c>
      <c r="O71" s="23">
        <v>3</v>
      </c>
      <c r="P71" s="22">
        <v>7</v>
      </c>
      <c r="Q71" s="24">
        <f t="shared" si="38"/>
        <v>0.375</v>
      </c>
      <c r="R71" s="24">
        <f t="shared" si="39"/>
        <v>0.875</v>
      </c>
      <c r="S71" s="25">
        <f t="shared" si="40"/>
        <v>0.42857142857142855</v>
      </c>
      <c r="T71" s="22">
        <v>0</v>
      </c>
      <c r="U71" s="22">
        <v>2</v>
      </c>
      <c r="V71" s="24">
        <f t="shared" si="41"/>
        <v>0</v>
      </c>
      <c r="W71" s="24">
        <f t="shared" si="42"/>
        <v>0.25</v>
      </c>
      <c r="X71" s="25">
        <f t="shared" si="43"/>
        <v>0</v>
      </c>
      <c r="Y71" s="22">
        <v>0</v>
      </c>
      <c r="Z71" s="22">
        <v>2</v>
      </c>
      <c r="AA71" s="24">
        <f t="shared" si="44"/>
        <v>0</v>
      </c>
      <c r="AB71" s="24">
        <f t="shared" si="45"/>
        <v>0.25</v>
      </c>
      <c r="AC71" s="25">
        <f t="shared" si="46"/>
        <v>0</v>
      </c>
      <c r="AD71" s="22">
        <v>6</v>
      </c>
      <c r="AE71" s="24">
        <f t="shared" si="47"/>
        <v>0.75</v>
      </c>
      <c r="AF71" s="22">
        <v>0</v>
      </c>
      <c r="AG71" s="24">
        <f t="shared" si="48"/>
        <v>0</v>
      </c>
      <c r="AH71" s="22">
        <v>6</v>
      </c>
      <c r="AI71" s="24">
        <f t="shared" si="49"/>
        <v>0.75</v>
      </c>
      <c r="AJ71" s="22">
        <v>0</v>
      </c>
      <c r="AK71" s="24">
        <f t="shared" si="50"/>
        <v>0</v>
      </c>
      <c r="AL71" s="33">
        <v>0</v>
      </c>
      <c r="AM71" s="24">
        <f t="shared" si="51"/>
        <v>0</v>
      </c>
      <c r="AN71" s="10">
        <v>0</v>
      </c>
      <c r="AO71" s="24">
        <f t="shared" si="52"/>
        <v>0</v>
      </c>
      <c r="AP71" s="22">
        <v>3</v>
      </c>
      <c r="AQ71" s="24">
        <f t="shared" ref="AQ71:AQ102" si="57">AP71/$D71</f>
        <v>0.375</v>
      </c>
      <c r="AR71" s="22">
        <v>11</v>
      </c>
      <c r="AS71" s="24">
        <f t="shared" si="53"/>
        <v>1.375</v>
      </c>
      <c r="AT71" s="26">
        <v>-0.19206178116316736</v>
      </c>
      <c r="AU71" s="26">
        <v>-0.13399659150918652</v>
      </c>
      <c r="AV71" s="26">
        <v>-0.1871053874498709</v>
      </c>
      <c r="AW71" s="26">
        <v>-4.956393713296447E-3</v>
      </c>
      <c r="AX71" s="26">
        <v>46.16914241147056</v>
      </c>
      <c r="AY71" s="26">
        <v>117.58963376132463</v>
      </c>
      <c r="AZ71" s="26">
        <v>-0.98208894574657402</v>
      </c>
      <c r="BA71" s="26">
        <v>0.125</v>
      </c>
      <c r="BB71" s="26">
        <v>0.69767441860465118</v>
      </c>
      <c r="BC71" s="25">
        <v>0.30364372469635625</v>
      </c>
      <c r="BD71" s="25">
        <v>0.33333333333333331</v>
      </c>
      <c r="BE71" s="26">
        <v>1.550922766936125</v>
      </c>
      <c r="BF71" s="25">
        <v>0.22222222222222221</v>
      </c>
      <c r="BG71" s="25">
        <v>0.22222222222222221</v>
      </c>
      <c r="BH71" s="26">
        <v>0</v>
      </c>
      <c r="BI71" s="26">
        <v>1.7378501345627013</v>
      </c>
      <c r="BJ71" s="26">
        <v>0.83056478405315615</v>
      </c>
      <c r="BK71" s="26">
        <v>0</v>
      </c>
      <c r="BL71" s="26">
        <v>0</v>
      </c>
      <c r="BM71" s="26">
        <v>0</v>
      </c>
      <c r="BN71" s="26">
        <v>23.291925465838506</v>
      </c>
      <c r="BO71" s="27" t="s">
        <v>189</v>
      </c>
      <c r="BP71" s="27"/>
      <c r="BQ71" s="17" t="s">
        <v>254</v>
      </c>
      <c r="BR71" s="35">
        <v>14.43</v>
      </c>
      <c r="BS71" s="35">
        <v>26.33</v>
      </c>
      <c r="BT71" s="35">
        <v>11.9</v>
      </c>
      <c r="BU71" s="35">
        <f t="shared" si="35"/>
        <v>1.8037499999999997</v>
      </c>
      <c r="BV71" s="35">
        <f t="shared" si="30"/>
        <v>3.2912499999999998</v>
      </c>
      <c r="BW71" s="35">
        <f t="shared" si="31"/>
        <v>1.4875</v>
      </c>
      <c r="BX71" s="36">
        <f t="shared" si="32"/>
        <v>10.067441860465115</v>
      </c>
      <c r="BY71" s="36">
        <f t="shared" si="33"/>
        <v>18.369767441860464</v>
      </c>
      <c r="BZ71" s="36">
        <f t="shared" si="34"/>
        <v>8.3023255813953494</v>
      </c>
      <c r="CA71" s="48">
        <v>1</v>
      </c>
      <c r="CB71" s="48">
        <v>7</v>
      </c>
    </row>
    <row r="72" spans="1:80" x14ac:dyDescent="0.4">
      <c r="A72" s="21" t="s">
        <v>231</v>
      </c>
      <c r="B72" s="37" t="s">
        <v>193</v>
      </c>
      <c r="C72" s="37" t="s">
        <v>93</v>
      </c>
      <c r="D72" s="22">
        <v>14</v>
      </c>
      <c r="E72" s="22">
        <v>7</v>
      </c>
      <c r="F72" s="22">
        <v>10</v>
      </c>
      <c r="G72" s="23">
        <v>6020</v>
      </c>
      <c r="H72" s="23">
        <v>19</v>
      </c>
      <c r="I72" s="24">
        <f t="shared" si="37"/>
        <v>1.3571428571428572</v>
      </c>
      <c r="J72" s="22">
        <v>7</v>
      </c>
      <c r="K72" s="22">
        <v>22</v>
      </c>
      <c r="L72" s="24">
        <f t="shared" si="54"/>
        <v>0.5</v>
      </c>
      <c r="M72" s="24">
        <f t="shared" si="55"/>
        <v>1.5714285714285714</v>
      </c>
      <c r="N72" s="25">
        <f t="shared" si="56"/>
        <v>0.31818181818181818</v>
      </c>
      <c r="O72" s="23">
        <v>4</v>
      </c>
      <c r="P72" s="22">
        <v>8</v>
      </c>
      <c r="Q72" s="24">
        <f t="shared" si="38"/>
        <v>0.2857142857142857</v>
      </c>
      <c r="R72" s="24">
        <f t="shared" si="39"/>
        <v>0.5714285714285714</v>
      </c>
      <c r="S72" s="25">
        <f t="shared" si="40"/>
        <v>0.5</v>
      </c>
      <c r="T72" s="22">
        <v>3</v>
      </c>
      <c r="U72" s="22">
        <v>14</v>
      </c>
      <c r="V72" s="24">
        <f t="shared" si="41"/>
        <v>0.21428571428571427</v>
      </c>
      <c r="W72" s="24">
        <f t="shared" si="42"/>
        <v>1</v>
      </c>
      <c r="X72" s="25">
        <f t="shared" si="43"/>
        <v>0.21428571428571427</v>
      </c>
      <c r="Y72" s="22">
        <v>2</v>
      </c>
      <c r="Z72" s="22">
        <v>2</v>
      </c>
      <c r="AA72" s="24">
        <f t="shared" si="44"/>
        <v>0.14285714285714285</v>
      </c>
      <c r="AB72" s="24">
        <f t="shared" si="45"/>
        <v>0.14285714285714285</v>
      </c>
      <c r="AC72" s="25">
        <f t="shared" si="46"/>
        <v>1</v>
      </c>
      <c r="AD72" s="22">
        <v>4</v>
      </c>
      <c r="AE72" s="24">
        <f t="shared" si="47"/>
        <v>0.2857142857142857</v>
      </c>
      <c r="AF72" s="22">
        <v>3</v>
      </c>
      <c r="AG72" s="24">
        <f t="shared" si="48"/>
        <v>0.21428571428571427</v>
      </c>
      <c r="AH72" s="22">
        <v>1</v>
      </c>
      <c r="AI72" s="24">
        <f t="shared" si="49"/>
        <v>7.1428571428571425E-2</v>
      </c>
      <c r="AJ72" s="22">
        <v>6</v>
      </c>
      <c r="AK72" s="24">
        <f t="shared" si="50"/>
        <v>0.42857142857142855</v>
      </c>
      <c r="AL72" s="33">
        <v>6</v>
      </c>
      <c r="AM72" s="24">
        <f t="shared" si="51"/>
        <v>0.42857142857142855</v>
      </c>
      <c r="AN72" s="10">
        <v>0</v>
      </c>
      <c r="AO72" s="24">
        <f t="shared" si="52"/>
        <v>0</v>
      </c>
      <c r="AP72" s="22">
        <v>1</v>
      </c>
      <c r="AQ72" s="24">
        <f t="shared" si="57"/>
        <v>7.1428571428571425E-2</v>
      </c>
      <c r="AR72" s="22">
        <v>13</v>
      </c>
      <c r="AS72" s="24">
        <f t="shared" si="53"/>
        <v>0.9285714285714286</v>
      </c>
      <c r="AT72" s="26">
        <v>3.6122996494332878E-2</v>
      </c>
      <c r="AU72" s="26">
        <v>1.440119461568088E-2</v>
      </c>
      <c r="AV72" s="26">
        <v>9.2017051076129733E-3</v>
      </c>
      <c r="AW72" s="26">
        <v>2.6921291386719906E-2</v>
      </c>
      <c r="AX72" s="26">
        <v>100.86753852506722</v>
      </c>
      <c r="AY72" s="26">
        <v>114.49438722966929</v>
      </c>
      <c r="AZ72" s="26">
        <v>1.0051788898446046</v>
      </c>
      <c r="BA72" s="26">
        <v>1.3571428571428572</v>
      </c>
      <c r="BB72" s="26">
        <v>7.5747508305647848</v>
      </c>
      <c r="BC72" s="25">
        <v>0.41520979020979021</v>
      </c>
      <c r="BD72" s="25">
        <v>0.38636363636363635</v>
      </c>
      <c r="BE72" s="26">
        <v>2.8754686082635605</v>
      </c>
      <c r="BF72" s="25">
        <v>0.63636363636363635</v>
      </c>
      <c r="BG72" s="25">
        <v>9.0909090909090912E-2</v>
      </c>
      <c r="BH72" s="26">
        <v>0.86892506728135066</v>
      </c>
      <c r="BI72" s="26">
        <v>0.28964168909378357</v>
      </c>
      <c r="BJ72" s="26">
        <v>0.55370985603543743</v>
      </c>
      <c r="BK72" s="26">
        <v>1.9459459459459461</v>
      </c>
      <c r="BL72" s="26">
        <v>3.2525033063983813</v>
      </c>
      <c r="BM72" s="26">
        <v>0</v>
      </c>
      <c r="BN72" s="26">
        <v>4.1876046901172534</v>
      </c>
      <c r="BO72" s="27" t="s">
        <v>189</v>
      </c>
      <c r="BP72" s="27"/>
      <c r="BQ72" s="17" t="s">
        <v>255</v>
      </c>
      <c r="BR72" s="35">
        <v>53.66</v>
      </c>
      <c r="BS72" s="35">
        <v>69.06</v>
      </c>
      <c r="BT72" s="35">
        <v>15.4</v>
      </c>
      <c r="BU72" s="35">
        <f t="shared" si="35"/>
        <v>3.8328571428571432</v>
      </c>
      <c r="BV72" s="35">
        <f t="shared" si="30"/>
        <v>4.9328571428571433</v>
      </c>
      <c r="BW72" s="35">
        <f t="shared" si="31"/>
        <v>1.1000000000000001</v>
      </c>
      <c r="BX72" s="36">
        <f t="shared" si="32"/>
        <v>21.39269102990033</v>
      </c>
      <c r="BY72" s="36">
        <f t="shared" si="33"/>
        <v>27.532225913621261</v>
      </c>
      <c r="BZ72" s="36">
        <f t="shared" si="34"/>
        <v>6.1395348837209305</v>
      </c>
      <c r="CA72" s="48">
        <v>4</v>
      </c>
      <c r="CB72" s="48">
        <v>10</v>
      </c>
    </row>
    <row r="73" spans="1:80" x14ac:dyDescent="0.4">
      <c r="A73" s="21" t="s">
        <v>231</v>
      </c>
      <c r="B73" s="17" t="s">
        <v>193</v>
      </c>
      <c r="C73" s="17" t="s">
        <v>218</v>
      </c>
      <c r="D73" s="22">
        <v>11</v>
      </c>
      <c r="E73" s="22">
        <v>22</v>
      </c>
      <c r="F73" s="22">
        <v>23</v>
      </c>
      <c r="G73" s="23">
        <v>14773</v>
      </c>
      <c r="H73" s="23">
        <v>198</v>
      </c>
      <c r="I73" s="24">
        <f t="shared" si="37"/>
        <v>18</v>
      </c>
      <c r="J73" s="22">
        <v>80</v>
      </c>
      <c r="K73" s="22">
        <v>172</v>
      </c>
      <c r="L73" s="24">
        <f t="shared" si="54"/>
        <v>7.2727272727272725</v>
      </c>
      <c r="M73" s="24">
        <f t="shared" si="55"/>
        <v>15.636363636363637</v>
      </c>
      <c r="N73" s="25">
        <f t="shared" si="56"/>
        <v>0.46511627906976744</v>
      </c>
      <c r="O73" s="23">
        <v>70</v>
      </c>
      <c r="P73" s="22">
        <v>135</v>
      </c>
      <c r="Q73" s="24">
        <f t="shared" si="38"/>
        <v>6.3636363636363633</v>
      </c>
      <c r="R73" s="24">
        <f t="shared" si="39"/>
        <v>12.272727272727273</v>
      </c>
      <c r="S73" s="25">
        <f t="shared" si="40"/>
        <v>0.51851851851851849</v>
      </c>
      <c r="T73" s="22">
        <v>10</v>
      </c>
      <c r="U73" s="22">
        <v>37</v>
      </c>
      <c r="V73" s="24">
        <f t="shared" si="41"/>
        <v>0.90909090909090906</v>
      </c>
      <c r="W73" s="24">
        <f t="shared" si="42"/>
        <v>3.3636363636363638</v>
      </c>
      <c r="X73" s="25">
        <f t="shared" si="43"/>
        <v>0.27027027027027029</v>
      </c>
      <c r="Y73" s="22">
        <v>28</v>
      </c>
      <c r="Z73" s="22">
        <v>32</v>
      </c>
      <c r="AA73" s="24">
        <f t="shared" si="44"/>
        <v>2.5454545454545454</v>
      </c>
      <c r="AB73" s="24">
        <f t="shared" si="45"/>
        <v>2.9090909090909092</v>
      </c>
      <c r="AC73" s="25">
        <f t="shared" si="46"/>
        <v>0.875</v>
      </c>
      <c r="AD73" s="22">
        <v>75</v>
      </c>
      <c r="AE73" s="24">
        <f t="shared" si="47"/>
        <v>6.8181818181818183</v>
      </c>
      <c r="AF73" s="22">
        <v>20</v>
      </c>
      <c r="AG73" s="24">
        <f t="shared" si="48"/>
        <v>1.8181818181818181</v>
      </c>
      <c r="AH73" s="22">
        <v>55</v>
      </c>
      <c r="AI73" s="24">
        <f t="shared" si="49"/>
        <v>5</v>
      </c>
      <c r="AJ73" s="22">
        <v>7</v>
      </c>
      <c r="AK73" s="24">
        <f t="shared" si="50"/>
        <v>0.63636363636363635</v>
      </c>
      <c r="AL73" s="33">
        <v>8</v>
      </c>
      <c r="AM73" s="24">
        <f t="shared" si="51"/>
        <v>0.72727272727272729</v>
      </c>
      <c r="AN73" s="10">
        <v>5</v>
      </c>
      <c r="AO73" s="24">
        <f t="shared" si="52"/>
        <v>0.45454545454545453</v>
      </c>
      <c r="AP73" s="22">
        <v>29</v>
      </c>
      <c r="AQ73" s="24">
        <f t="shared" si="57"/>
        <v>2.6363636363636362</v>
      </c>
      <c r="AR73" s="22">
        <v>32</v>
      </c>
      <c r="AS73" s="24">
        <f t="shared" si="53"/>
        <v>2.9090909090909092</v>
      </c>
      <c r="AT73" s="26">
        <v>-2.8870612852799016E-2</v>
      </c>
      <c r="AU73" s="26">
        <v>-4.6902775906530591E-3</v>
      </c>
      <c r="AV73" s="26">
        <v>-0.28846488470876541</v>
      </c>
      <c r="AW73" s="26">
        <v>0.2595942718559664</v>
      </c>
      <c r="AX73" s="26">
        <v>94.460219107609589</v>
      </c>
      <c r="AY73" s="26">
        <v>107.63663033796341</v>
      </c>
      <c r="AZ73" s="26">
        <v>3.3704236275090707</v>
      </c>
      <c r="BA73" s="26">
        <v>15.272727272727273</v>
      </c>
      <c r="BB73" s="26">
        <v>27.293034590130642</v>
      </c>
      <c r="BC73" s="25">
        <v>0.53202923473774721</v>
      </c>
      <c r="BD73" s="25">
        <v>0.4941860465116279</v>
      </c>
      <c r="BE73" s="26">
        <v>8.2921429234186093</v>
      </c>
      <c r="BF73" s="25">
        <v>0.21511627906976744</v>
      </c>
      <c r="BG73" s="25">
        <v>0.18604651162790697</v>
      </c>
      <c r="BH73" s="26">
        <v>1.8547420150458218</v>
      </c>
      <c r="BI73" s="26">
        <v>5.1005405413760103</v>
      </c>
      <c r="BJ73" s="26">
        <v>3.3241144559089459</v>
      </c>
      <c r="BK73" s="26">
        <v>0.77359463641052084</v>
      </c>
      <c r="BL73" s="26">
        <v>1.7671941970277543</v>
      </c>
      <c r="BM73" s="26">
        <v>0.37558720712413818</v>
      </c>
      <c r="BN73" s="26">
        <v>13.483355030686255</v>
      </c>
      <c r="BO73" s="27" t="s">
        <v>232</v>
      </c>
      <c r="BP73" s="28"/>
      <c r="BQ73" s="17" t="s">
        <v>253</v>
      </c>
      <c r="BR73" s="35">
        <v>232.04</v>
      </c>
      <c r="BS73" s="35">
        <v>368.04</v>
      </c>
      <c r="BT73" s="35">
        <v>136</v>
      </c>
      <c r="BU73" s="35">
        <f t="shared" ref="BU73:BU136" si="58">BV73-BW73</f>
        <v>21.094545454545457</v>
      </c>
      <c r="BV73" s="35">
        <f t="shared" ref="BV73:BV136" si="59">BS73/$D73</f>
        <v>33.458181818181821</v>
      </c>
      <c r="BW73" s="35">
        <f t="shared" ref="BW73:BW136" si="60">BT73/$D73</f>
        <v>12.363636363636363</v>
      </c>
      <c r="BX73" s="36">
        <f t="shared" ref="BX73:BX136" si="61">BY73-BZ73</f>
        <v>37.696879442225679</v>
      </c>
      <c r="BY73" s="36">
        <f t="shared" ref="BY73:BY136" si="62">BS73*2400/$G73</f>
        <v>59.791240777093343</v>
      </c>
      <c r="BZ73" s="36">
        <f t="shared" ref="BZ73:BZ136" si="63">BT73*2400/$G73</f>
        <v>22.094361334867664</v>
      </c>
      <c r="CA73" s="48">
        <v>1</v>
      </c>
      <c r="CB73" s="48">
        <v>10</v>
      </c>
    </row>
    <row r="74" spans="1:80" x14ac:dyDescent="0.4">
      <c r="A74" s="21" t="s">
        <v>231</v>
      </c>
      <c r="B74" s="51" t="s">
        <v>193</v>
      </c>
      <c r="C74" s="51" t="s">
        <v>276</v>
      </c>
      <c r="D74" s="22">
        <v>17</v>
      </c>
      <c r="E74" s="22">
        <v>19</v>
      </c>
      <c r="F74" s="22">
        <v>53</v>
      </c>
      <c r="G74" s="23">
        <v>20281</v>
      </c>
      <c r="H74" s="23">
        <v>234</v>
      </c>
      <c r="I74" s="24">
        <f t="shared" si="37"/>
        <v>13.764705882352942</v>
      </c>
      <c r="J74" s="22">
        <v>85</v>
      </c>
      <c r="K74" s="22">
        <v>174</v>
      </c>
      <c r="L74" s="24">
        <f t="shared" si="54"/>
        <v>5</v>
      </c>
      <c r="M74" s="24">
        <f t="shared" si="55"/>
        <v>10.235294117647058</v>
      </c>
      <c r="N74" s="25">
        <f t="shared" si="56"/>
        <v>0.4885057471264368</v>
      </c>
      <c r="O74" s="23">
        <v>63</v>
      </c>
      <c r="P74" s="22">
        <v>112</v>
      </c>
      <c r="Q74" s="24">
        <f t="shared" si="38"/>
        <v>3.7058823529411766</v>
      </c>
      <c r="R74" s="24">
        <f t="shared" si="39"/>
        <v>6.5882352941176467</v>
      </c>
      <c r="S74" s="25">
        <f t="shared" si="40"/>
        <v>0.5625</v>
      </c>
      <c r="T74" s="22">
        <v>22</v>
      </c>
      <c r="U74" s="22">
        <v>62</v>
      </c>
      <c r="V74" s="24">
        <f t="shared" si="41"/>
        <v>1.2941176470588236</v>
      </c>
      <c r="W74" s="24">
        <f t="shared" si="42"/>
        <v>3.6470588235294117</v>
      </c>
      <c r="X74" s="25">
        <f t="shared" si="43"/>
        <v>0.35483870967741937</v>
      </c>
      <c r="Y74" s="22">
        <v>42</v>
      </c>
      <c r="Z74" s="22">
        <v>57</v>
      </c>
      <c r="AA74" s="24">
        <f t="shared" si="44"/>
        <v>2.4705882352941178</v>
      </c>
      <c r="AB74" s="24">
        <f t="shared" si="45"/>
        <v>3.3529411764705883</v>
      </c>
      <c r="AC74" s="25">
        <f t="shared" si="46"/>
        <v>0.73684210526315785</v>
      </c>
      <c r="AD74" s="22">
        <v>103</v>
      </c>
      <c r="AE74" s="24">
        <f t="shared" si="47"/>
        <v>6.0588235294117645</v>
      </c>
      <c r="AF74" s="22">
        <v>19</v>
      </c>
      <c r="AG74" s="24">
        <f t="shared" si="48"/>
        <v>1.1176470588235294</v>
      </c>
      <c r="AH74" s="22">
        <v>84</v>
      </c>
      <c r="AI74" s="24">
        <f t="shared" si="49"/>
        <v>4.9411764705882355</v>
      </c>
      <c r="AJ74" s="22">
        <v>20</v>
      </c>
      <c r="AK74" s="24">
        <f t="shared" si="50"/>
        <v>1.1764705882352942</v>
      </c>
      <c r="AL74" s="33">
        <v>12</v>
      </c>
      <c r="AM74" s="24">
        <f t="shared" si="51"/>
        <v>0.70588235294117652</v>
      </c>
      <c r="AN74" s="10">
        <v>8</v>
      </c>
      <c r="AO74" s="24">
        <f t="shared" si="52"/>
        <v>0.47058823529411764</v>
      </c>
      <c r="AP74" s="22">
        <v>28</v>
      </c>
      <c r="AQ74" s="24">
        <f t="shared" si="57"/>
        <v>1.6470588235294117</v>
      </c>
      <c r="AR74" s="22">
        <v>25</v>
      </c>
      <c r="AS74" s="24">
        <f t="shared" si="53"/>
        <v>1.4705882352941178</v>
      </c>
      <c r="AT74" s="26">
        <v>0.95705771438959353</v>
      </c>
      <c r="AU74" s="26">
        <v>0.11325568337532788</v>
      </c>
      <c r="AV74" s="26">
        <v>0.54589767491038221</v>
      </c>
      <c r="AW74" s="26">
        <v>0.41116003947921131</v>
      </c>
      <c r="AX74" s="26">
        <v>108.38222352429108</v>
      </c>
      <c r="AY74" s="26">
        <v>106.22272601403175</v>
      </c>
      <c r="AZ74" s="26">
        <v>6.204658950740038</v>
      </c>
      <c r="BA74" s="26">
        <v>14.411764705882353</v>
      </c>
      <c r="BB74" s="26">
        <v>28.992653222227702</v>
      </c>
      <c r="BC74" s="25">
        <v>0.58770343580470163</v>
      </c>
      <c r="BD74" s="25">
        <v>0.55172413793103448</v>
      </c>
      <c r="BE74" s="26">
        <v>9.855557719188651</v>
      </c>
      <c r="BF74" s="25">
        <v>0.35632183908045978</v>
      </c>
      <c r="BG74" s="25">
        <v>0.32758620689655171</v>
      </c>
      <c r="BH74" s="26">
        <v>1.9835478624444358</v>
      </c>
      <c r="BI74" s="26">
        <v>8.7693694971227689</v>
      </c>
      <c r="BJ74" s="26">
        <v>5.1391050971939487</v>
      </c>
      <c r="BK74" s="26">
        <v>2.5320729237002024</v>
      </c>
      <c r="BL74" s="26">
        <v>1.930878152410459</v>
      </c>
      <c r="BM74" s="26">
        <v>0.67649772897598337</v>
      </c>
      <c r="BN74" s="26">
        <v>12.330456226880393</v>
      </c>
      <c r="BO74" s="27" t="s">
        <v>232</v>
      </c>
      <c r="BP74" s="28"/>
      <c r="BQ74" s="17" t="s">
        <v>253</v>
      </c>
      <c r="BR74" s="35">
        <v>343.48</v>
      </c>
      <c r="BS74" s="35">
        <v>482.48</v>
      </c>
      <c r="BT74" s="35">
        <v>139</v>
      </c>
      <c r="BU74" s="35">
        <f t="shared" si="58"/>
        <v>20.204705882352943</v>
      </c>
      <c r="BV74" s="35">
        <f t="shared" si="59"/>
        <v>28.381176470588237</v>
      </c>
      <c r="BW74" s="35">
        <f t="shared" si="60"/>
        <v>8.1764705882352935</v>
      </c>
      <c r="BX74" s="36">
        <f t="shared" si="61"/>
        <v>40.646516443962327</v>
      </c>
      <c r="BY74" s="36">
        <f t="shared" si="62"/>
        <v>57.095409496573147</v>
      </c>
      <c r="BZ74" s="36">
        <f t="shared" si="63"/>
        <v>16.448893052610817</v>
      </c>
      <c r="CA74" s="48">
        <v>8</v>
      </c>
      <c r="CB74" s="48">
        <v>9</v>
      </c>
    </row>
    <row r="75" spans="1:80" x14ac:dyDescent="0.4">
      <c r="A75" s="21" t="s">
        <v>231</v>
      </c>
      <c r="B75" s="37" t="s">
        <v>193</v>
      </c>
      <c r="C75" s="17" t="s">
        <v>219</v>
      </c>
      <c r="D75" s="22">
        <v>1</v>
      </c>
      <c r="E75" s="22">
        <v>17</v>
      </c>
      <c r="F75" s="22">
        <v>43</v>
      </c>
      <c r="G75" s="23">
        <v>1063</v>
      </c>
      <c r="H75" s="23">
        <v>2</v>
      </c>
      <c r="I75" s="24">
        <f t="shared" si="37"/>
        <v>2</v>
      </c>
      <c r="J75" s="22">
        <v>1</v>
      </c>
      <c r="K75" s="22">
        <v>3</v>
      </c>
      <c r="L75" s="24">
        <f t="shared" si="54"/>
        <v>1</v>
      </c>
      <c r="M75" s="24">
        <f t="shared" si="55"/>
        <v>3</v>
      </c>
      <c r="N75" s="25">
        <f t="shared" si="56"/>
        <v>0.33333333333333331</v>
      </c>
      <c r="O75" s="23">
        <v>1</v>
      </c>
      <c r="P75" s="22">
        <v>1</v>
      </c>
      <c r="Q75" s="24">
        <f t="shared" si="38"/>
        <v>1</v>
      </c>
      <c r="R75" s="24">
        <f t="shared" si="39"/>
        <v>1</v>
      </c>
      <c r="S75" s="25">
        <f t="shared" si="40"/>
        <v>1</v>
      </c>
      <c r="T75" s="22">
        <v>0</v>
      </c>
      <c r="U75" s="22">
        <v>2</v>
      </c>
      <c r="V75" s="24">
        <f t="shared" si="41"/>
        <v>0</v>
      </c>
      <c r="W75" s="24">
        <f t="shared" si="42"/>
        <v>2</v>
      </c>
      <c r="X75" s="25">
        <f t="shared" si="43"/>
        <v>0</v>
      </c>
      <c r="Y75" s="22">
        <v>0</v>
      </c>
      <c r="Z75" s="22">
        <v>0</v>
      </c>
      <c r="AA75" s="24">
        <f t="shared" si="44"/>
        <v>0</v>
      </c>
      <c r="AB75" s="24">
        <f t="shared" si="45"/>
        <v>0</v>
      </c>
      <c r="AC75" s="25" t="e">
        <f t="shared" si="46"/>
        <v>#DIV/0!</v>
      </c>
      <c r="AD75" s="22">
        <v>1</v>
      </c>
      <c r="AE75" s="24">
        <f t="shared" si="47"/>
        <v>1</v>
      </c>
      <c r="AF75" s="22">
        <v>0</v>
      </c>
      <c r="AG75" s="24">
        <f t="shared" si="48"/>
        <v>0</v>
      </c>
      <c r="AH75" s="22">
        <v>1</v>
      </c>
      <c r="AI75" s="24">
        <f t="shared" si="49"/>
        <v>1</v>
      </c>
      <c r="AJ75" s="22">
        <v>1</v>
      </c>
      <c r="AK75" s="24">
        <f t="shared" si="50"/>
        <v>1</v>
      </c>
      <c r="AL75" s="33">
        <v>1</v>
      </c>
      <c r="AM75" s="24">
        <f t="shared" si="51"/>
        <v>1</v>
      </c>
      <c r="AN75" s="10">
        <v>0</v>
      </c>
      <c r="AO75" s="24">
        <f t="shared" si="52"/>
        <v>0</v>
      </c>
      <c r="AP75" s="22">
        <v>0</v>
      </c>
      <c r="AQ75" s="24">
        <f t="shared" si="57"/>
        <v>0</v>
      </c>
      <c r="AR75" s="22">
        <v>3</v>
      </c>
      <c r="AS75" s="24">
        <f t="shared" si="53"/>
        <v>3</v>
      </c>
      <c r="AT75" s="26">
        <v>-1.9436171924170857E-3</v>
      </c>
      <c r="AU75" s="26">
        <v>-4.3882232001890929E-3</v>
      </c>
      <c r="AV75" s="26">
        <v>-1.0196284503370612E-2</v>
      </c>
      <c r="AW75" s="26">
        <v>8.2526673109535268E-3</v>
      </c>
      <c r="AX75" s="26">
        <v>87.364121773264472</v>
      </c>
      <c r="AY75" s="26">
        <v>112.77129553817225</v>
      </c>
      <c r="AZ75" s="26">
        <v>1.5863630883645962E-2</v>
      </c>
      <c r="BA75" s="26">
        <v>3</v>
      </c>
      <c r="BB75" s="26">
        <v>6.7732831608654749</v>
      </c>
      <c r="BC75" s="25">
        <v>0.33333333333333331</v>
      </c>
      <c r="BD75" s="25">
        <v>0.33333333333333331</v>
      </c>
      <c r="BE75" s="26">
        <v>0.14612709615260344</v>
      </c>
      <c r="BF75" s="25">
        <v>0.66666666666666663</v>
      </c>
      <c r="BG75" s="25">
        <v>0</v>
      </c>
      <c r="BH75" s="26">
        <v>0</v>
      </c>
      <c r="BI75" s="26">
        <v>0.11716455908779579</v>
      </c>
      <c r="BJ75" s="26">
        <v>5.5996057877525422E-2</v>
      </c>
      <c r="BK75" s="26">
        <v>0.12844665182394246</v>
      </c>
      <c r="BL75" s="26">
        <v>3.0699388373343148</v>
      </c>
      <c r="BM75" s="26">
        <v>0</v>
      </c>
      <c r="BN75" s="26">
        <v>0</v>
      </c>
      <c r="BO75" s="27" t="s">
        <v>189</v>
      </c>
      <c r="BP75" s="28"/>
      <c r="BQ75" s="17" t="s">
        <v>255</v>
      </c>
      <c r="BR75" s="35">
        <v>8.1300000000000008</v>
      </c>
      <c r="BS75" s="35">
        <v>9.93</v>
      </c>
      <c r="BT75" s="35">
        <v>1.8</v>
      </c>
      <c r="BU75" s="35">
        <f t="shared" si="58"/>
        <v>8.129999999999999</v>
      </c>
      <c r="BV75" s="35">
        <f t="shared" si="59"/>
        <v>9.93</v>
      </c>
      <c r="BW75" s="35">
        <f t="shared" si="60"/>
        <v>1.8</v>
      </c>
      <c r="BX75" s="36">
        <f t="shared" si="61"/>
        <v>18.355597365945435</v>
      </c>
      <c r="BY75" s="36">
        <f t="shared" si="62"/>
        <v>22.419567262464721</v>
      </c>
      <c r="BZ75" s="36">
        <f t="shared" si="63"/>
        <v>4.0639698965192848</v>
      </c>
      <c r="CA75" s="48">
        <v>0</v>
      </c>
      <c r="CB75" s="48">
        <v>1</v>
      </c>
    </row>
    <row r="76" spans="1:80" x14ac:dyDescent="0.4">
      <c r="A76" s="21" t="s">
        <v>231</v>
      </c>
      <c r="B76" s="17" t="s">
        <v>193</v>
      </c>
      <c r="C76" s="17" t="s">
        <v>129</v>
      </c>
      <c r="D76" s="22">
        <v>54</v>
      </c>
      <c r="E76" s="22">
        <v>18</v>
      </c>
      <c r="F76" s="22">
        <v>15</v>
      </c>
      <c r="G76" s="23">
        <v>59130</v>
      </c>
      <c r="H76" s="23">
        <v>309</v>
      </c>
      <c r="I76" s="24">
        <f t="shared" si="37"/>
        <v>5.7222222222222223</v>
      </c>
      <c r="J76" s="22">
        <v>120</v>
      </c>
      <c r="K76" s="22">
        <v>261</v>
      </c>
      <c r="L76" s="24">
        <f t="shared" si="54"/>
        <v>2.2222222222222223</v>
      </c>
      <c r="M76" s="24">
        <f t="shared" si="55"/>
        <v>4.833333333333333</v>
      </c>
      <c r="N76" s="25">
        <f t="shared" si="56"/>
        <v>0.45977011494252873</v>
      </c>
      <c r="O76" s="23">
        <v>67</v>
      </c>
      <c r="P76" s="22">
        <v>143</v>
      </c>
      <c r="Q76" s="24">
        <f t="shared" si="38"/>
        <v>1.2407407407407407</v>
      </c>
      <c r="R76" s="24">
        <f t="shared" si="39"/>
        <v>2.6481481481481484</v>
      </c>
      <c r="S76" s="25">
        <f t="shared" si="40"/>
        <v>0.46853146853146854</v>
      </c>
      <c r="T76" s="22">
        <v>53</v>
      </c>
      <c r="U76" s="22">
        <v>118</v>
      </c>
      <c r="V76" s="24">
        <f t="shared" si="41"/>
        <v>0.98148148148148151</v>
      </c>
      <c r="W76" s="24">
        <f t="shared" si="42"/>
        <v>2.1851851851851851</v>
      </c>
      <c r="X76" s="25">
        <f t="shared" si="43"/>
        <v>0.44915254237288138</v>
      </c>
      <c r="Y76" s="22">
        <v>16</v>
      </c>
      <c r="Z76" s="22">
        <v>20</v>
      </c>
      <c r="AA76" s="24">
        <f t="shared" si="44"/>
        <v>0.29629629629629628</v>
      </c>
      <c r="AB76" s="24">
        <f t="shared" si="45"/>
        <v>0.37037037037037035</v>
      </c>
      <c r="AC76" s="25">
        <f t="shared" si="46"/>
        <v>0.8</v>
      </c>
      <c r="AD76" s="22">
        <v>90</v>
      </c>
      <c r="AE76" s="24">
        <f t="shared" si="47"/>
        <v>1.6666666666666667</v>
      </c>
      <c r="AF76" s="22">
        <v>32</v>
      </c>
      <c r="AG76" s="24">
        <f t="shared" si="48"/>
        <v>0.59259259259259256</v>
      </c>
      <c r="AH76" s="22">
        <v>58</v>
      </c>
      <c r="AI76" s="24">
        <f t="shared" si="49"/>
        <v>1.0740740740740742</v>
      </c>
      <c r="AJ76" s="22">
        <v>45</v>
      </c>
      <c r="AK76" s="24">
        <f t="shared" si="50"/>
        <v>0.83333333333333337</v>
      </c>
      <c r="AL76" s="33">
        <v>17</v>
      </c>
      <c r="AM76" s="24">
        <f t="shared" si="51"/>
        <v>0.31481481481481483</v>
      </c>
      <c r="AN76" s="10">
        <v>2</v>
      </c>
      <c r="AO76" s="24">
        <f t="shared" si="52"/>
        <v>3.7037037037037035E-2</v>
      </c>
      <c r="AP76" s="22">
        <v>38</v>
      </c>
      <c r="AQ76" s="24">
        <f t="shared" si="57"/>
        <v>0.70370370370370372</v>
      </c>
      <c r="AR76" s="22">
        <v>92</v>
      </c>
      <c r="AS76" s="24">
        <f t="shared" si="53"/>
        <v>1.7037037037037037</v>
      </c>
      <c r="AT76" s="26">
        <v>0.68859836884429604</v>
      </c>
      <c r="AU76" s="26">
        <v>2.7949198126607653E-2</v>
      </c>
      <c r="AV76" s="26">
        <v>0.7843963989415208</v>
      </c>
      <c r="AW76" s="26">
        <v>-9.5798030097224762E-2</v>
      </c>
      <c r="AX76" s="26">
        <v>108.67538068135916</v>
      </c>
      <c r="AY76" s="26">
        <v>117.68350143214238</v>
      </c>
      <c r="AZ76" s="26">
        <v>6.8565128469797116</v>
      </c>
      <c r="BA76" s="26">
        <v>5.1851851851851851</v>
      </c>
      <c r="BB76" s="26">
        <v>11.364789446981227</v>
      </c>
      <c r="BC76" s="25">
        <v>0.57264640474425499</v>
      </c>
      <c r="BD76" s="25">
        <v>0.56130268199233713</v>
      </c>
      <c r="BE76" s="26">
        <v>14.554498985724488</v>
      </c>
      <c r="BF76" s="25">
        <v>0.45210727969348657</v>
      </c>
      <c r="BG76" s="25">
        <v>7.662835249042145E-2</v>
      </c>
      <c r="BH76" s="26">
        <v>3.639698303132842</v>
      </c>
      <c r="BI76" s="26">
        <v>6.5969531744282754</v>
      </c>
      <c r="BJ76" s="26">
        <v>4.8923679060665366</v>
      </c>
      <c r="BK76" s="26">
        <v>6.5885797950219622</v>
      </c>
      <c r="BL76" s="26">
        <v>0.93821858159087423</v>
      </c>
      <c r="BM76" s="26">
        <v>0.1842606828009927</v>
      </c>
      <c r="BN76" s="26">
        <v>12.345679012345679</v>
      </c>
      <c r="BO76" s="27" t="s">
        <v>189</v>
      </c>
      <c r="BP76" s="28"/>
      <c r="BQ76" s="17" t="s">
        <v>253</v>
      </c>
      <c r="BR76" s="35">
        <v>554.76</v>
      </c>
      <c r="BS76" s="35">
        <v>749.46</v>
      </c>
      <c r="BT76" s="35">
        <v>194.7</v>
      </c>
      <c r="BU76" s="35">
        <f t="shared" si="58"/>
        <v>10.273333333333333</v>
      </c>
      <c r="BV76" s="35">
        <f t="shared" si="59"/>
        <v>13.878888888888889</v>
      </c>
      <c r="BW76" s="35">
        <f t="shared" si="60"/>
        <v>3.6055555555555552</v>
      </c>
      <c r="BX76" s="36">
        <f t="shared" si="61"/>
        <v>22.516894977168949</v>
      </c>
      <c r="BY76" s="36">
        <f t="shared" si="62"/>
        <v>30.419482496194824</v>
      </c>
      <c r="BZ76" s="36">
        <f t="shared" si="63"/>
        <v>7.9025875190258752</v>
      </c>
      <c r="CA76" s="50">
        <v>14</v>
      </c>
      <c r="CB76" s="50">
        <v>40</v>
      </c>
    </row>
    <row r="77" spans="1:80" x14ac:dyDescent="0.4">
      <c r="A77" s="21" t="s">
        <v>231</v>
      </c>
      <c r="B77" s="17" t="s">
        <v>193</v>
      </c>
      <c r="C77" s="17" t="s">
        <v>251</v>
      </c>
      <c r="D77" s="22">
        <v>22</v>
      </c>
      <c r="E77" s="22">
        <v>26</v>
      </c>
      <c r="F77" s="22">
        <v>0</v>
      </c>
      <c r="G77" s="23">
        <v>34320</v>
      </c>
      <c r="H77" s="23">
        <v>293</v>
      </c>
      <c r="I77" s="24">
        <f t="shared" si="37"/>
        <v>13.318181818181818</v>
      </c>
      <c r="J77" s="22">
        <v>115</v>
      </c>
      <c r="K77" s="22">
        <v>218</v>
      </c>
      <c r="L77" s="24">
        <f t="shared" si="54"/>
        <v>5.2272727272727275</v>
      </c>
      <c r="M77" s="24">
        <f t="shared" si="55"/>
        <v>9.9090909090909083</v>
      </c>
      <c r="N77" s="25">
        <f t="shared" si="56"/>
        <v>0.52752293577981646</v>
      </c>
      <c r="O77" s="23">
        <v>115</v>
      </c>
      <c r="P77" s="22">
        <v>217</v>
      </c>
      <c r="Q77" s="24">
        <f t="shared" si="38"/>
        <v>5.2272727272727275</v>
      </c>
      <c r="R77" s="24">
        <f t="shared" si="39"/>
        <v>9.8636363636363633</v>
      </c>
      <c r="S77" s="25">
        <f t="shared" si="40"/>
        <v>0.52995391705069128</v>
      </c>
      <c r="T77" s="22">
        <v>0</v>
      </c>
      <c r="U77" s="22">
        <v>1</v>
      </c>
      <c r="V77" s="24">
        <f t="shared" si="41"/>
        <v>0</v>
      </c>
      <c r="W77" s="24">
        <f t="shared" si="42"/>
        <v>4.5454545454545456E-2</v>
      </c>
      <c r="X77" s="25">
        <f t="shared" si="43"/>
        <v>0</v>
      </c>
      <c r="Y77" s="22">
        <v>63</v>
      </c>
      <c r="Z77" s="22">
        <v>89</v>
      </c>
      <c r="AA77" s="24">
        <f t="shared" si="44"/>
        <v>2.8636363636363638</v>
      </c>
      <c r="AB77" s="24">
        <f t="shared" si="45"/>
        <v>4.0454545454545459</v>
      </c>
      <c r="AC77" s="25">
        <f t="shared" si="46"/>
        <v>0.7078651685393258</v>
      </c>
      <c r="AD77" s="22">
        <v>240</v>
      </c>
      <c r="AE77" s="24">
        <f t="shared" si="47"/>
        <v>10.909090909090908</v>
      </c>
      <c r="AF77" s="22">
        <v>85</v>
      </c>
      <c r="AG77" s="24">
        <f t="shared" si="48"/>
        <v>3.8636363636363638</v>
      </c>
      <c r="AH77" s="22">
        <v>155</v>
      </c>
      <c r="AI77" s="24">
        <f t="shared" si="49"/>
        <v>7.0454545454545459</v>
      </c>
      <c r="AJ77" s="22">
        <v>16</v>
      </c>
      <c r="AK77" s="24">
        <f t="shared" si="50"/>
        <v>0.72727272727272729</v>
      </c>
      <c r="AL77" s="33">
        <v>13</v>
      </c>
      <c r="AM77" s="24">
        <f t="shared" si="51"/>
        <v>0.59090909090909094</v>
      </c>
      <c r="AN77" s="10">
        <v>20</v>
      </c>
      <c r="AO77" s="24">
        <f t="shared" si="52"/>
        <v>0.90909090909090906</v>
      </c>
      <c r="AP77" s="22">
        <v>30</v>
      </c>
      <c r="AQ77" s="24">
        <f t="shared" si="57"/>
        <v>1.3636363636363635</v>
      </c>
      <c r="AR77" s="22">
        <v>63</v>
      </c>
      <c r="AS77" s="24">
        <f t="shared" si="53"/>
        <v>2.8636363636363638</v>
      </c>
      <c r="AT77" s="26">
        <v>2.0443553051215049</v>
      </c>
      <c r="AU77" s="26">
        <v>0.14296190944905629</v>
      </c>
      <c r="AV77" s="26">
        <v>1.3393979191892138</v>
      </c>
      <c r="AW77" s="26">
        <v>0.70495738593229118</v>
      </c>
      <c r="AX77" s="26">
        <v>115.58423034099454</v>
      </c>
      <c r="AY77" s="26">
        <v>106.08266677738133</v>
      </c>
      <c r="AZ77" s="26">
        <v>7.3965612063469148</v>
      </c>
      <c r="BA77" s="26">
        <v>19.227272727272727</v>
      </c>
      <c r="BB77" s="26">
        <v>29.58041958041958</v>
      </c>
      <c r="BC77" s="25">
        <v>0.56968424327267064</v>
      </c>
      <c r="BD77" s="25">
        <v>0.52752293577981646</v>
      </c>
      <c r="BE77" s="26">
        <v>9.5310798969756529</v>
      </c>
      <c r="BF77" s="25">
        <v>4.5871559633027525E-3</v>
      </c>
      <c r="BG77" s="25">
        <v>0.40825688073394495</v>
      </c>
      <c r="BH77" s="26">
        <v>6.7861562412678138</v>
      </c>
      <c r="BI77" s="26">
        <v>12.374755498782482</v>
      </c>
      <c r="BJ77" s="26">
        <v>9.1575091575091569</v>
      </c>
      <c r="BK77" s="26">
        <v>1.554907677356657</v>
      </c>
      <c r="BL77" s="26">
        <v>1.2361155242751427</v>
      </c>
      <c r="BM77" s="26">
        <v>1.2933682542761988</v>
      </c>
      <c r="BN77" s="26">
        <v>10.447137484329293</v>
      </c>
      <c r="BO77" s="27" t="s">
        <v>232</v>
      </c>
      <c r="BP77" s="27"/>
      <c r="BQ77" s="17" t="s">
        <v>253</v>
      </c>
      <c r="BR77" s="35">
        <v>608.34</v>
      </c>
      <c r="BS77" s="35">
        <v>777.04</v>
      </c>
      <c r="BT77" s="35">
        <v>168.7</v>
      </c>
      <c r="BU77" s="35">
        <f t="shared" si="58"/>
        <v>27.651818181818182</v>
      </c>
      <c r="BV77" s="35">
        <f t="shared" si="59"/>
        <v>35.32</v>
      </c>
      <c r="BW77" s="35">
        <f t="shared" si="60"/>
        <v>7.668181818181818</v>
      </c>
      <c r="BX77" s="36">
        <f t="shared" si="61"/>
        <v>42.541258741258744</v>
      </c>
      <c r="BY77" s="36">
        <f t="shared" si="62"/>
        <v>54.338461538461537</v>
      </c>
      <c r="BZ77" s="36">
        <f t="shared" si="63"/>
        <v>11.797202797202797</v>
      </c>
      <c r="CA77" s="50">
        <v>4</v>
      </c>
      <c r="CB77" s="50">
        <v>18</v>
      </c>
    </row>
    <row r="78" spans="1:80" x14ac:dyDescent="0.4">
      <c r="A78" s="21" t="s">
        <v>231</v>
      </c>
      <c r="B78" s="17" t="s">
        <v>193</v>
      </c>
      <c r="C78" s="17" t="s">
        <v>126</v>
      </c>
      <c r="D78" s="22">
        <v>37</v>
      </c>
      <c r="E78" s="22">
        <v>25</v>
      </c>
      <c r="F78" s="22">
        <v>34</v>
      </c>
      <c r="G78" s="23">
        <v>56758</v>
      </c>
      <c r="H78" s="23">
        <v>222</v>
      </c>
      <c r="I78" s="24">
        <f t="shared" si="37"/>
        <v>6</v>
      </c>
      <c r="J78" s="22">
        <v>82</v>
      </c>
      <c r="K78" s="22">
        <v>240</v>
      </c>
      <c r="L78" s="24">
        <f t="shared" si="54"/>
        <v>2.2162162162162162</v>
      </c>
      <c r="M78" s="24">
        <f t="shared" si="55"/>
        <v>6.4864864864864868</v>
      </c>
      <c r="N78" s="25">
        <f t="shared" si="56"/>
        <v>0.34166666666666667</v>
      </c>
      <c r="O78" s="23">
        <v>54</v>
      </c>
      <c r="P78" s="22">
        <v>150</v>
      </c>
      <c r="Q78" s="24">
        <f t="shared" si="38"/>
        <v>1.4594594594594594</v>
      </c>
      <c r="R78" s="24">
        <f t="shared" si="39"/>
        <v>4.0540540540540544</v>
      </c>
      <c r="S78" s="25">
        <f t="shared" si="40"/>
        <v>0.36</v>
      </c>
      <c r="T78" s="22">
        <v>28</v>
      </c>
      <c r="U78" s="22">
        <v>90</v>
      </c>
      <c r="V78" s="24">
        <f t="shared" si="41"/>
        <v>0.7567567567567568</v>
      </c>
      <c r="W78" s="24">
        <f t="shared" si="42"/>
        <v>2.4324324324324325</v>
      </c>
      <c r="X78" s="25">
        <f t="shared" si="43"/>
        <v>0.31111111111111112</v>
      </c>
      <c r="Y78" s="22">
        <v>30</v>
      </c>
      <c r="Z78" s="22">
        <v>41</v>
      </c>
      <c r="AA78" s="24">
        <f t="shared" si="44"/>
        <v>0.81081081081081086</v>
      </c>
      <c r="AB78" s="24">
        <f t="shared" si="45"/>
        <v>1.1081081081081081</v>
      </c>
      <c r="AC78" s="25">
        <f t="shared" si="46"/>
        <v>0.73170731707317072</v>
      </c>
      <c r="AD78" s="22">
        <v>116</v>
      </c>
      <c r="AE78" s="24">
        <f t="shared" si="47"/>
        <v>3.1351351351351351</v>
      </c>
      <c r="AF78" s="22">
        <v>45</v>
      </c>
      <c r="AG78" s="24">
        <f t="shared" si="48"/>
        <v>1.2162162162162162</v>
      </c>
      <c r="AH78" s="22">
        <v>71</v>
      </c>
      <c r="AI78" s="24">
        <f t="shared" si="49"/>
        <v>1.9189189189189189</v>
      </c>
      <c r="AJ78" s="22">
        <v>79</v>
      </c>
      <c r="AK78" s="24">
        <f t="shared" si="50"/>
        <v>2.1351351351351351</v>
      </c>
      <c r="AL78" s="33">
        <v>28</v>
      </c>
      <c r="AM78" s="24">
        <f t="shared" si="51"/>
        <v>0.7567567567567568</v>
      </c>
      <c r="AN78" s="10">
        <v>2</v>
      </c>
      <c r="AO78" s="24">
        <f t="shared" si="52"/>
        <v>5.4054054054054057E-2</v>
      </c>
      <c r="AP78" s="22">
        <v>40</v>
      </c>
      <c r="AQ78" s="24">
        <f t="shared" si="57"/>
        <v>1.0810810810810811</v>
      </c>
      <c r="AR78" s="22">
        <v>70</v>
      </c>
      <c r="AS78" s="24">
        <f t="shared" si="53"/>
        <v>1.8918918918918919</v>
      </c>
      <c r="AT78" s="26">
        <v>-0.23826994482985409</v>
      </c>
      <c r="AU78" s="26">
        <v>-1.0075194115219876E-2</v>
      </c>
      <c r="AV78" s="26">
        <v>-0.37899942341920484</v>
      </c>
      <c r="AW78" s="26">
        <v>0.14072947858935075</v>
      </c>
      <c r="AX78" s="26">
        <v>95.267870606773641</v>
      </c>
      <c r="AY78" s="26">
        <v>115.53743341989066</v>
      </c>
      <c r="AZ78" s="26">
        <v>3.8024387023607837</v>
      </c>
      <c r="BA78" s="26">
        <v>6.4324324324324325</v>
      </c>
      <c r="BB78" s="26">
        <v>10.063779555304979</v>
      </c>
      <c r="BC78" s="25">
        <v>0.43016586575724691</v>
      </c>
      <c r="BD78" s="25">
        <v>0.4</v>
      </c>
      <c r="BE78" s="26">
        <v>10.05986051298853</v>
      </c>
      <c r="BF78" s="25">
        <v>0.375</v>
      </c>
      <c r="BG78" s="25">
        <v>0.17083333333333334</v>
      </c>
      <c r="BH78" s="26">
        <v>3.6535636792468789</v>
      </c>
      <c r="BI78" s="26">
        <v>5.7645115828117417</v>
      </c>
      <c r="BJ78" s="26">
        <v>4.5011485689451787</v>
      </c>
      <c r="BK78" s="26">
        <v>7.5747890565072868</v>
      </c>
      <c r="BL78" s="26">
        <v>1.6098815947429179</v>
      </c>
      <c r="BM78" s="26">
        <v>0.13152897501113886</v>
      </c>
      <c r="BN78" s="26">
        <v>13.421017313112333</v>
      </c>
      <c r="BO78" s="27" t="s">
        <v>189</v>
      </c>
      <c r="BP78" s="28"/>
      <c r="BQ78" s="17" t="s">
        <v>255</v>
      </c>
      <c r="BR78" s="35">
        <v>526.46</v>
      </c>
      <c r="BS78" s="35">
        <v>747.06</v>
      </c>
      <c r="BT78" s="35">
        <v>220.6</v>
      </c>
      <c r="BU78" s="35">
        <f t="shared" si="58"/>
        <v>14.228648648648647</v>
      </c>
      <c r="BV78" s="35">
        <f t="shared" si="59"/>
        <v>20.19081081081081</v>
      </c>
      <c r="BW78" s="35">
        <f t="shared" si="60"/>
        <v>5.9621621621621621</v>
      </c>
      <c r="BX78" s="36">
        <f t="shared" si="61"/>
        <v>22.261249515486799</v>
      </c>
      <c r="BY78" s="36">
        <f t="shared" si="62"/>
        <v>31.58927375876528</v>
      </c>
      <c r="BZ78" s="36">
        <f t="shared" si="63"/>
        <v>9.328024243278481</v>
      </c>
      <c r="CA78" s="48">
        <v>11</v>
      </c>
      <c r="CB78" s="48">
        <v>26</v>
      </c>
    </row>
    <row r="79" spans="1:80" ht="24" customHeight="1" x14ac:dyDescent="0.4">
      <c r="A79" s="21" t="s">
        <v>231</v>
      </c>
      <c r="B79" s="51" t="s">
        <v>193</v>
      </c>
      <c r="C79" s="53" t="s">
        <v>286</v>
      </c>
      <c r="D79" s="22">
        <v>30</v>
      </c>
      <c r="E79" s="22">
        <v>23</v>
      </c>
      <c r="F79" s="22">
        <v>28</v>
      </c>
      <c r="G79" s="23">
        <v>42240</v>
      </c>
      <c r="H79" s="23">
        <v>370</v>
      </c>
      <c r="I79" s="24">
        <f t="shared" si="37"/>
        <v>12.333333333333334</v>
      </c>
      <c r="J79" s="22">
        <v>143</v>
      </c>
      <c r="K79" s="22">
        <v>290</v>
      </c>
      <c r="L79" s="24">
        <f t="shared" si="54"/>
        <v>4.7666666666666666</v>
      </c>
      <c r="M79" s="24">
        <f t="shared" si="55"/>
        <v>9.6666666666666661</v>
      </c>
      <c r="N79" s="25">
        <f t="shared" si="56"/>
        <v>0.49310344827586206</v>
      </c>
      <c r="O79" s="23">
        <v>133</v>
      </c>
      <c r="P79" s="22">
        <v>256</v>
      </c>
      <c r="Q79" s="24">
        <f t="shared" si="38"/>
        <v>4.4333333333333336</v>
      </c>
      <c r="R79" s="24">
        <f t="shared" si="39"/>
        <v>8.5333333333333332</v>
      </c>
      <c r="S79" s="25">
        <f t="shared" si="40"/>
        <v>0.51953125</v>
      </c>
      <c r="T79" s="22">
        <v>10</v>
      </c>
      <c r="U79" s="22">
        <v>34</v>
      </c>
      <c r="V79" s="24">
        <f t="shared" si="41"/>
        <v>0.33333333333333331</v>
      </c>
      <c r="W79" s="24">
        <f t="shared" si="42"/>
        <v>1.1333333333333333</v>
      </c>
      <c r="X79" s="25">
        <f t="shared" si="43"/>
        <v>0.29411764705882354</v>
      </c>
      <c r="Y79" s="22">
        <v>74</v>
      </c>
      <c r="Z79" s="22">
        <v>109</v>
      </c>
      <c r="AA79" s="24">
        <f t="shared" si="44"/>
        <v>2.4666666666666668</v>
      </c>
      <c r="AB79" s="24">
        <f t="shared" si="45"/>
        <v>3.6333333333333333</v>
      </c>
      <c r="AC79" s="25">
        <f t="shared" si="46"/>
        <v>0.67889908256880738</v>
      </c>
      <c r="AD79" s="22">
        <v>237</v>
      </c>
      <c r="AE79" s="24">
        <f t="shared" si="47"/>
        <v>7.9</v>
      </c>
      <c r="AF79" s="22">
        <v>82</v>
      </c>
      <c r="AG79" s="24">
        <f t="shared" si="48"/>
        <v>2.7333333333333334</v>
      </c>
      <c r="AH79" s="22">
        <v>155</v>
      </c>
      <c r="AI79" s="24">
        <f t="shared" si="49"/>
        <v>5.166666666666667</v>
      </c>
      <c r="AJ79" s="22">
        <v>27</v>
      </c>
      <c r="AK79" s="24">
        <f t="shared" si="50"/>
        <v>0.9</v>
      </c>
      <c r="AL79" s="33">
        <v>34</v>
      </c>
      <c r="AM79" s="24">
        <f t="shared" si="51"/>
        <v>1.1333333333333333</v>
      </c>
      <c r="AN79" s="10">
        <v>32</v>
      </c>
      <c r="AO79" s="24">
        <f t="shared" si="52"/>
        <v>1.0666666666666667</v>
      </c>
      <c r="AP79" s="22">
        <v>54</v>
      </c>
      <c r="AQ79" s="24">
        <f t="shared" si="57"/>
        <v>1.8</v>
      </c>
      <c r="AR79" s="22">
        <v>127</v>
      </c>
      <c r="AS79" s="24">
        <f t="shared" si="53"/>
        <v>4.2333333333333334</v>
      </c>
      <c r="AT79" s="26">
        <v>1.6736641858623789</v>
      </c>
      <c r="AU79" s="26">
        <v>9.5094556014907891E-2</v>
      </c>
      <c r="AV79" s="26">
        <v>0.65861888909997601</v>
      </c>
      <c r="AW79" s="26">
        <v>1.0150452967624028</v>
      </c>
      <c r="AX79" s="26">
        <v>105.39280688208663</v>
      </c>
      <c r="AY79" s="26">
        <v>104.25586017527829</v>
      </c>
      <c r="AZ79" s="26">
        <v>8.1586901877159015</v>
      </c>
      <c r="BA79" s="26">
        <v>15.466666666666667</v>
      </c>
      <c r="BB79" s="26">
        <v>26.363636363636363</v>
      </c>
      <c r="BC79" s="25">
        <v>0.5474020594153155</v>
      </c>
      <c r="BD79" s="25">
        <v>0.51034482758620692</v>
      </c>
      <c r="BE79" s="26">
        <v>14.413911726864784</v>
      </c>
      <c r="BF79" s="25">
        <v>0.11724137931034483</v>
      </c>
      <c r="BG79" s="25">
        <v>0.37586206896551722</v>
      </c>
      <c r="BH79" s="26">
        <v>7.2533849129593806</v>
      </c>
      <c r="BI79" s="26">
        <v>13.710666603764684</v>
      </c>
      <c r="BJ79" s="26">
        <v>10.019277597402597</v>
      </c>
      <c r="BK79" s="26">
        <v>3.0352994079292515</v>
      </c>
      <c r="BL79" s="26">
        <v>2.6267454890846782</v>
      </c>
      <c r="BM79" s="26">
        <v>2.2927891780350795</v>
      </c>
      <c r="BN79" s="26">
        <v>13.776916011837944</v>
      </c>
      <c r="BO79" s="27" t="s">
        <v>232</v>
      </c>
      <c r="BP79" s="28"/>
      <c r="BQ79" s="17" t="s">
        <v>253</v>
      </c>
      <c r="BR79" s="35">
        <v>695.55</v>
      </c>
      <c r="BS79" s="35">
        <v>895.55</v>
      </c>
      <c r="BT79" s="35">
        <v>200</v>
      </c>
      <c r="BU79" s="35">
        <f t="shared" si="58"/>
        <v>23.184999999999999</v>
      </c>
      <c r="BV79" s="35">
        <f t="shared" si="59"/>
        <v>29.851666666666667</v>
      </c>
      <c r="BW79" s="35">
        <f t="shared" si="60"/>
        <v>6.666666666666667</v>
      </c>
      <c r="BX79" s="36">
        <f t="shared" si="61"/>
        <v>39.51988636363636</v>
      </c>
      <c r="BY79" s="36">
        <f t="shared" si="62"/>
        <v>50.883522727272727</v>
      </c>
      <c r="BZ79" s="36">
        <f t="shared" si="63"/>
        <v>11.363636363636363</v>
      </c>
      <c r="CA79" s="48">
        <v>10</v>
      </c>
      <c r="CB79" s="48">
        <v>20</v>
      </c>
    </row>
    <row r="80" spans="1:80" x14ac:dyDescent="0.4">
      <c r="A80" s="21" t="s">
        <v>231</v>
      </c>
      <c r="B80" s="17" t="s">
        <v>193</v>
      </c>
      <c r="C80" s="44" t="s">
        <v>124</v>
      </c>
      <c r="D80" s="16">
        <v>39</v>
      </c>
      <c r="E80" s="16">
        <v>26</v>
      </c>
      <c r="F80" s="16">
        <v>29</v>
      </c>
      <c r="G80" s="23">
        <v>61971</v>
      </c>
      <c r="H80" s="23">
        <v>333</v>
      </c>
      <c r="I80" s="24">
        <f t="shared" si="37"/>
        <v>8.5384615384615383</v>
      </c>
      <c r="J80" s="22">
        <v>151</v>
      </c>
      <c r="K80" s="22">
        <v>278</v>
      </c>
      <c r="L80" s="24">
        <f t="shared" si="54"/>
        <v>3.8717948717948718</v>
      </c>
      <c r="M80" s="24">
        <f t="shared" si="55"/>
        <v>7.1282051282051286</v>
      </c>
      <c r="N80" s="25">
        <f t="shared" si="56"/>
        <v>0.54316546762589923</v>
      </c>
      <c r="O80" s="23">
        <v>150</v>
      </c>
      <c r="P80" s="22">
        <v>276</v>
      </c>
      <c r="Q80" s="24">
        <f t="shared" si="38"/>
        <v>3.8461538461538463</v>
      </c>
      <c r="R80" s="24">
        <f t="shared" si="39"/>
        <v>7.0769230769230766</v>
      </c>
      <c r="S80" s="25">
        <f t="shared" si="40"/>
        <v>0.54347826086956519</v>
      </c>
      <c r="T80" s="22">
        <v>1</v>
      </c>
      <c r="U80" s="22">
        <v>2</v>
      </c>
      <c r="V80" s="24">
        <f t="shared" si="41"/>
        <v>2.564102564102564E-2</v>
      </c>
      <c r="W80" s="24">
        <f t="shared" si="42"/>
        <v>5.128205128205128E-2</v>
      </c>
      <c r="X80" s="25">
        <f t="shared" si="43"/>
        <v>0.5</v>
      </c>
      <c r="Y80" s="15">
        <v>30</v>
      </c>
      <c r="Z80" s="15">
        <v>52</v>
      </c>
      <c r="AA80" s="24">
        <f t="shared" si="44"/>
        <v>0.76923076923076927</v>
      </c>
      <c r="AB80" s="24">
        <f t="shared" si="45"/>
        <v>1.3333333333333333</v>
      </c>
      <c r="AC80" s="25">
        <f t="shared" si="46"/>
        <v>0.57692307692307687</v>
      </c>
      <c r="AD80" s="22">
        <v>267</v>
      </c>
      <c r="AE80" s="24">
        <f t="shared" si="47"/>
        <v>6.8461538461538458</v>
      </c>
      <c r="AF80" s="17">
        <v>62</v>
      </c>
      <c r="AG80" s="24">
        <f t="shared" si="48"/>
        <v>1.5897435897435896</v>
      </c>
      <c r="AH80" s="22">
        <v>205</v>
      </c>
      <c r="AI80" s="24">
        <f t="shared" si="49"/>
        <v>5.2564102564102564</v>
      </c>
      <c r="AJ80" s="22">
        <v>28</v>
      </c>
      <c r="AK80" s="24">
        <f t="shared" si="50"/>
        <v>0.71794871794871795</v>
      </c>
      <c r="AL80" s="8">
        <v>21</v>
      </c>
      <c r="AM80" s="24">
        <f t="shared" si="51"/>
        <v>0.53846153846153844</v>
      </c>
      <c r="AN80" s="12">
        <v>37</v>
      </c>
      <c r="AO80" s="24">
        <f t="shared" si="52"/>
        <v>0.94871794871794868</v>
      </c>
      <c r="AP80" s="22">
        <v>24</v>
      </c>
      <c r="AQ80" s="24">
        <f t="shared" si="57"/>
        <v>0.61538461538461542</v>
      </c>
      <c r="AR80" s="22">
        <v>64</v>
      </c>
      <c r="AS80" s="24">
        <f t="shared" si="53"/>
        <v>1.641025641025641</v>
      </c>
      <c r="AT80" s="26">
        <v>1.6092551048737525</v>
      </c>
      <c r="AU80" s="26">
        <v>6.2322897027593652E-2</v>
      </c>
      <c r="AV80" s="26">
        <v>0.81200024464762499</v>
      </c>
      <c r="AW80" s="26">
        <v>0.79725486022612757</v>
      </c>
      <c r="AX80" s="26">
        <v>108.06567899795525</v>
      </c>
      <c r="AY80" s="26">
        <v>110.10079483547175</v>
      </c>
      <c r="AZ80" s="26">
        <v>8.2555854739114629</v>
      </c>
      <c r="BA80" s="26">
        <v>12.487179487179487</v>
      </c>
      <c r="BB80" s="26">
        <v>18.860434719465559</v>
      </c>
      <c r="BC80" s="25">
        <v>0.55337676149960113</v>
      </c>
      <c r="BD80" s="25">
        <v>0.54496402877697847</v>
      </c>
      <c r="BE80" s="26">
        <v>11.009848733515478</v>
      </c>
      <c r="BF80" s="25">
        <v>7.1942446043165471E-3</v>
      </c>
      <c r="BG80" s="25">
        <v>0.18705035971223022</v>
      </c>
      <c r="BH80" s="26">
        <v>4.8595641480429643</v>
      </c>
      <c r="BI80" s="26">
        <v>16.067913715303348</v>
      </c>
      <c r="BJ80" s="26">
        <v>10.001798076058618</v>
      </c>
      <c r="BK80" s="26">
        <v>2.7606152228210861</v>
      </c>
      <c r="BL80" s="26">
        <v>1.2638214587157386</v>
      </c>
      <c r="BM80" s="26">
        <v>1.3332518568309712</v>
      </c>
      <c r="BN80" s="26">
        <v>10.950633360956553</v>
      </c>
      <c r="BO80" s="27" t="s">
        <v>189</v>
      </c>
      <c r="BP80" s="28"/>
      <c r="BQ80" s="17" t="s">
        <v>254</v>
      </c>
      <c r="BR80" s="35">
        <v>769.55</v>
      </c>
      <c r="BS80" s="35">
        <v>1023.15</v>
      </c>
      <c r="BT80" s="35">
        <v>253.6</v>
      </c>
      <c r="BU80" s="35">
        <f t="shared" si="58"/>
        <v>19.73205128205128</v>
      </c>
      <c r="BV80" s="35">
        <f t="shared" si="59"/>
        <v>26.234615384615385</v>
      </c>
      <c r="BW80" s="35">
        <f t="shared" si="60"/>
        <v>6.5025641025641026</v>
      </c>
      <c r="BX80" s="36">
        <f t="shared" si="61"/>
        <v>29.802972358038438</v>
      </c>
      <c r="BY80" s="36">
        <f t="shared" si="62"/>
        <v>39.624340417291961</v>
      </c>
      <c r="BZ80" s="36">
        <f t="shared" si="63"/>
        <v>9.8213680592535226</v>
      </c>
      <c r="CA80" s="48">
        <v>10</v>
      </c>
      <c r="CB80" s="48">
        <v>29</v>
      </c>
    </row>
    <row r="81" spans="1:80" x14ac:dyDescent="0.4">
      <c r="A81" s="21" t="s">
        <v>231</v>
      </c>
      <c r="B81" s="17" t="s">
        <v>193</v>
      </c>
      <c r="C81" s="17" t="s">
        <v>114</v>
      </c>
      <c r="D81" s="16">
        <v>54</v>
      </c>
      <c r="E81" s="16">
        <v>25</v>
      </c>
      <c r="F81" s="16">
        <v>52</v>
      </c>
      <c r="G81" s="23">
        <v>83808</v>
      </c>
      <c r="H81" s="23">
        <v>632</v>
      </c>
      <c r="I81" s="24">
        <f t="shared" si="37"/>
        <v>11.703703703703704</v>
      </c>
      <c r="J81" s="22">
        <v>189</v>
      </c>
      <c r="K81" s="22">
        <v>588</v>
      </c>
      <c r="L81" s="24">
        <f t="shared" si="54"/>
        <v>3.5</v>
      </c>
      <c r="M81" s="24">
        <f t="shared" si="55"/>
        <v>10.888888888888889</v>
      </c>
      <c r="N81" s="25">
        <f t="shared" si="56"/>
        <v>0.32142857142857145</v>
      </c>
      <c r="O81" s="23">
        <v>103</v>
      </c>
      <c r="P81" s="22">
        <v>276</v>
      </c>
      <c r="Q81" s="24">
        <f t="shared" si="38"/>
        <v>1.9074074074074074</v>
      </c>
      <c r="R81" s="24">
        <f t="shared" si="39"/>
        <v>5.1111111111111107</v>
      </c>
      <c r="S81" s="25">
        <f t="shared" si="40"/>
        <v>0.37318840579710144</v>
      </c>
      <c r="T81" s="22">
        <v>86</v>
      </c>
      <c r="U81" s="22">
        <v>312</v>
      </c>
      <c r="V81" s="24">
        <f t="shared" si="41"/>
        <v>1.5925925925925926</v>
      </c>
      <c r="W81" s="24">
        <f t="shared" si="42"/>
        <v>5.7777777777777777</v>
      </c>
      <c r="X81" s="25">
        <f t="shared" si="43"/>
        <v>0.27564102564102566</v>
      </c>
      <c r="Y81" s="15">
        <v>168</v>
      </c>
      <c r="Z81" s="15">
        <v>206</v>
      </c>
      <c r="AA81" s="24">
        <f t="shared" si="44"/>
        <v>3.1111111111111112</v>
      </c>
      <c r="AB81" s="24">
        <f t="shared" si="45"/>
        <v>3.8148148148148149</v>
      </c>
      <c r="AC81" s="25">
        <f t="shared" si="46"/>
        <v>0.81553398058252424</v>
      </c>
      <c r="AD81" s="22">
        <v>151</v>
      </c>
      <c r="AE81" s="24">
        <f t="shared" si="47"/>
        <v>2.7962962962962963</v>
      </c>
      <c r="AF81" s="22">
        <v>25</v>
      </c>
      <c r="AG81" s="24">
        <f t="shared" si="48"/>
        <v>0.46296296296296297</v>
      </c>
      <c r="AH81" s="22">
        <v>126</v>
      </c>
      <c r="AI81" s="24">
        <f t="shared" si="49"/>
        <v>2.3333333333333335</v>
      </c>
      <c r="AJ81" s="22">
        <v>211</v>
      </c>
      <c r="AK81" s="24">
        <f t="shared" si="50"/>
        <v>3.9074074074074074</v>
      </c>
      <c r="AL81" s="8">
        <v>33</v>
      </c>
      <c r="AM81" s="24">
        <f t="shared" si="51"/>
        <v>0.61111111111111116</v>
      </c>
      <c r="AN81" s="12">
        <v>7</v>
      </c>
      <c r="AO81" s="24">
        <f t="shared" si="52"/>
        <v>0.12962962962962962</v>
      </c>
      <c r="AP81" s="22">
        <v>120</v>
      </c>
      <c r="AQ81" s="24">
        <f t="shared" si="57"/>
        <v>2.2222222222222223</v>
      </c>
      <c r="AR81" s="22">
        <v>131</v>
      </c>
      <c r="AS81" s="24">
        <f t="shared" si="53"/>
        <v>2.425925925925926</v>
      </c>
      <c r="AT81" s="26">
        <v>-0.58904999580264272</v>
      </c>
      <c r="AU81" s="26">
        <v>-1.6868556580831695E-2</v>
      </c>
      <c r="AV81" s="26">
        <v>-0.81994141097738471</v>
      </c>
      <c r="AW81" s="26">
        <v>0.23089141517474196</v>
      </c>
      <c r="AX81" s="26">
        <v>95.990906786316202</v>
      </c>
      <c r="AY81" s="26">
        <v>115.39319309443076</v>
      </c>
      <c r="AZ81" s="26">
        <v>7.5451385430977806</v>
      </c>
      <c r="BA81" s="26">
        <v>8.8333333333333339</v>
      </c>
      <c r="BB81" s="26">
        <v>13.659793814432991</v>
      </c>
      <c r="BC81" s="25">
        <v>0.46563715666627375</v>
      </c>
      <c r="BD81" s="25">
        <v>0.39455782312925169</v>
      </c>
      <c r="BE81" s="26">
        <v>26.644164421780086</v>
      </c>
      <c r="BF81" s="25">
        <v>0.53061224489795922</v>
      </c>
      <c r="BG81" s="25">
        <v>0.35034013605442177</v>
      </c>
      <c r="BH81" s="26">
        <v>2.0062165964936685</v>
      </c>
      <c r="BI81" s="26">
        <v>10.111331646328088</v>
      </c>
      <c r="BJ81" s="26">
        <v>5.7912984781541486</v>
      </c>
      <c r="BK81" s="26">
        <v>22.230807052047485</v>
      </c>
      <c r="BL81" s="26">
        <v>1.2849654504922017</v>
      </c>
      <c r="BM81" s="26">
        <v>0.45501228533170396</v>
      </c>
      <c r="BN81" s="26">
        <v>15.025543423820496</v>
      </c>
      <c r="BO81" s="27" t="s">
        <v>189</v>
      </c>
      <c r="BP81" s="28"/>
      <c r="BQ81" s="17" t="s">
        <v>255</v>
      </c>
      <c r="BR81" s="35">
        <v>918.83</v>
      </c>
      <c r="BS81" s="35">
        <v>1505.63</v>
      </c>
      <c r="BT81" s="35">
        <v>586.79999999999995</v>
      </c>
      <c r="BU81" s="35">
        <f t="shared" si="58"/>
        <v>17.015370370370377</v>
      </c>
      <c r="BV81" s="35">
        <f t="shared" si="59"/>
        <v>27.882037037037041</v>
      </c>
      <c r="BW81" s="35">
        <f t="shared" si="60"/>
        <v>10.866666666666665</v>
      </c>
      <c r="BX81" s="36">
        <f t="shared" si="61"/>
        <v>26.312428407789238</v>
      </c>
      <c r="BY81" s="36">
        <f t="shared" si="62"/>
        <v>43.116552119129445</v>
      </c>
      <c r="BZ81" s="36">
        <f t="shared" si="63"/>
        <v>16.804123711340207</v>
      </c>
      <c r="CA81" s="50">
        <v>14</v>
      </c>
      <c r="CB81" s="50">
        <v>40</v>
      </c>
    </row>
    <row r="82" spans="1:80" x14ac:dyDescent="0.4">
      <c r="A82" s="21" t="s">
        <v>231</v>
      </c>
      <c r="B82" s="17" t="s">
        <v>193</v>
      </c>
      <c r="C82" s="17" t="s">
        <v>72</v>
      </c>
      <c r="D82" s="22">
        <v>47</v>
      </c>
      <c r="E82" s="22">
        <v>23</v>
      </c>
      <c r="F82" s="22">
        <v>52</v>
      </c>
      <c r="G82" s="23">
        <v>67304</v>
      </c>
      <c r="H82" s="23">
        <v>389</v>
      </c>
      <c r="I82" s="24">
        <f t="shared" si="37"/>
        <v>8.2765957446808507</v>
      </c>
      <c r="J82" s="22">
        <v>161</v>
      </c>
      <c r="K82" s="22">
        <v>331</v>
      </c>
      <c r="L82" s="24">
        <f t="shared" si="54"/>
        <v>3.4255319148936172</v>
      </c>
      <c r="M82" s="24">
        <f t="shared" si="55"/>
        <v>7.042553191489362</v>
      </c>
      <c r="N82" s="25">
        <f t="shared" si="56"/>
        <v>0.48640483383685801</v>
      </c>
      <c r="O82" s="23">
        <v>129</v>
      </c>
      <c r="P82" s="22">
        <v>244</v>
      </c>
      <c r="Q82" s="24">
        <f t="shared" si="38"/>
        <v>2.7446808510638299</v>
      </c>
      <c r="R82" s="24">
        <f t="shared" si="39"/>
        <v>5.1914893617021276</v>
      </c>
      <c r="S82" s="25">
        <f t="shared" si="40"/>
        <v>0.52868852459016391</v>
      </c>
      <c r="T82" s="22">
        <v>32</v>
      </c>
      <c r="U82" s="22">
        <v>87</v>
      </c>
      <c r="V82" s="24">
        <f t="shared" si="41"/>
        <v>0.68085106382978722</v>
      </c>
      <c r="W82" s="24">
        <f t="shared" si="42"/>
        <v>1.8510638297872339</v>
      </c>
      <c r="X82" s="25">
        <f t="shared" si="43"/>
        <v>0.36781609195402298</v>
      </c>
      <c r="Y82" s="22">
        <v>35</v>
      </c>
      <c r="Z82" s="22">
        <v>50</v>
      </c>
      <c r="AA82" s="24">
        <f t="shared" si="44"/>
        <v>0.74468085106382975</v>
      </c>
      <c r="AB82" s="24">
        <f t="shared" si="45"/>
        <v>1.0638297872340425</v>
      </c>
      <c r="AC82" s="25">
        <f t="shared" si="46"/>
        <v>0.7</v>
      </c>
      <c r="AD82" s="22">
        <v>102</v>
      </c>
      <c r="AE82" s="24">
        <f t="shared" si="47"/>
        <v>2.1702127659574466</v>
      </c>
      <c r="AF82" s="22">
        <v>23</v>
      </c>
      <c r="AG82" s="24">
        <f t="shared" si="48"/>
        <v>0.48936170212765956</v>
      </c>
      <c r="AH82" s="22">
        <v>79</v>
      </c>
      <c r="AI82" s="24">
        <f t="shared" si="49"/>
        <v>1.6808510638297873</v>
      </c>
      <c r="AJ82" s="22">
        <v>126</v>
      </c>
      <c r="AK82" s="24">
        <f t="shared" si="50"/>
        <v>2.6808510638297873</v>
      </c>
      <c r="AL82" s="33">
        <v>30</v>
      </c>
      <c r="AM82" s="24">
        <f t="shared" si="51"/>
        <v>0.63829787234042556</v>
      </c>
      <c r="AN82" s="10">
        <v>1</v>
      </c>
      <c r="AO82" s="24">
        <f t="shared" si="52"/>
        <v>2.1276595744680851E-2</v>
      </c>
      <c r="AP82" s="22">
        <v>54</v>
      </c>
      <c r="AQ82" s="24">
        <f t="shared" si="57"/>
        <v>1.1489361702127661</v>
      </c>
      <c r="AR82" s="22">
        <v>60</v>
      </c>
      <c r="AS82" s="24">
        <f t="shared" si="53"/>
        <v>1.2765957446808511</v>
      </c>
      <c r="AT82" s="26">
        <v>1.3062968676515931</v>
      </c>
      <c r="AU82" s="26">
        <v>4.6581369344523706E-2</v>
      </c>
      <c r="AV82" s="26">
        <v>1.2288096978069376</v>
      </c>
      <c r="AW82" s="26">
        <v>7.7487169844655562E-2</v>
      </c>
      <c r="AX82" s="26">
        <v>109.8897040629778</v>
      </c>
      <c r="AY82" s="26">
        <v>116.23270531046366</v>
      </c>
      <c r="AZ82" s="26">
        <v>8.872732336098343</v>
      </c>
      <c r="BA82" s="26">
        <v>8.7021276595744688</v>
      </c>
      <c r="BB82" s="26">
        <v>14.58457149649352</v>
      </c>
      <c r="BC82" s="25">
        <v>0.55099150141643061</v>
      </c>
      <c r="BD82" s="25">
        <v>0.53474320241691842</v>
      </c>
      <c r="BE82" s="26">
        <v>14.716148278994067</v>
      </c>
      <c r="BF82" s="25">
        <v>0.26283987915407853</v>
      </c>
      <c r="BG82" s="25">
        <v>0.15105740181268881</v>
      </c>
      <c r="BH82" s="26">
        <v>2.0003884812412847</v>
      </c>
      <c r="BI82" s="26">
        <v>6.8708995660026737</v>
      </c>
      <c r="BJ82" s="26">
        <v>4.2398244213886676</v>
      </c>
      <c r="BK82" s="26">
        <v>14.171102946689659</v>
      </c>
      <c r="BL82" s="26">
        <v>1.4545992737815183</v>
      </c>
      <c r="BM82" s="26">
        <v>7.044882949269797E-2</v>
      </c>
      <c r="BN82" s="26">
        <v>13.267813267813267</v>
      </c>
      <c r="BO82" s="27" t="s">
        <v>189</v>
      </c>
      <c r="BP82" s="28"/>
      <c r="BQ82" s="17" t="s">
        <v>255</v>
      </c>
      <c r="BR82" s="35">
        <v>748.46</v>
      </c>
      <c r="BS82" s="35">
        <v>1005.96</v>
      </c>
      <c r="BT82" s="35">
        <v>257.5</v>
      </c>
      <c r="BU82" s="35">
        <f t="shared" si="58"/>
        <v>15.92468085106383</v>
      </c>
      <c r="BV82" s="35">
        <f t="shared" si="59"/>
        <v>21.403404255319149</v>
      </c>
      <c r="BW82" s="35">
        <f t="shared" si="60"/>
        <v>5.4787234042553195</v>
      </c>
      <c r="BX82" s="36">
        <f t="shared" si="61"/>
        <v>26.689409247593005</v>
      </c>
      <c r="BY82" s="36">
        <f t="shared" si="62"/>
        <v>35.871627243551643</v>
      </c>
      <c r="BZ82" s="36">
        <f t="shared" si="63"/>
        <v>9.1822179959586361</v>
      </c>
      <c r="CA82" s="48">
        <v>13</v>
      </c>
      <c r="CB82" s="48">
        <v>34</v>
      </c>
    </row>
    <row r="83" spans="1:80" x14ac:dyDescent="0.4">
      <c r="A83" s="21" t="s">
        <v>231</v>
      </c>
      <c r="B83" s="17" t="s">
        <v>193</v>
      </c>
      <c r="C83" s="20" t="s">
        <v>147</v>
      </c>
      <c r="D83" s="22">
        <v>29</v>
      </c>
      <c r="E83" s="22">
        <v>16</v>
      </c>
      <c r="F83" s="22">
        <v>7</v>
      </c>
      <c r="G83" s="23">
        <v>28043</v>
      </c>
      <c r="H83" s="23">
        <v>123</v>
      </c>
      <c r="I83" s="24">
        <f t="shared" si="37"/>
        <v>4.2413793103448274</v>
      </c>
      <c r="J83" s="22">
        <v>46</v>
      </c>
      <c r="K83" s="22">
        <v>118</v>
      </c>
      <c r="L83" s="24">
        <f t="shared" si="54"/>
        <v>1.5862068965517242</v>
      </c>
      <c r="M83" s="24">
        <f t="shared" si="55"/>
        <v>4.068965517241379</v>
      </c>
      <c r="N83" s="25">
        <f t="shared" si="56"/>
        <v>0.38983050847457629</v>
      </c>
      <c r="O83" s="23">
        <v>28</v>
      </c>
      <c r="P83" s="22">
        <v>51</v>
      </c>
      <c r="Q83" s="24">
        <f t="shared" si="38"/>
        <v>0.96551724137931039</v>
      </c>
      <c r="R83" s="24">
        <f t="shared" si="39"/>
        <v>1.7586206896551724</v>
      </c>
      <c r="S83" s="25">
        <f t="shared" si="40"/>
        <v>0.5490196078431373</v>
      </c>
      <c r="T83" s="22">
        <v>18</v>
      </c>
      <c r="U83" s="22">
        <v>67</v>
      </c>
      <c r="V83" s="24">
        <f t="shared" si="41"/>
        <v>0.62068965517241381</v>
      </c>
      <c r="W83" s="24">
        <f t="shared" si="42"/>
        <v>2.3103448275862069</v>
      </c>
      <c r="X83" s="25">
        <f t="shared" si="43"/>
        <v>0.26865671641791045</v>
      </c>
      <c r="Y83" s="22">
        <v>13</v>
      </c>
      <c r="Z83" s="22">
        <v>21</v>
      </c>
      <c r="AA83" s="24">
        <f t="shared" si="44"/>
        <v>0.44827586206896552</v>
      </c>
      <c r="AB83" s="24">
        <f t="shared" si="45"/>
        <v>0.72413793103448276</v>
      </c>
      <c r="AC83" s="25">
        <f t="shared" si="46"/>
        <v>0.61904761904761907</v>
      </c>
      <c r="AD83" s="22">
        <v>80</v>
      </c>
      <c r="AE83" s="24">
        <f t="shared" si="47"/>
        <v>2.7586206896551726</v>
      </c>
      <c r="AF83" s="22">
        <v>32</v>
      </c>
      <c r="AG83" s="24">
        <f t="shared" si="48"/>
        <v>1.103448275862069</v>
      </c>
      <c r="AH83" s="22">
        <v>48</v>
      </c>
      <c r="AI83" s="24">
        <f t="shared" si="49"/>
        <v>1.6551724137931034</v>
      </c>
      <c r="AJ83" s="22">
        <v>15</v>
      </c>
      <c r="AK83" s="24">
        <f t="shared" si="50"/>
        <v>0.51724137931034486</v>
      </c>
      <c r="AL83" s="33">
        <v>7</v>
      </c>
      <c r="AM83" s="24">
        <f t="shared" si="51"/>
        <v>0.2413793103448276</v>
      </c>
      <c r="AN83" s="10">
        <v>4</v>
      </c>
      <c r="AO83" s="24">
        <f t="shared" si="52"/>
        <v>0.13793103448275862</v>
      </c>
      <c r="AP83" s="22">
        <v>15</v>
      </c>
      <c r="AQ83" s="24">
        <f t="shared" si="57"/>
        <v>0.51724137931034486</v>
      </c>
      <c r="AR83" s="22">
        <v>56</v>
      </c>
      <c r="AS83" s="24">
        <f t="shared" si="53"/>
        <v>1.9310344827586208</v>
      </c>
      <c r="AT83" s="26">
        <v>0.15650579632780737</v>
      </c>
      <c r="AU83" s="26">
        <v>1.3394212858351021E-2</v>
      </c>
      <c r="AV83" s="26">
        <v>9.2093037275560272E-2</v>
      </c>
      <c r="AW83" s="26">
        <v>6.4412759052247096E-2</v>
      </c>
      <c r="AX83" s="26">
        <v>101.76499258034954</v>
      </c>
      <c r="AY83" s="26">
        <v>115.63298842801497</v>
      </c>
      <c r="AZ83" s="26">
        <v>2.8727997182269291</v>
      </c>
      <c r="BA83" s="26">
        <v>4.6206896551724137</v>
      </c>
      <c r="BB83" s="26">
        <v>11.468102556787791</v>
      </c>
      <c r="BC83" s="25">
        <v>0.48333857277585668</v>
      </c>
      <c r="BD83" s="25">
        <v>0.46610169491525422</v>
      </c>
      <c r="BE83" s="26">
        <v>7.6161946227581296</v>
      </c>
      <c r="BF83" s="25">
        <v>0.56779661016949157</v>
      </c>
      <c r="BG83" s="25">
        <v>0.17796610169491525</v>
      </c>
      <c r="BH83" s="26">
        <v>4.121478430124573</v>
      </c>
      <c r="BI83" s="26">
        <v>6.1822176451868591</v>
      </c>
      <c r="BJ83" s="26">
        <v>4.9244103018663514</v>
      </c>
      <c r="BK83" s="26">
        <v>2.2619885392580676</v>
      </c>
      <c r="BL83" s="26">
        <v>0.81458527577665152</v>
      </c>
      <c r="BM83" s="26">
        <v>0.41730185660204133</v>
      </c>
      <c r="BN83" s="26">
        <v>10.545556805399324</v>
      </c>
      <c r="BO83" s="27" t="s">
        <v>189</v>
      </c>
      <c r="BP83" s="28"/>
      <c r="BQ83" s="17" t="s">
        <v>254</v>
      </c>
      <c r="BR83" s="35"/>
      <c r="BS83" s="35"/>
      <c r="BT83" s="35"/>
      <c r="BU83" s="35"/>
      <c r="BV83" s="35"/>
      <c r="BW83" s="35"/>
      <c r="BX83" s="36"/>
      <c r="BY83" s="36"/>
      <c r="BZ83" s="36"/>
      <c r="CA83" s="27">
        <v>9</v>
      </c>
      <c r="CB83" s="27">
        <v>20</v>
      </c>
    </row>
    <row r="84" spans="1:80" x14ac:dyDescent="0.4">
      <c r="A84" s="21" t="s">
        <v>231</v>
      </c>
      <c r="B84" s="51" t="s">
        <v>193</v>
      </c>
      <c r="C84" s="51" t="s">
        <v>291</v>
      </c>
      <c r="D84" s="22">
        <v>51</v>
      </c>
      <c r="E84" s="22">
        <v>14</v>
      </c>
      <c r="F84" s="22">
        <v>5</v>
      </c>
      <c r="G84" s="23">
        <v>43095</v>
      </c>
      <c r="H84" s="23">
        <v>218</v>
      </c>
      <c r="I84" s="24">
        <f t="shared" si="37"/>
        <v>4.2745098039215685</v>
      </c>
      <c r="J84" s="22">
        <v>86</v>
      </c>
      <c r="K84" s="22">
        <v>227</v>
      </c>
      <c r="L84" s="24">
        <f t="shared" si="54"/>
        <v>1.6862745098039216</v>
      </c>
      <c r="M84" s="24">
        <f t="shared" si="55"/>
        <v>4.4509803921568629</v>
      </c>
      <c r="N84" s="25">
        <f t="shared" si="56"/>
        <v>0.3788546255506608</v>
      </c>
      <c r="O84" s="23">
        <v>57</v>
      </c>
      <c r="P84" s="22">
        <v>122</v>
      </c>
      <c r="Q84" s="24">
        <f t="shared" si="38"/>
        <v>1.1176470588235294</v>
      </c>
      <c r="R84" s="24">
        <f t="shared" si="39"/>
        <v>2.392156862745098</v>
      </c>
      <c r="S84" s="25">
        <f t="shared" si="40"/>
        <v>0.46721311475409838</v>
      </c>
      <c r="T84" s="22">
        <v>29</v>
      </c>
      <c r="U84" s="22">
        <v>105</v>
      </c>
      <c r="V84" s="24">
        <f t="shared" si="41"/>
        <v>0.56862745098039214</v>
      </c>
      <c r="W84" s="24">
        <f t="shared" si="42"/>
        <v>2.0588235294117645</v>
      </c>
      <c r="X84" s="25">
        <f t="shared" si="43"/>
        <v>0.27619047619047621</v>
      </c>
      <c r="Y84" s="22">
        <v>17</v>
      </c>
      <c r="Z84" s="22">
        <v>27</v>
      </c>
      <c r="AA84" s="24">
        <f t="shared" si="44"/>
        <v>0.33333333333333331</v>
      </c>
      <c r="AB84" s="24">
        <f t="shared" si="45"/>
        <v>0.52941176470588236</v>
      </c>
      <c r="AC84" s="25">
        <f t="shared" si="46"/>
        <v>0.62962962962962965</v>
      </c>
      <c r="AD84" s="22">
        <v>110</v>
      </c>
      <c r="AE84" s="24">
        <f t="shared" si="47"/>
        <v>2.1568627450980391</v>
      </c>
      <c r="AF84" s="22">
        <v>42</v>
      </c>
      <c r="AG84" s="24">
        <f t="shared" si="48"/>
        <v>0.82352941176470584</v>
      </c>
      <c r="AH84" s="22">
        <v>68</v>
      </c>
      <c r="AI84" s="24">
        <f t="shared" si="49"/>
        <v>1.3333333333333333</v>
      </c>
      <c r="AJ84" s="22">
        <v>37</v>
      </c>
      <c r="AK84" s="24">
        <f t="shared" si="50"/>
        <v>0.72549019607843135</v>
      </c>
      <c r="AL84" s="33">
        <v>13</v>
      </c>
      <c r="AM84" s="24">
        <f t="shared" si="51"/>
        <v>0.25490196078431371</v>
      </c>
      <c r="AN84" s="10">
        <v>3</v>
      </c>
      <c r="AO84" s="24">
        <f t="shared" si="52"/>
        <v>5.8823529411764705E-2</v>
      </c>
      <c r="AP84" s="22">
        <v>20</v>
      </c>
      <c r="AQ84" s="24">
        <f t="shared" si="57"/>
        <v>0.39215686274509803</v>
      </c>
      <c r="AR84" s="22">
        <v>116</v>
      </c>
      <c r="AS84" s="24">
        <f t="shared" si="53"/>
        <v>2.2745098039215685</v>
      </c>
      <c r="AT84" s="26">
        <v>0.10989739604131532</v>
      </c>
      <c r="AU84" s="26">
        <v>6.1202865877516364E-3</v>
      </c>
      <c r="AV84" s="26">
        <v>1.4004782795851507E-2</v>
      </c>
      <c r="AW84" s="26">
        <v>9.5892613245463817E-2</v>
      </c>
      <c r="AX84" s="26">
        <v>99.716811929528077</v>
      </c>
      <c r="AY84" s="26">
        <v>115.67056590383656</v>
      </c>
      <c r="AZ84" s="26">
        <v>4.4278106840582696</v>
      </c>
      <c r="BA84" s="26">
        <v>4.117647058823529</v>
      </c>
      <c r="BB84" s="26">
        <v>11.695092238078663</v>
      </c>
      <c r="BC84" s="25">
        <v>0.45629604822505027</v>
      </c>
      <c r="BD84" s="25">
        <v>0.44273127753303965</v>
      </c>
      <c r="BE84" s="26">
        <v>15.862971897065522</v>
      </c>
      <c r="BF84" s="25">
        <v>0.46255506607929514</v>
      </c>
      <c r="BG84" s="25">
        <v>0.11894273127753303</v>
      </c>
      <c r="BH84" s="26">
        <v>6.1904484083239426</v>
      </c>
      <c r="BI84" s="26">
        <v>10.022630756334001</v>
      </c>
      <c r="BJ84" s="26">
        <v>7.7486615948154407</v>
      </c>
      <c r="BK84" s="26">
        <v>6.9331667707682687</v>
      </c>
      <c r="BL84" s="26">
        <v>0.98441779308789634</v>
      </c>
      <c r="BM84" s="26">
        <v>0.35816351656879353</v>
      </c>
      <c r="BN84" s="26">
        <v>7.7255871446229918</v>
      </c>
      <c r="BO84" s="27" t="s">
        <v>189</v>
      </c>
      <c r="BP84" s="28"/>
      <c r="BQ84" s="48" t="s">
        <v>253</v>
      </c>
      <c r="BR84" s="35">
        <v>434.56</v>
      </c>
      <c r="BS84" s="35">
        <v>605.96</v>
      </c>
      <c r="BT84" s="35">
        <v>171.4</v>
      </c>
      <c r="BU84" s="35">
        <f t="shared" si="58"/>
        <v>8.5207843137254908</v>
      </c>
      <c r="BV84" s="35">
        <f t="shared" si="59"/>
        <v>11.881568627450982</v>
      </c>
      <c r="BW84" s="35">
        <f t="shared" si="60"/>
        <v>3.3607843137254902</v>
      </c>
      <c r="BX84" s="36">
        <f t="shared" si="61"/>
        <v>24.201044204664115</v>
      </c>
      <c r="BY84" s="36">
        <f t="shared" si="62"/>
        <v>33.74646710755308</v>
      </c>
      <c r="BZ84" s="36">
        <f t="shared" si="63"/>
        <v>9.5454229028889657</v>
      </c>
      <c r="CA84" s="50">
        <v>13</v>
      </c>
      <c r="CB84" s="50">
        <v>38</v>
      </c>
    </row>
    <row r="85" spans="1:80" x14ac:dyDescent="0.4">
      <c r="A85" s="21" t="s">
        <v>231</v>
      </c>
      <c r="B85" s="17" t="s">
        <v>193</v>
      </c>
      <c r="C85" s="20" t="s">
        <v>215</v>
      </c>
      <c r="D85" s="22">
        <v>10</v>
      </c>
      <c r="E85" s="22">
        <v>16</v>
      </c>
      <c r="F85" s="22">
        <v>46</v>
      </c>
      <c r="G85" s="23">
        <v>10060</v>
      </c>
      <c r="H85" s="23">
        <v>108</v>
      </c>
      <c r="I85" s="24">
        <f t="shared" si="37"/>
        <v>10.8</v>
      </c>
      <c r="J85" s="22">
        <v>35</v>
      </c>
      <c r="K85" s="22">
        <v>86</v>
      </c>
      <c r="L85" s="24">
        <f t="shared" si="54"/>
        <v>3.5</v>
      </c>
      <c r="M85" s="24">
        <f t="shared" si="55"/>
        <v>8.6</v>
      </c>
      <c r="N85" s="25">
        <f t="shared" si="56"/>
        <v>0.40697674418604651</v>
      </c>
      <c r="O85" s="23">
        <v>22</v>
      </c>
      <c r="P85" s="22">
        <v>56</v>
      </c>
      <c r="Q85" s="24">
        <f t="shared" si="38"/>
        <v>2.2000000000000002</v>
      </c>
      <c r="R85" s="24">
        <f t="shared" si="39"/>
        <v>5.6</v>
      </c>
      <c r="S85" s="25">
        <f t="shared" si="40"/>
        <v>0.39285714285714285</v>
      </c>
      <c r="T85" s="22">
        <v>13</v>
      </c>
      <c r="U85" s="22">
        <v>30</v>
      </c>
      <c r="V85" s="24">
        <f t="shared" si="41"/>
        <v>1.3</v>
      </c>
      <c r="W85" s="24">
        <f t="shared" si="42"/>
        <v>3</v>
      </c>
      <c r="X85" s="25">
        <f t="shared" si="43"/>
        <v>0.43333333333333335</v>
      </c>
      <c r="Y85" s="22">
        <v>25</v>
      </c>
      <c r="Z85" s="22">
        <v>28</v>
      </c>
      <c r="AA85" s="24">
        <f t="shared" si="44"/>
        <v>2.5</v>
      </c>
      <c r="AB85" s="24">
        <f t="shared" si="45"/>
        <v>2.8</v>
      </c>
      <c r="AC85" s="25">
        <f t="shared" si="46"/>
        <v>0.8928571428571429</v>
      </c>
      <c r="AD85" s="22">
        <v>50</v>
      </c>
      <c r="AE85" s="24">
        <f t="shared" si="47"/>
        <v>5</v>
      </c>
      <c r="AF85" s="22">
        <v>12</v>
      </c>
      <c r="AG85" s="24">
        <f t="shared" si="48"/>
        <v>1.2</v>
      </c>
      <c r="AH85" s="22">
        <v>38</v>
      </c>
      <c r="AI85" s="24">
        <f t="shared" si="49"/>
        <v>3.8</v>
      </c>
      <c r="AJ85" s="22">
        <v>6</v>
      </c>
      <c r="AK85" s="24">
        <f t="shared" si="50"/>
        <v>0.6</v>
      </c>
      <c r="AL85" s="33">
        <v>5</v>
      </c>
      <c r="AM85" s="24">
        <f t="shared" si="51"/>
        <v>0.5</v>
      </c>
      <c r="AN85" s="10">
        <v>2</v>
      </c>
      <c r="AO85" s="24">
        <f t="shared" si="52"/>
        <v>0.2</v>
      </c>
      <c r="AP85" s="22">
        <v>6</v>
      </c>
      <c r="AQ85" s="24">
        <f t="shared" si="57"/>
        <v>0.6</v>
      </c>
      <c r="AR85" s="22">
        <v>22</v>
      </c>
      <c r="AS85" s="24">
        <f t="shared" si="53"/>
        <v>2.2000000000000002</v>
      </c>
      <c r="AT85" s="26">
        <v>0.55177225858028967</v>
      </c>
      <c r="AU85" s="26">
        <v>0.13163552888595381</v>
      </c>
      <c r="AV85" s="26">
        <v>0.38736582004069486</v>
      </c>
      <c r="AW85" s="26">
        <v>0.1644064385395948</v>
      </c>
      <c r="AX85" s="26">
        <v>113.30946574172688</v>
      </c>
      <c r="AY85" s="26">
        <v>108.28031744845667</v>
      </c>
      <c r="AZ85" s="26">
        <v>3.0547100983349429</v>
      </c>
      <c r="BA85" s="26">
        <v>11.1</v>
      </c>
      <c r="BB85" s="26">
        <v>26.481113320079523</v>
      </c>
      <c r="BC85" s="25">
        <v>0.54922701383238404</v>
      </c>
      <c r="BD85" s="25">
        <v>0.48255813953488375</v>
      </c>
      <c r="BE85" s="26">
        <v>5.3692343694134799</v>
      </c>
      <c r="BF85" s="25">
        <v>0.34883720930232559</v>
      </c>
      <c r="BG85" s="25">
        <v>0.32558139534883723</v>
      </c>
      <c r="BH85" s="26">
        <v>1.4856372919720906</v>
      </c>
      <c r="BI85" s="26">
        <v>4.704518091244954</v>
      </c>
      <c r="BJ85" s="26">
        <v>2.9584398371674712</v>
      </c>
      <c r="BK85" s="26">
        <v>0.85380893653353573</v>
      </c>
      <c r="BL85" s="26">
        <v>1.6219408469614196</v>
      </c>
      <c r="BM85" s="26">
        <v>0.20056207521579228</v>
      </c>
      <c r="BN85" s="26">
        <v>5.7515337423312891</v>
      </c>
      <c r="BO85" s="27" t="s">
        <v>232</v>
      </c>
      <c r="BP85" s="28"/>
      <c r="BQ85" s="50" t="s">
        <v>254</v>
      </c>
      <c r="BR85" s="35"/>
      <c r="BS85" s="35"/>
      <c r="BT85" s="35"/>
      <c r="BU85" s="35"/>
      <c r="BV85" s="35"/>
      <c r="BW85" s="35"/>
      <c r="BX85" s="36"/>
      <c r="BY85" s="36"/>
      <c r="BZ85" s="36"/>
      <c r="CA85" s="27">
        <v>2</v>
      </c>
      <c r="CB85" s="27">
        <v>8</v>
      </c>
    </row>
    <row r="86" spans="1:80" x14ac:dyDescent="0.4">
      <c r="A86" s="21" t="s">
        <v>231</v>
      </c>
      <c r="B86" s="17" t="s">
        <v>193</v>
      </c>
      <c r="C86" s="17" t="s">
        <v>131</v>
      </c>
      <c r="D86" s="22">
        <v>25</v>
      </c>
      <c r="E86" s="22">
        <v>9</v>
      </c>
      <c r="F86" s="22">
        <v>8</v>
      </c>
      <c r="G86" s="23">
        <v>13700</v>
      </c>
      <c r="H86" s="23">
        <v>53</v>
      </c>
      <c r="I86" s="24">
        <f t="shared" si="37"/>
        <v>2.12</v>
      </c>
      <c r="J86" s="22">
        <v>22</v>
      </c>
      <c r="K86" s="22">
        <v>39</v>
      </c>
      <c r="L86" s="24">
        <f t="shared" si="54"/>
        <v>0.88</v>
      </c>
      <c r="M86" s="24">
        <f t="shared" si="55"/>
        <v>1.56</v>
      </c>
      <c r="N86" s="25">
        <f t="shared" si="56"/>
        <v>0.5641025641025641</v>
      </c>
      <c r="O86" s="23">
        <v>22</v>
      </c>
      <c r="P86" s="22">
        <v>39</v>
      </c>
      <c r="Q86" s="24">
        <f t="shared" si="38"/>
        <v>0.88</v>
      </c>
      <c r="R86" s="24">
        <f t="shared" si="39"/>
        <v>1.56</v>
      </c>
      <c r="S86" s="25">
        <f t="shared" si="40"/>
        <v>0.5641025641025641</v>
      </c>
      <c r="T86" s="22">
        <v>0</v>
      </c>
      <c r="U86" s="22">
        <v>0</v>
      </c>
      <c r="V86" s="24">
        <f t="shared" si="41"/>
        <v>0</v>
      </c>
      <c r="W86" s="24">
        <f t="shared" si="42"/>
        <v>0</v>
      </c>
      <c r="X86" s="25" t="e">
        <f t="shared" si="43"/>
        <v>#DIV/0!</v>
      </c>
      <c r="Y86" s="22">
        <v>9</v>
      </c>
      <c r="Z86" s="22">
        <v>13</v>
      </c>
      <c r="AA86" s="24">
        <f t="shared" si="44"/>
        <v>0.36</v>
      </c>
      <c r="AB86" s="24">
        <f t="shared" si="45"/>
        <v>0.52</v>
      </c>
      <c r="AC86" s="25">
        <f t="shared" si="46"/>
        <v>0.69230769230769229</v>
      </c>
      <c r="AD86" s="22">
        <v>49</v>
      </c>
      <c r="AE86" s="24">
        <f t="shared" si="47"/>
        <v>1.96</v>
      </c>
      <c r="AF86" s="22">
        <v>21</v>
      </c>
      <c r="AG86" s="24">
        <f t="shared" si="48"/>
        <v>0.84</v>
      </c>
      <c r="AH86" s="22">
        <v>28</v>
      </c>
      <c r="AI86" s="24">
        <f t="shared" si="49"/>
        <v>1.1200000000000001</v>
      </c>
      <c r="AJ86" s="22">
        <v>11</v>
      </c>
      <c r="AK86" s="24">
        <f t="shared" si="50"/>
        <v>0.44</v>
      </c>
      <c r="AL86" s="33">
        <v>3</v>
      </c>
      <c r="AM86" s="24">
        <f t="shared" si="51"/>
        <v>0.12</v>
      </c>
      <c r="AN86" s="10">
        <v>2</v>
      </c>
      <c r="AO86" s="24">
        <f t="shared" si="52"/>
        <v>0.08</v>
      </c>
      <c r="AP86" s="22">
        <v>8</v>
      </c>
      <c r="AQ86" s="24">
        <f t="shared" si="57"/>
        <v>0.32</v>
      </c>
      <c r="AR86" s="22">
        <v>54</v>
      </c>
      <c r="AS86" s="24">
        <f t="shared" si="53"/>
        <v>2.16</v>
      </c>
      <c r="AT86" s="26">
        <v>0.41861817533703488</v>
      </c>
      <c r="AU86" s="26">
        <v>7.3334570861962309E-2</v>
      </c>
      <c r="AV86" s="26">
        <v>0.35883738321718572</v>
      </c>
      <c r="AW86" s="26">
        <v>5.9780792119849165E-2</v>
      </c>
      <c r="AX86" s="26">
        <v>120.9377035126181</v>
      </c>
      <c r="AY86" s="26">
        <v>114.55114008617932</v>
      </c>
      <c r="AZ86" s="26">
        <v>2.1534496214202195</v>
      </c>
      <c r="BA86" s="26">
        <v>3.56</v>
      </c>
      <c r="BB86" s="26">
        <v>15.591240875912408</v>
      </c>
      <c r="BC86" s="25">
        <v>0.59257602862254022</v>
      </c>
      <c r="BD86" s="25">
        <v>0.5641025641025641</v>
      </c>
      <c r="BE86" s="26">
        <v>4.9812416065952947</v>
      </c>
      <c r="BF86" s="25">
        <v>0</v>
      </c>
      <c r="BG86" s="25">
        <v>0.33333333333333331</v>
      </c>
      <c r="BH86" s="26">
        <v>4.7727453513081493</v>
      </c>
      <c r="BI86" s="26">
        <v>6.363660468410866</v>
      </c>
      <c r="BJ86" s="26">
        <v>5.3223844282238444</v>
      </c>
      <c r="BK86" s="26">
        <v>2.8957528957528957</v>
      </c>
      <c r="BL86" s="26">
        <v>0.71460109140577588</v>
      </c>
      <c r="BM86" s="26">
        <v>0.36818512348008581</v>
      </c>
      <c r="BN86" s="26">
        <v>15.174506828528074</v>
      </c>
      <c r="BO86" s="27" t="s">
        <v>189</v>
      </c>
      <c r="BP86" s="28"/>
      <c r="BQ86" s="50" t="s">
        <v>254</v>
      </c>
      <c r="BR86" s="35">
        <v>160.38999999999999</v>
      </c>
      <c r="BS86" s="35">
        <v>192.59</v>
      </c>
      <c r="BT86" s="35">
        <v>32.200000000000003</v>
      </c>
      <c r="BU86" s="35">
        <f t="shared" si="58"/>
        <v>6.4155999999999995</v>
      </c>
      <c r="BV86" s="35">
        <f t="shared" si="59"/>
        <v>7.7035999999999998</v>
      </c>
      <c r="BW86" s="35">
        <f t="shared" si="60"/>
        <v>1.288</v>
      </c>
      <c r="BX86" s="36">
        <f t="shared" si="61"/>
        <v>28.097518248175184</v>
      </c>
      <c r="BY86" s="36">
        <f t="shared" si="62"/>
        <v>33.738394160583944</v>
      </c>
      <c r="BZ86" s="36">
        <f t="shared" si="63"/>
        <v>5.6408759124087595</v>
      </c>
      <c r="CA86" s="48">
        <v>8</v>
      </c>
      <c r="CB86" s="48">
        <v>17</v>
      </c>
    </row>
    <row r="87" spans="1:80" x14ac:dyDescent="0.4">
      <c r="A87" s="21" t="s">
        <v>231</v>
      </c>
      <c r="B87" s="17" t="s">
        <v>193</v>
      </c>
      <c r="C87" s="17" t="s">
        <v>125</v>
      </c>
      <c r="D87" s="22">
        <v>14</v>
      </c>
      <c r="E87" s="22">
        <v>8</v>
      </c>
      <c r="F87" s="22">
        <v>53</v>
      </c>
      <c r="G87" s="23">
        <v>7462</v>
      </c>
      <c r="H87" s="23">
        <v>46</v>
      </c>
      <c r="I87" s="24">
        <f t="shared" si="37"/>
        <v>3.2857142857142856</v>
      </c>
      <c r="J87" s="22">
        <v>19</v>
      </c>
      <c r="K87" s="22">
        <v>35</v>
      </c>
      <c r="L87" s="24">
        <f t="shared" si="54"/>
        <v>1.3571428571428572</v>
      </c>
      <c r="M87" s="24">
        <f t="shared" si="55"/>
        <v>2.5</v>
      </c>
      <c r="N87" s="25">
        <f t="shared" si="56"/>
        <v>0.54285714285714282</v>
      </c>
      <c r="O87" s="23">
        <v>18</v>
      </c>
      <c r="P87" s="22">
        <v>32</v>
      </c>
      <c r="Q87" s="24">
        <f t="shared" si="38"/>
        <v>1.2857142857142858</v>
      </c>
      <c r="R87" s="24">
        <f t="shared" si="39"/>
        <v>2.2857142857142856</v>
      </c>
      <c r="S87" s="25">
        <f t="shared" si="40"/>
        <v>0.5625</v>
      </c>
      <c r="T87" s="22">
        <v>1</v>
      </c>
      <c r="U87" s="22">
        <v>3</v>
      </c>
      <c r="V87" s="24">
        <f t="shared" si="41"/>
        <v>7.1428571428571425E-2</v>
      </c>
      <c r="W87" s="24">
        <f t="shared" si="42"/>
        <v>0.21428571428571427</v>
      </c>
      <c r="X87" s="25">
        <f t="shared" si="43"/>
        <v>0.33333333333333331</v>
      </c>
      <c r="Y87" s="22">
        <v>7</v>
      </c>
      <c r="Z87" s="22">
        <v>10</v>
      </c>
      <c r="AA87" s="24">
        <f t="shared" si="44"/>
        <v>0.5</v>
      </c>
      <c r="AB87" s="24">
        <f t="shared" si="45"/>
        <v>0.7142857142857143</v>
      </c>
      <c r="AC87" s="25">
        <f t="shared" si="46"/>
        <v>0.7</v>
      </c>
      <c r="AD87" s="22">
        <v>21</v>
      </c>
      <c r="AE87" s="24">
        <f t="shared" si="47"/>
        <v>1.5</v>
      </c>
      <c r="AF87" s="22">
        <v>5</v>
      </c>
      <c r="AG87" s="24">
        <f t="shared" si="48"/>
        <v>0.35714285714285715</v>
      </c>
      <c r="AH87" s="22">
        <v>16</v>
      </c>
      <c r="AI87" s="24">
        <f t="shared" si="49"/>
        <v>1.1428571428571428</v>
      </c>
      <c r="AJ87" s="22">
        <v>9</v>
      </c>
      <c r="AK87" s="24">
        <f t="shared" si="50"/>
        <v>0.6428571428571429</v>
      </c>
      <c r="AL87" s="33">
        <v>2</v>
      </c>
      <c r="AM87" s="24">
        <f t="shared" si="51"/>
        <v>0.14285714285714285</v>
      </c>
      <c r="AN87" s="10">
        <v>0</v>
      </c>
      <c r="AO87" s="24">
        <f t="shared" si="52"/>
        <v>0</v>
      </c>
      <c r="AP87" s="22">
        <v>6</v>
      </c>
      <c r="AQ87" s="24">
        <f t="shared" si="57"/>
        <v>0.42857142857142855</v>
      </c>
      <c r="AR87" s="22">
        <v>30</v>
      </c>
      <c r="AS87" s="24">
        <f t="shared" si="53"/>
        <v>2.1428571428571428</v>
      </c>
      <c r="AT87" s="26">
        <v>0.2032411112299734</v>
      </c>
      <c r="AU87" s="26">
        <v>6.5368355260243385E-2</v>
      </c>
      <c r="AV87" s="26">
        <v>0.16840762687840086</v>
      </c>
      <c r="AW87" s="26">
        <v>3.4833484351572561E-2</v>
      </c>
      <c r="AX87" s="26">
        <v>112.45308071683833</v>
      </c>
      <c r="AY87" s="26">
        <v>114.3917106273412</v>
      </c>
      <c r="AZ87" s="26">
        <v>1.5360087424079036</v>
      </c>
      <c r="BA87" s="26">
        <v>3.7857142857142856</v>
      </c>
      <c r="BB87" s="26">
        <v>17.046368265880464</v>
      </c>
      <c r="BC87" s="25">
        <v>0.58375634517766495</v>
      </c>
      <c r="BD87" s="25">
        <v>0.55714285714285716</v>
      </c>
      <c r="BE87" s="26">
        <v>4.4103332618785949</v>
      </c>
      <c r="BF87" s="25">
        <v>8.5714285714285715E-2</v>
      </c>
      <c r="BG87" s="25">
        <v>0.2857142857142857</v>
      </c>
      <c r="BH87" s="26">
        <v>1.1683482768323352</v>
      </c>
      <c r="BI87" s="26">
        <v>3.7387144858634729</v>
      </c>
      <c r="BJ87" s="26">
        <v>2.3452157598499062</v>
      </c>
      <c r="BK87" s="26">
        <v>2.4202223019003228</v>
      </c>
      <c r="BL87" s="26">
        <v>0.87465692417217267</v>
      </c>
      <c r="BM87" s="26">
        <v>0</v>
      </c>
      <c r="BN87" s="26">
        <v>13.215859030837004</v>
      </c>
      <c r="BO87" s="27" t="s">
        <v>189</v>
      </c>
      <c r="BP87" s="28"/>
      <c r="BQ87" s="48" t="s">
        <v>253</v>
      </c>
      <c r="BR87" s="35">
        <v>90.38</v>
      </c>
      <c r="BS87" s="35">
        <v>117.58</v>
      </c>
      <c r="BT87" s="35">
        <v>27.2</v>
      </c>
      <c r="BU87" s="35">
        <f t="shared" si="58"/>
        <v>6.4557142857142846</v>
      </c>
      <c r="BV87" s="35">
        <f t="shared" si="59"/>
        <v>8.3985714285714277</v>
      </c>
      <c r="BW87" s="35">
        <f t="shared" si="60"/>
        <v>1.9428571428571428</v>
      </c>
      <c r="BX87" s="36">
        <f t="shared" si="61"/>
        <v>29.068882337175022</v>
      </c>
      <c r="BY87" s="36">
        <f t="shared" si="62"/>
        <v>37.817207183060844</v>
      </c>
      <c r="BZ87" s="36">
        <f t="shared" si="63"/>
        <v>8.748324845885822</v>
      </c>
      <c r="CA87" s="48">
        <v>2</v>
      </c>
      <c r="CB87" s="48">
        <v>12</v>
      </c>
    </row>
    <row r="88" spans="1:80" x14ac:dyDescent="0.4">
      <c r="A88" s="21" t="s">
        <v>231</v>
      </c>
      <c r="B88" s="20" t="s">
        <v>193</v>
      </c>
      <c r="C88" s="20" t="s">
        <v>242</v>
      </c>
      <c r="D88" s="22">
        <v>6</v>
      </c>
      <c r="E88" s="22">
        <v>6</v>
      </c>
      <c r="F88" s="22">
        <v>23</v>
      </c>
      <c r="G88" s="23">
        <v>2298</v>
      </c>
      <c r="H88" s="23">
        <v>6</v>
      </c>
      <c r="I88" s="24">
        <f t="shared" si="37"/>
        <v>1</v>
      </c>
      <c r="J88" s="22">
        <v>2</v>
      </c>
      <c r="K88" s="22">
        <v>9</v>
      </c>
      <c r="L88" s="24">
        <f t="shared" si="54"/>
        <v>0.33333333333333331</v>
      </c>
      <c r="M88" s="24">
        <f t="shared" si="55"/>
        <v>1.5</v>
      </c>
      <c r="N88" s="25">
        <f t="shared" si="56"/>
        <v>0.22222222222222221</v>
      </c>
      <c r="O88" s="23">
        <v>2</v>
      </c>
      <c r="P88" s="22">
        <v>5</v>
      </c>
      <c r="Q88" s="24">
        <f t="shared" si="38"/>
        <v>0.33333333333333331</v>
      </c>
      <c r="R88" s="24">
        <f t="shared" si="39"/>
        <v>0.83333333333333337</v>
      </c>
      <c r="S88" s="25">
        <f t="shared" si="40"/>
        <v>0.4</v>
      </c>
      <c r="T88" s="22">
        <v>0</v>
      </c>
      <c r="U88" s="22">
        <v>4</v>
      </c>
      <c r="V88" s="24">
        <f t="shared" si="41"/>
        <v>0</v>
      </c>
      <c r="W88" s="24">
        <f t="shared" si="42"/>
        <v>0.66666666666666663</v>
      </c>
      <c r="X88" s="25">
        <f t="shared" si="43"/>
        <v>0</v>
      </c>
      <c r="Y88" s="22">
        <v>2</v>
      </c>
      <c r="Z88" s="22">
        <v>2</v>
      </c>
      <c r="AA88" s="24">
        <f t="shared" si="44"/>
        <v>0.33333333333333331</v>
      </c>
      <c r="AB88" s="24">
        <f t="shared" si="45"/>
        <v>0.33333333333333331</v>
      </c>
      <c r="AC88" s="25">
        <f t="shared" si="46"/>
        <v>1</v>
      </c>
      <c r="AD88" s="22">
        <v>7</v>
      </c>
      <c r="AE88" s="24">
        <f t="shared" si="47"/>
        <v>1.1666666666666667</v>
      </c>
      <c r="AF88" s="22">
        <v>5</v>
      </c>
      <c r="AG88" s="24">
        <f t="shared" si="48"/>
        <v>0.83333333333333337</v>
      </c>
      <c r="AH88" s="22">
        <v>2</v>
      </c>
      <c r="AI88" s="24">
        <f t="shared" si="49"/>
        <v>0.33333333333333331</v>
      </c>
      <c r="AJ88" s="22">
        <v>4</v>
      </c>
      <c r="AK88" s="24">
        <f t="shared" si="50"/>
        <v>0.66666666666666663</v>
      </c>
      <c r="AL88" s="33">
        <v>2</v>
      </c>
      <c r="AM88" s="24">
        <f t="shared" si="51"/>
        <v>0.33333333333333331</v>
      </c>
      <c r="AN88" s="10">
        <v>0</v>
      </c>
      <c r="AO88" s="24">
        <f t="shared" si="52"/>
        <v>0</v>
      </c>
      <c r="AP88" s="22">
        <v>3</v>
      </c>
      <c r="AQ88" s="24">
        <f t="shared" si="57"/>
        <v>0.5</v>
      </c>
      <c r="AR88" s="22">
        <v>7</v>
      </c>
      <c r="AS88" s="24">
        <f t="shared" si="53"/>
        <v>1.1666666666666667</v>
      </c>
      <c r="AT88" s="26">
        <v>-5.8260170847062483E-2</v>
      </c>
      <c r="AU88" s="26">
        <v>-6.0846131432963434E-2</v>
      </c>
      <c r="AV88" s="26">
        <v>-7.3246498502198679E-2</v>
      </c>
      <c r="AW88" s="26">
        <v>1.4986327655136196E-2</v>
      </c>
      <c r="AX88" s="26">
        <v>82.437813074296713</v>
      </c>
      <c r="AY88" s="26">
        <v>113.4215129938304</v>
      </c>
      <c r="AZ88" s="26">
        <v>0.14788041994565748</v>
      </c>
      <c r="BA88" s="26">
        <v>1.5</v>
      </c>
      <c r="BB88" s="26">
        <v>9.3994778067885125</v>
      </c>
      <c r="BC88" s="25">
        <v>0.30364372469635625</v>
      </c>
      <c r="BD88" s="25">
        <v>0.22222222222222221</v>
      </c>
      <c r="BE88" s="26">
        <v>1.7412448819387305</v>
      </c>
      <c r="BF88" s="25">
        <v>0.44444444444444442</v>
      </c>
      <c r="BG88" s="25">
        <v>0.22222222222222221</v>
      </c>
      <c r="BH88" s="26">
        <v>1.6259259309442158</v>
      </c>
      <c r="BI88" s="26">
        <v>0.65037037237768636</v>
      </c>
      <c r="BJ88" s="26">
        <v>1.0879025239338556</v>
      </c>
      <c r="BK88" s="26">
        <v>1.4343772412144393</v>
      </c>
      <c r="BL88" s="26">
        <v>2.8401609957235654</v>
      </c>
      <c r="BM88" s="26">
        <v>0</v>
      </c>
      <c r="BN88" s="26">
        <v>23.291925465838506</v>
      </c>
      <c r="BO88" s="27" t="s">
        <v>189</v>
      </c>
      <c r="BP88" s="28"/>
      <c r="BQ88" s="48" t="s">
        <v>255</v>
      </c>
      <c r="CA88">
        <v>0</v>
      </c>
      <c r="CB88">
        <v>6</v>
      </c>
    </row>
    <row r="89" spans="1:80" x14ac:dyDescent="0.4">
      <c r="A89" s="21" t="s">
        <v>231</v>
      </c>
      <c r="B89" s="17" t="s">
        <v>194</v>
      </c>
      <c r="C89" s="17" t="s">
        <v>157</v>
      </c>
      <c r="D89" s="22">
        <v>4</v>
      </c>
      <c r="E89" s="22">
        <v>6</v>
      </c>
      <c r="F89" s="22">
        <v>13</v>
      </c>
      <c r="G89" s="23">
        <v>1492</v>
      </c>
      <c r="H89" s="23">
        <v>7</v>
      </c>
      <c r="I89" s="24">
        <f t="shared" si="37"/>
        <v>1.75</v>
      </c>
      <c r="J89" s="22">
        <v>3</v>
      </c>
      <c r="K89" s="22">
        <v>7</v>
      </c>
      <c r="L89" s="24">
        <f t="shared" si="54"/>
        <v>0.75</v>
      </c>
      <c r="M89" s="24">
        <f t="shared" si="55"/>
        <v>1.75</v>
      </c>
      <c r="N89" s="25">
        <f t="shared" si="56"/>
        <v>0.42857142857142855</v>
      </c>
      <c r="O89" s="23">
        <v>3</v>
      </c>
      <c r="P89" s="22">
        <v>6</v>
      </c>
      <c r="Q89" s="24">
        <f t="shared" si="38"/>
        <v>0.75</v>
      </c>
      <c r="R89" s="24">
        <f t="shared" si="39"/>
        <v>1.5</v>
      </c>
      <c r="S89" s="25">
        <f t="shared" si="40"/>
        <v>0.5</v>
      </c>
      <c r="T89" s="22">
        <v>0</v>
      </c>
      <c r="U89" s="22">
        <v>1</v>
      </c>
      <c r="V89" s="24">
        <f t="shared" si="41"/>
        <v>0</v>
      </c>
      <c r="W89" s="24">
        <f t="shared" si="42"/>
        <v>0.25</v>
      </c>
      <c r="X89" s="25">
        <f t="shared" si="43"/>
        <v>0</v>
      </c>
      <c r="Y89" s="22">
        <v>1</v>
      </c>
      <c r="Z89" s="22">
        <v>2</v>
      </c>
      <c r="AA89" s="24">
        <f t="shared" si="44"/>
        <v>0.25</v>
      </c>
      <c r="AB89" s="24">
        <f t="shared" si="45"/>
        <v>0.5</v>
      </c>
      <c r="AC89" s="25">
        <f t="shared" si="46"/>
        <v>0.5</v>
      </c>
      <c r="AD89" s="22">
        <v>4</v>
      </c>
      <c r="AE89" s="24">
        <f t="shared" si="47"/>
        <v>1</v>
      </c>
      <c r="AF89" s="22">
        <v>2</v>
      </c>
      <c r="AG89" s="24">
        <f t="shared" si="48"/>
        <v>0.5</v>
      </c>
      <c r="AH89" s="22">
        <v>2</v>
      </c>
      <c r="AI89" s="24">
        <f t="shared" si="49"/>
        <v>0.5</v>
      </c>
      <c r="AJ89" s="22">
        <v>1</v>
      </c>
      <c r="AK89" s="24">
        <f t="shared" si="50"/>
        <v>0.25</v>
      </c>
      <c r="AL89" s="22">
        <v>0</v>
      </c>
      <c r="AM89" s="24">
        <f t="shared" si="51"/>
        <v>0</v>
      </c>
      <c r="AN89" s="9">
        <v>0</v>
      </c>
      <c r="AO89" s="24">
        <f t="shared" si="52"/>
        <v>0</v>
      </c>
      <c r="AP89" s="22">
        <v>0</v>
      </c>
      <c r="AQ89" s="24">
        <f t="shared" si="57"/>
        <v>0</v>
      </c>
      <c r="AR89" s="22">
        <v>4</v>
      </c>
      <c r="AS89" s="24">
        <f t="shared" si="53"/>
        <v>1</v>
      </c>
      <c r="AT89" s="26">
        <v>1.1231929258144162E-2</v>
      </c>
      <c r="AU89" s="26">
        <v>1.8067446527845837E-2</v>
      </c>
      <c r="AV89" s="26">
        <v>2.0580170173981466E-2</v>
      </c>
      <c r="AW89" s="26">
        <v>-9.3482409158373043E-3</v>
      </c>
      <c r="AX89" s="26">
        <v>109.75284371885519</v>
      </c>
      <c r="AY89" s="26">
        <v>120.35445123544362</v>
      </c>
      <c r="AZ89" s="26">
        <v>0.31874929241504996</v>
      </c>
      <c r="BA89" s="26">
        <v>1.75</v>
      </c>
      <c r="BB89" s="26">
        <v>11.260053619302949</v>
      </c>
      <c r="BC89" s="25">
        <v>0.44416243654822335</v>
      </c>
      <c r="BD89" s="25">
        <v>0.42857142857142855</v>
      </c>
      <c r="BE89" s="26">
        <v>1.0938559904347755</v>
      </c>
      <c r="BF89" s="25">
        <v>0.14285714285714285</v>
      </c>
      <c r="BG89" s="25">
        <v>0.2857142857142857</v>
      </c>
      <c r="BH89" s="26">
        <v>0.66780657539049293</v>
      </c>
      <c r="BI89" s="26">
        <v>0.66780657539049293</v>
      </c>
      <c r="BJ89" s="26">
        <v>0.63832503510787697</v>
      </c>
      <c r="BK89" s="26">
        <v>0.36964021685559384</v>
      </c>
      <c r="BL89" s="26">
        <v>0</v>
      </c>
      <c r="BM89" s="26">
        <v>0</v>
      </c>
      <c r="BN89" s="26">
        <v>0</v>
      </c>
      <c r="BO89" s="27" t="s">
        <v>189</v>
      </c>
      <c r="BP89" s="28"/>
      <c r="BQ89" s="17" t="s">
        <v>254</v>
      </c>
      <c r="BR89" s="35">
        <v>15.01</v>
      </c>
      <c r="BS89" s="35">
        <v>19.71</v>
      </c>
      <c r="BT89" s="35">
        <v>4.7</v>
      </c>
      <c r="BU89" s="35">
        <f t="shared" si="58"/>
        <v>3.7525000000000004</v>
      </c>
      <c r="BV89" s="35">
        <f t="shared" si="59"/>
        <v>4.9275000000000002</v>
      </c>
      <c r="BW89" s="35">
        <f t="shared" si="60"/>
        <v>1.175</v>
      </c>
      <c r="BX89" s="36">
        <f t="shared" si="61"/>
        <v>24.144772117962468</v>
      </c>
      <c r="BY89" s="36">
        <f t="shared" si="62"/>
        <v>31.705093833780161</v>
      </c>
      <c r="BZ89" s="36">
        <f t="shared" si="63"/>
        <v>7.5603217158176941</v>
      </c>
      <c r="CA89" s="48">
        <v>3</v>
      </c>
      <c r="CB89" s="48">
        <v>1</v>
      </c>
    </row>
    <row r="90" spans="1:80" x14ac:dyDescent="0.4">
      <c r="A90" s="21" t="s">
        <v>231</v>
      </c>
      <c r="B90" s="49" t="s">
        <v>194</v>
      </c>
      <c r="C90" s="17" t="s">
        <v>267</v>
      </c>
      <c r="D90" s="22">
        <v>29</v>
      </c>
      <c r="E90" s="22">
        <v>14</v>
      </c>
      <c r="F90" s="22">
        <v>33</v>
      </c>
      <c r="G90" s="23">
        <v>25317</v>
      </c>
      <c r="H90" s="23">
        <v>144</v>
      </c>
      <c r="I90" s="24">
        <f t="shared" si="37"/>
        <v>4.9655172413793105</v>
      </c>
      <c r="J90" s="22">
        <v>49</v>
      </c>
      <c r="K90" s="22">
        <v>107</v>
      </c>
      <c r="L90" s="24">
        <f t="shared" si="54"/>
        <v>1.6896551724137931</v>
      </c>
      <c r="M90" s="24">
        <f t="shared" si="55"/>
        <v>3.6896551724137931</v>
      </c>
      <c r="N90" s="25">
        <f t="shared" si="56"/>
        <v>0.45794392523364486</v>
      </c>
      <c r="O90" s="23">
        <v>10</v>
      </c>
      <c r="P90" s="22">
        <v>27</v>
      </c>
      <c r="Q90" s="24">
        <f t="shared" si="38"/>
        <v>0.34482758620689657</v>
      </c>
      <c r="R90" s="24">
        <f t="shared" si="39"/>
        <v>0.93103448275862066</v>
      </c>
      <c r="S90" s="25">
        <f t="shared" si="40"/>
        <v>0.37037037037037035</v>
      </c>
      <c r="T90" s="22">
        <v>39</v>
      </c>
      <c r="U90" s="22">
        <v>80</v>
      </c>
      <c r="V90" s="24">
        <f t="shared" si="41"/>
        <v>1.3448275862068966</v>
      </c>
      <c r="W90" s="24">
        <f t="shared" si="42"/>
        <v>2.7586206896551726</v>
      </c>
      <c r="X90" s="25">
        <f t="shared" si="43"/>
        <v>0.48749999999999999</v>
      </c>
      <c r="Y90" s="22">
        <v>7</v>
      </c>
      <c r="Z90" s="22">
        <v>10</v>
      </c>
      <c r="AA90" s="24">
        <f t="shared" si="44"/>
        <v>0.2413793103448276</v>
      </c>
      <c r="AB90" s="24">
        <f t="shared" si="45"/>
        <v>0.34482758620689657</v>
      </c>
      <c r="AC90" s="25">
        <f t="shared" si="46"/>
        <v>0.7</v>
      </c>
      <c r="AD90" s="22">
        <v>33</v>
      </c>
      <c r="AE90" s="24">
        <f t="shared" si="47"/>
        <v>1.1379310344827587</v>
      </c>
      <c r="AF90" s="22">
        <v>4</v>
      </c>
      <c r="AG90" s="24">
        <f t="shared" si="48"/>
        <v>0.13793103448275862</v>
      </c>
      <c r="AH90" s="22">
        <v>29</v>
      </c>
      <c r="AI90" s="24">
        <f t="shared" si="49"/>
        <v>1</v>
      </c>
      <c r="AJ90" s="22">
        <v>46</v>
      </c>
      <c r="AK90" s="24">
        <f t="shared" si="50"/>
        <v>1.5862068965517242</v>
      </c>
      <c r="AL90" s="22">
        <v>13</v>
      </c>
      <c r="AM90" s="24">
        <f t="shared" si="51"/>
        <v>0.44827586206896552</v>
      </c>
      <c r="AN90" s="10">
        <v>0</v>
      </c>
      <c r="AO90" s="24">
        <f t="shared" si="52"/>
        <v>0</v>
      </c>
      <c r="AP90" s="22">
        <v>33</v>
      </c>
      <c r="AQ90" s="24">
        <f t="shared" si="57"/>
        <v>1.1379310344827587</v>
      </c>
      <c r="AR90" s="22">
        <v>37</v>
      </c>
      <c r="AS90" s="24">
        <f t="shared" si="53"/>
        <v>1.2758620689655173</v>
      </c>
      <c r="AT90" s="26">
        <v>0.32476924133300877</v>
      </c>
      <c r="AU90" s="26">
        <v>3.0787462147933053E-2</v>
      </c>
      <c r="AV90" s="26">
        <v>0.34121462251490087</v>
      </c>
      <c r="AW90" s="26">
        <v>-1.6445381181892121E-2</v>
      </c>
      <c r="AX90" s="26">
        <v>108.51367049526708</v>
      </c>
      <c r="AY90" s="26">
        <v>117.20022797340829</v>
      </c>
      <c r="AZ90" s="26">
        <v>4.1506665557958353</v>
      </c>
      <c r="BA90" s="26">
        <v>4.8965517241379306</v>
      </c>
      <c r="BB90" s="26">
        <v>13.461310581822492</v>
      </c>
      <c r="BC90" s="25">
        <v>0.64631956912028721</v>
      </c>
      <c r="BD90" s="25">
        <v>0.64018691588785048</v>
      </c>
      <c r="BE90" s="26">
        <v>8.5643757554621622</v>
      </c>
      <c r="BF90" s="25">
        <v>0.74766355140186913</v>
      </c>
      <c r="BG90" s="25">
        <v>9.3457943925233641E-2</v>
      </c>
      <c r="BH90" s="26">
        <v>0.57065716522486565</v>
      </c>
      <c r="BI90" s="26">
        <v>4.137264447880276</v>
      </c>
      <c r="BJ90" s="26">
        <v>2.2500409098347243</v>
      </c>
      <c r="BK90" s="26">
        <v>7.7807848443843026</v>
      </c>
      <c r="BL90" s="26">
        <v>1.6756916219584823</v>
      </c>
      <c r="BM90" s="26">
        <v>0</v>
      </c>
      <c r="BN90" s="26">
        <v>22.853185595567865</v>
      </c>
      <c r="BO90" s="27" t="s">
        <v>189</v>
      </c>
      <c r="BP90" s="28"/>
      <c r="BQ90" s="17" t="s">
        <v>253</v>
      </c>
      <c r="BR90" s="35">
        <v>263.73</v>
      </c>
      <c r="BS90" s="35">
        <v>369.53</v>
      </c>
      <c r="BT90" s="35">
        <v>105.8</v>
      </c>
      <c r="BU90" s="35">
        <f t="shared" si="58"/>
        <v>9.0941379310344814</v>
      </c>
      <c r="BV90" s="35">
        <f t="shared" si="59"/>
        <v>12.742413793103447</v>
      </c>
      <c r="BW90" s="35">
        <f t="shared" si="60"/>
        <v>3.6482758620689655</v>
      </c>
      <c r="BX90" s="36">
        <f t="shared" si="61"/>
        <v>25.001066477070736</v>
      </c>
      <c r="BY90" s="36">
        <f t="shared" si="62"/>
        <v>35.030690840146931</v>
      </c>
      <c r="BZ90" s="36">
        <f t="shared" si="63"/>
        <v>10.029624363076193</v>
      </c>
      <c r="CA90" s="48">
        <v>12</v>
      </c>
      <c r="CB90" s="48">
        <v>17</v>
      </c>
    </row>
    <row r="91" spans="1:80" x14ac:dyDescent="0.4">
      <c r="A91" s="21" t="s">
        <v>231</v>
      </c>
      <c r="B91" s="51" t="s">
        <v>194</v>
      </c>
      <c r="C91" s="51" t="s">
        <v>268</v>
      </c>
      <c r="D91" s="22">
        <v>40</v>
      </c>
      <c r="E91" s="22">
        <v>13</v>
      </c>
      <c r="F91" s="22">
        <v>16</v>
      </c>
      <c r="G91" s="23">
        <v>31840</v>
      </c>
      <c r="H91" s="23">
        <v>143</v>
      </c>
      <c r="I91" s="24">
        <f t="shared" si="37"/>
        <v>3.5750000000000002</v>
      </c>
      <c r="J91" s="22">
        <v>43</v>
      </c>
      <c r="K91" s="22">
        <v>125</v>
      </c>
      <c r="L91" s="24">
        <f t="shared" si="54"/>
        <v>1.075</v>
      </c>
      <c r="M91" s="24">
        <f t="shared" si="55"/>
        <v>3.125</v>
      </c>
      <c r="N91" s="25">
        <f t="shared" si="56"/>
        <v>0.34399999999999997</v>
      </c>
      <c r="O91" s="23">
        <v>23</v>
      </c>
      <c r="P91" s="22">
        <v>65</v>
      </c>
      <c r="Q91" s="24">
        <f t="shared" si="38"/>
        <v>0.57499999999999996</v>
      </c>
      <c r="R91" s="24">
        <f t="shared" si="39"/>
        <v>1.625</v>
      </c>
      <c r="S91" s="25">
        <f t="shared" si="40"/>
        <v>0.35384615384615387</v>
      </c>
      <c r="T91" s="22">
        <v>20</v>
      </c>
      <c r="U91" s="22">
        <v>60</v>
      </c>
      <c r="V91" s="24">
        <f t="shared" si="41"/>
        <v>0.5</v>
      </c>
      <c r="W91" s="24">
        <f t="shared" si="42"/>
        <v>1.5</v>
      </c>
      <c r="X91" s="25">
        <f t="shared" si="43"/>
        <v>0.33333333333333331</v>
      </c>
      <c r="Y91" s="22">
        <v>37</v>
      </c>
      <c r="Z91" s="22">
        <v>45</v>
      </c>
      <c r="AA91" s="24">
        <f t="shared" si="44"/>
        <v>0.92500000000000004</v>
      </c>
      <c r="AB91" s="24">
        <f t="shared" si="45"/>
        <v>1.125</v>
      </c>
      <c r="AC91" s="25">
        <f t="shared" si="46"/>
        <v>0.82222222222222219</v>
      </c>
      <c r="AD91" s="22">
        <v>52</v>
      </c>
      <c r="AE91" s="24">
        <f t="shared" si="47"/>
        <v>1.3</v>
      </c>
      <c r="AF91" s="22">
        <v>21</v>
      </c>
      <c r="AG91" s="24">
        <f t="shared" si="48"/>
        <v>0.52500000000000002</v>
      </c>
      <c r="AH91" s="22">
        <v>31</v>
      </c>
      <c r="AI91" s="24">
        <f t="shared" si="49"/>
        <v>0.77500000000000002</v>
      </c>
      <c r="AJ91" s="22">
        <v>60</v>
      </c>
      <c r="AK91" s="24">
        <f t="shared" si="50"/>
        <v>1.5</v>
      </c>
      <c r="AL91" s="22">
        <v>16</v>
      </c>
      <c r="AM91" s="24">
        <f t="shared" si="51"/>
        <v>0.4</v>
      </c>
      <c r="AN91" s="10">
        <v>0</v>
      </c>
      <c r="AO91" s="24">
        <f t="shared" si="52"/>
        <v>0</v>
      </c>
      <c r="AP91" s="22">
        <v>20</v>
      </c>
      <c r="AQ91" s="24">
        <f t="shared" si="57"/>
        <v>0.5</v>
      </c>
      <c r="AR91" s="22">
        <v>55</v>
      </c>
      <c r="AS91" s="24">
        <f t="shared" si="53"/>
        <v>1.375</v>
      </c>
      <c r="AT91" s="26">
        <v>0.45371793468170241</v>
      </c>
      <c r="AU91" s="26">
        <v>3.4199844322741389E-2</v>
      </c>
      <c r="AV91" s="26">
        <v>0.50275528175442841</v>
      </c>
      <c r="AW91" s="26">
        <v>-4.9037347072726001E-2</v>
      </c>
      <c r="AX91" s="26">
        <v>110.77032163541809</v>
      </c>
      <c r="AY91" s="26">
        <v>117.70039889756632</v>
      </c>
      <c r="AZ91" s="26">
        <v>4.6234344843136386</v>
      </c>
      <c r="BA91" s="26">
        <v>4.0250000000000004</v>
      </c>
      <c r="BB91" s="26">
        <v>12.135678391959798</v>
      </c>
      <c r="BC91" s="25">
        <v>0.49378453038674031</v>
      </c>
      <c r="BD91" s="25">
        <v>0.42399999999999999</v>
      </c>
      <c r="BE91" s="26">
        <v>10.7198054476733</v>
      </c>
      <c r="BF91" s="25">
        <v>0.48</v>
      </c>
      <c r="BG91" s="25">
        <v>0.36</v>
      </c>
      <c r="BH91" s="26">
        <v>3.2857593624583736</v>
      </c>
      <c r="BI91" s="26">
        <v>4.8504066779147426</v>
      </c>
      <c r="BJ91" s="26">
        <v>3.8884900693945919</v>
      </c>
      <c r="BK91" s="26">
        <v>11.096042411539884</v>
      </c>
      <c r="BL91" s="26">
        <v>1.6398718512996866</v>
      </c>
      <c r="BM91" s="26">
        <v>0</v>
      </c>
      <c r="BN91" s="26">
        <v>12.135922330097086</v>
      </c>
      <c r="BO91" s="27" t="s">
        <v>189</v>
      </c>
      <c r="BP91" s="27"/>
      <c r="BQ91" s="17" t="s">
        <v>253</v>
      </c>
      <c r="BR91" s="35">
        <v>331.19</v>
      </c>
      <c r="BS91" s="35">
        <v>445.59</v>
      </c>
      <c r="BT91" s="35">
        <v>114.4</v>
      </c>
      <c r="BU91" s="35">
        <f t="shared" si="58"/>
        <v>8.2797499999999999</v>
      </c>
      <c r="BV91" s="35">
        <f t="shared" si="59"/>
        <v>11.139749999999999</v>
      </c>
      <c r="BW91" s="35">
        <f t="shared" si="60"/>
        <v>2.8600000000000003</v>
      </c>
      <c r="BX91" s="36">
        <f t="shared" si="61"/>
        <v>24.964070351758796</v>
      </c>
      <c r="BY91" s="36">
        <f t="shared" si="62"/>
        <v>33.587185929648243</v>
      </c>
      <c r="BZ91" s="36">
        <f t="shared" si="63"/>
        <v>8.6231155778894468</v>
      </c>
      <c r="CA91" s="50">
        <v>15</v>
      </c>
      <c r="CB91" s="50">
        <v>25</v>
      </c>
    </row>
    <row r="92" spans="1:80" x14ac:dyDescent="0.4">
      <c r="A92" s="21" t="s">
        <v>231</v>
      </c>
      <c r="B92" s="49" t="s">
        <v>194</v>
      </c>
      <c r="C92" s="17" t="s">
        <v>269</v>
      </c>
      <c r="D92" s="22">
        <v>2</v>
      </c>
      <c r="E92" s="22">
        <v>4</v>
      </c>
      <c r="F92" s="22">
        <v>36</v>
      </c>
      <c r="G92" s="23">
        <v>552</v>
      </c>
      <c r="H92" s="23">
        <v>3</v>
      </c>
      <c r="I92" s="24">
        <f t="shared" si="37"/>
        <v>1.5</v>
      </c>
      <c r="J92" s="22">
        <v>1</v>
      </c>
      <c r="K92" s="22">
        <v>4</v>
      </c>
      <c r="L92" s="24">
        <f t="shared" si="54"/>
        <v>0.5</v>
      </c>
      <c r="M92" s="24">
        <f t="shared" si="55"/>
        <v>2</v>
      </c>
      <c r="N92" s="25">
        <f t="shared" si="56"/>
        <v>0.25</v>
      </c>
      <c r="O92" s="23">
        <v>0</v>
      </c>
      <c r="P92" s="22">
        <v>0</v>
      </c>
      <c r="Q92" s="24">
        <f t="shared" si="38"/>
        <v>0</v>
      </c>
      <c r="R92" s="24">
        <f t="shared" si="39"/>
        <v>0</v>
      </c>
      <c r="S92" s="25" t="e">
        <f t="shared" si="40"/>
        <v>#DIV/0!</v>
      </c>
      <c r="T92" s="22">
        <v>1</v>
      </c>
      <c r="U92" s="22">
        <v>4</v>
      </c>
      <c r="V92" s="24">
        <f t="shared" si="41"/>
        <v>0.5</v>
      </c>
      <c r="W92" s="24">
        <f t="shared" si="42"/>
        <v>2</v>
      </c>
      <c r="X92" s="25">
        <f t="shared" si="43"/>
        <v>0.25</v>
      </c>
      <c r="Y92" s="22">
        <v>0</v>
      </c>
      <c r="Z92" s="22">
        <v>0</v>
      </c>
      <c r="AA92" s="24">
        <f t="shared" si="44"/>
        <v>0</v>
      </c>
      <c r="AB92" s="24">
        <f t="shared" si="45"/>
        <v>0</v>
      </c>
      <c r="AC92" s="25" t="e">
        <f t="shared" si="46"/>
        <v>#DIV/0!</v>
      </c>
      <c r="AD92" s="22">
        <v>1</v>
      </c>
      <c r="AE92" s="24">
        <f t="shared" si="47"/>
        <v>0.5</v>
      </c>
      <c r="AF92" s="22">
        <v>0</v>
      </c>
      <c r="AG92" s="24">
        <f t="shared" si="48"/>
        <v>0</v>
      </c>
      <c r="AH92" s="22">
        <v>1</v>
      </c>
      <c r="AI92" s="24">
        <f t="shared" si="49"/>
        <v>0.5</v>
      </c>
      <c r="AJ92" s="22">
        <v>0</v>
      </c>
      <c r="AK92" s="24">
        <f t="shared" si="50"/>
        <v>0</v>
      </c>
      <c r="AL92" s="22">
        <v>0</v>
      </c>
      <c r="AM92" s="24">
        <f t="shared" si="51"/>
        <v>0</v>
      </c>
      <c r="AN92" s="10">
        <v>0</v>
      </c>
      <c r="AO92" s="24">
        <f t="shared" si="52"/>
        <v>0</v>
      </c>
      <c r="AP92" s="22">
        <v>0</v>
      </c>
      <c r="AQ92" s="24">
        <f t="shared" si="57"/>
        <v>0</v>
      </c>
      <c r="AR92" s="22">
        <v>2</v>
      </c>
      <c r="AS92" s="24">
        <f t="shared" si="53"/>
        <v>1</v>
      </c>
      <c r="AT92" s="26">
        <v>7.9918790831182106E-3</v>
      </c>
      <c r="AU92" s="26">
        <v>3.4747300361383529E-2</v>
      </c>
      <c r="AV92" s="26">
        <v>1.0047869870884079E-2</v>
      </c>
      <c r="AW92" s="26">
        <v>-2.0559907877658692E-3</v>
      </c>
      <c r="AX92" s="26">
        <v>115.54818453337707</v>
      </c>
      <c r="AY92" s="26">
        <v>118.92732430270647</v>
      </c>
      <c r="AZ92" s="26">
        <v>-9.2601141168836665E-2</v>
      </c>
      <c r="BA92" s="26">
        <v>0.5</v>
      </c>
      <c r="BB92" s="26">
        <v>4.3478260869565224</v>
      </c>
      <c r="BC92" s="25">
        <v>0.375</v>
      </c>
      <c r="BD92" s="25">
        <v>0.375</v>
      </c>
      <c r="BE92" s="26">
        <v>0.75040146478365932</v>
      </c>
      <c r="BF92" s="25">
        <v>1</v>
      </c>
      <c r="BG92" s="25">
        <v>0</v>
      </c>
      <c r="BH92" s="26">
        <v>0</v>
      </c>
      <c r="BI92" s="26">
        <v>0.45125335619683671</v>
      </c>
      <c r="BJ92" s="26">
        <v>0.21566597653554176</v>
      </c>
      <c r="BK92" s="26">
        <v>0</v>
      </c>
      <c r="BL92" s="26">
        <v>0</v>
      </c>
      <c r="BM92" s="26">
        <v>0</v>
      </c>
      <c r="BN92" s="26">
        <v>0</v>
      </c>
      <c r="BO92" s="27" t="s">
        <v>189</v>
      </c>
      <c r="BP92" s="28"/>
      <c r="BQ92" s="17" t="s">
        <v>253</v>
      </c>
      <c r="BR92" s="35">
        <v>3.6</v>
      </c>
      <c r="BS92" s="35">
        <v>6.3</v>
      </c>
      <c r="BT92" s="35">
        <v>2.7</v>
      </c>
      <c r="BU92" s="35">
        <f t="shared" si="58"/>
        <v>1.7999999999999998</v>
      </c>
      <c r="BV92" s="35">
        <f t="shared" si="59"/>
        <v>3.15</v>
      </c>
      <c r="BW92" s="35">
        <f t="shared" si="60"/>
        <v>1.35</v>
      </c>
      <c r="BX92" s="36">
        <f t="shared" si="61"/>
        <v>15.652173913043477</v>
      </c>
      <c r="BY92" s="36">
        <f t="shared" si="62"/>
        <v>27.391304347826086</v>
      </c>
      <c r="BZ92" s="36">
        <f t="shared" si="63"/>
        <v>11.739130434782609</v>
      </c>
      <c r="CA92" s="48">
        <v>1</v>
      </c>
      <c r="CB92" s="48">
        <v>1</v>
      </c>
    </row>
    <row r="93" spans="1:80" x14ac:dyDescent="0.4">
      <c r="A93" s="21" t="s">
        <v>231</v>
      </c>
      <c r="B93" s="17" t="s">
        <v>194</v>
      </c>
      <c r="C93" s="17" t="s">
        <v>67</v>
      </c>
      <c r="D93" s="22">
        <v>8</v>
      </c>
      <c r="E93" s="22">
        <v>11</v>
      </c>
      <c r="F93" s="22">
        <v>51</v>
      </c>
      <c r="G93" s="23">
        <v>5688</v>
      </c>
      <c r="H93" s="23">
        <v>34</v>
      </c>
      <c r="I93" s="24">
        <f t="shared" si="37"/>
        <v>4.25</v>
      </c>
      <c r="J93" s="22">
        <v>14</v>
      </c>
      <c r="K93" s="22">
        <v>29</v>
      </c>
      <c r="L93" s="24">
        <f t="shared" si="54"/>
        <v>1.75</v>
      </c>
      <c r="M93" s="24">
        <f t="shared" si="55"/>
        <v>3.625</v>
      </c>
      <c r="N93" s="25">
        <f t="shared" si="56"/>
        <v>0.48275862068965519</v>
      </c>
      <c r="O93" s="23">
        <v>9</v>
      </c>
      <c r="P93" s="22">
        <v>13</v>
      </c>
      <c r="Q93" s="24">
        <f t="shared" si="38"/>
        <v>1.125</v>
      </c>
      <c r="R93" s="24">
        <f t="shared" si="39"/>
        <v>1.625</v>
      </c>
      <c r="S93" s="25">
        <f t="shared" si="40"/>
        <v>0.69230769230769229</v>
      </c>
      <c r="T93" s="22">
        <v>5</v>
      </c>
      <c r="U93" s="22">
        <v>16</v>
      </c>
      <c r="V93" s="24">
        <f t="shared" si="41"/>
        <v>0.625</v>
      </c>
      <c r="W93" s="24">
        <f t="shared" si="42"/>
        <v>2</v>
      </c>
      <c r="X93" s="25">
        <f t="shared" si="43"/>
        <v>0.3125</v>
      </c>
      <c r="Y93" s="22">
        <v>1</v>
      </c>
      <c r="Z93" s="22">
        <v>3</v>
      </c>
      <c r="AA93" s="24">
        <f t="shared" si="44"/>
        <v>0.125</v>
      </c>
      <c r="AB93" s="24">
        <f t="shared" si="45"/>
        <v>0.375</v>
      </c>
      <c r="AC93" s="25">
        <f t="shared" si="46"/>
        <v>0.33333333333333331</v>
      </c>
      <c r="AD93" s="22">
        <v>5</v>
      </c>
      <c r="AE93" s="24">
        <f t="shared" si="47"/>
        <v>0.625</v>
      </c>
      <c r="AF93" s="22">
        <v>2</v>
      </c>
      <c r="AG93" s="24">
        <f t="shared" si="48"/>
        <v>0.25</v>
      </c>
      <c r="AH93" s="22">
        <v>3</v>
      </c>
      <c r="AI93" s="24">
        <f t="shared" si="49"/>
        <v>0.375</v>
      </c>
      <c r="AJ93" s="22">
        <v>1</v>
      </c>
      <c r="AK93" s="24">
        <f t="shared" si="50"/>
        <v>0.125</v>
      </c>
      <c r="AL93" s="22">
        <v>5</v>
      </c>
      <c r="AM93" s="24">
        <f t="shared" si="51"/>
        <v>0.625</v>
      </c>
      <c r="AN93" s="10">
        <v>0</v>
      </c>
      <c r="AO93" s="24">
        <f t="shared" si="52"/>
        <v>0</v>
      </c>
      <c r="AP93" s="22">
        <v>3</v>
      </c>
      <c r="AQ93" s="24">
        <f t="shared" si="57"/>
        <v>0.375</v>
      </c>
      <c r="AR93" s="22">
        <v>10</v>
      </c>
      <c r="AS93" s="24">
        <f t="shared" si="53"/>
        <v>1.25</v>
      </c>
      <c r="AT93" s="26">
        <v>4.582975439557084E-2</v>
      </c>
      <c r="AU93" s="26">
        <v>1.9337449112055208E-2</v>
      </c>
      <c r="AV93" s="26">
        <v>3.7835045079796376E-2</v>
      </c>
      <c r="AW93" s="26">
        <v>7.9947093157744613E-3</v>
      </c>
      <c r="AX93" s="26">
        <v>104.43187172252128</v>
      </c>
      <c r="AY93" s="26">
        <v>116.04597166031441</v>
      </c>
      <c r="AZ93" s="26">
        <v>1.0249746445182979</v>
      </c>
      <c r="BA93" s="26">
        <v>3.125</v>
      </c>
      <c r="BB93" s="26">
        <v>10.548523206751055</v>
      </c>
      <c r="BC93" s="25">
        <v>0.56068601583113453</v>
      </c>
      <c r="BD93" s="25">
        <v>0.56896551724137934</v>
      </c>
      <c r="BE93" s="26">
        <v>2.4264880445215411</v>
      </c>
      <c r="BF93" s="25">
        <v>0.55172413793103448</v>
      </c>
      <c r="BG93" s="25">
        <v>0.10344827586206896</v>
      </c>
      <c r="BH93" s="26">
        <v>0.35034015839754412</v>
      </c>
      <c r="BI93" s="26">
        <v>0.52551023759631621</v>
      </c>
      <c r="BJ93" s="26">
        <v>0.41859219074408949</v>
      </c>
      <c r="BK93" s="26">
        <v>0.1970831690973591</v>
      </c>
      <c r="BL93" s="26">
        <v>2.8686225246891497</v>
      </c>
      <c r="BM93" s="26">
        <v>0</v>
      </c>
      <c r="BN93" s="26">
        <v>9.0036014405762312</v>
      </c>
      <c r="BO93" s="27" t="s">
        <v>189</v>
      </c>
      <c r="BP93" s="28"/>
      <c r="BQ93" s="17" t="s">
        <v>255</v>
      </c>
      <c r="BR93" s="35">
        <v>53.19</v>
      </c>
      <c r="BS93" s="35">
        <v>73.19</v>
      </c>
      <c r="BT93" s="35">
        <v>20</v>
      </c>
      <c r="BU93" s="35">
        <f t="shared" si="58"/>
        <v>6.6487499999999997</v>
      </c>
      <c r="BV93" s="35">
        <f t="shared" si="59"/>
        <v>9.1487499999999997</v>
      </c>
      <c r="BW93" s="35">
        <f t="shared" si="60"/>
        <v>2.5</v>
      </c>
      <c r="BX93" s="36">
        <f t="shared" si="61"/>
        <v>22.443037974683545</v>
      </c>
      <c r="BY93" s="36">
        <f t="shared" si="62"/>
        <v>30.881856540084389</v>
      </c>
      <c r="BZ93" s="36">
        <f t="shared" si="63"/>
        <v>8.4388185654008439</v>
      </c>
      <c r="CA93" s="48">
        <v>3</v>
      </c>
      <c r="CB93" s="48">
        <v>5</v>
      </c>
    </row>
    <row r="94" spans="1:80" x14ac:dyDescent="0.4">
      <c r="A94" s="21" t="s">
        <v>231</v>
      </c>
      <c r="B94" s="51" t="s">
        <v>194</v>
      </c>
      <c r="C94" s="51" t="s">
        <v>273</v>
      </c>
      <c r="D94" s="22">
        <v>21</v>
      </c>
      <c r="E94" s="22">
        <v>16</v>
      </c>
      <c r="F94" s="22">
        <v>36</v>
      </c>
      <c r="G94" s="23">
        <v>20916</v>
      </c>
      <c r="H94" s="23">
        <v>112</v>
      </c>
      <c r="I94" s="24">
        <f t="shared" si="37"/>
        <v>5.333333333333333</v>
      </c>
      <c r="J94" s="22">
        <v>42</v>
      </c>
      <c r="K94" s="22">
        <v>85</v>
      </c>
      <c r="L94" s="24">
        <f t="shared" si="54"/>
        <v>2</v>
      </c>
      <c r="M94" s="24">
        <f t="shared" si="55"/>
        <v>4.0476190476190474</v>
      </c>
      <c r="N94" s="25">
        <f t="shared" si="56"/>
        <v>0.49411764705882355</v>
      </c>
      <c r="O94" s="23">
        <v>42</v>
      </c>
      <c r="P94" s="22">
        <v>83</v>
      </c>
      <c r="Q94" s="24">
        <f t="shared" si="38"/>
        <v>2</v>
      </c>
      <c r="R94" s="24">
        <f t="shared" si="39"/>
        <v>3.9523809523809526</v>
      </c>
      <c r="S94" s="25">
        <f t="shared" si="40"/>
        <v>0.50602409638554213</v>
      </c>
      <c r="T94" s="22">
        <v>0</v>
      </c>
      <c r="U94" s="22">
        <v>2</v>
      </c>
      <c r="V94" s="24">
        <f t="shared" si="41"/>
        <v>0</v>
      </c>
      <c r="W94" s="24">
        <f t="shared" si="42"/>
        <v>9.5238095238095233E-2</v>
      </c>
      <c r="X94" s="25">
        <f t="shared" si="43"/>
        <v>0</v>
      </c>
      <c r="Y94" s="22">
        <v>28</v>
      </c>
      <c r="Z94" s="22">
        <v>41</v>
      </c>
      <c r="AA94" s="24">
        <f t="shared" si="44"/>
        <v>1.3333333333333333</v>
      </c>
      <c r="AB94" s="24">
        <f t="shared" si="45"/>
        <v>1.9523809523809523</v>
      </c>
      <c r="AC94" s="25">
        <f t="shared" si="46"/>
        <v>0.68292682926829273</v>
      </c>
      <c r="AD94" s="22">
        <v>101</v>
      </c>
      <c r="AE94" s="24">
        <f t="shared" si="47"/>
        <v>4.8095238095238093</v>
      </c>
      <c r="AF94" s="22">
        <v>42</v>
      </c>
      <c r="AG94" s="24">
        <f t="shared" si="48"/>
        <v>2</v>
      </c>
      <c r="AH94" s="22">
        <v>59</v>
      </c>
      <c r="AI94" s="24">
        <f t="shared" si="49"/>
        <v>2.8095238095238093</v>
      </c>
      <c r="AJ94" s="22">
        <v>13</v>
      </c>
      <c r="AK94" s="24">
        <f t="shared" si="50"/>
        <v>0.61904761904761907</v>
      </c>
      <c r="AL94" s="22">
        <v>6</v>
      </c>
      <c r="AM94" s="24">
        <f t="shared" si="51"/>
        <v>0.2857142857142857</v>
      </c>
      <c r="AN94" s="10">
        <v>10</v>
      </c>
      <c r="AO94" s="24">
        <f t="shared" si="52"/>
        <v>0.47619047619047616</v>
      </c>
      <c r="AP94" s="22">
        <v>20</v>
      </c>
      <c r="AQ94" s="24">
        <f t="shared" si="57"/>
        <v>0.95238095238095233</v>
      </c>
      <c r="AR94" s="22">
        <v>27</v>
      </c>
      <c r="AS94" s="24">
        <f t="shared" si="53"/>
        <v>1.2857142857142858</v>
      </c>
      <c r="AT94" s="26">
        <v>0.43755441568059761</v>
      </c>
      <c r="AU94" s="26">
        <v>5.0207047123419113E-2</v>
      </c>
      <c r="AV94" s="26">
        <v>0.29008170535320016</v>
      </c>
      <c r="AW94" s="26">
        <v>0.14747271032739742</v>
      </c>
      <c r="AX94" s="26">
        <v>108.12638635969299</v>
      </c>
      <c r="AY94" s="26">
        <v>112.87536237010923</v>
      </c>
      <c r="AZ94" s="26">
        <v>4.0333406577461091</v>
      </c>
      <c r="BA94" s="26">
        <v>7.9047619047619051</v>
      </c>
      <c r="BB94" s="26">
        <v>19.047619047619047</v>
      </c>
      <c r="BC94" s="25">
        <v>0.5434782608695653</v>
      </c>
      <c r="BD94" s="25">
        <v>0.49411764705882355</v>
      </c>
      <c r="BE94" s="26">
        <v>6.3963135940378697</v>
      </c>
      <c r="BF94" s="25">
        <v>2.3529411764705882E-2</v>
      </c>
      <c r="BG94" s="25">
        <v>0.4823529411764706</v>
      </c>
      <c r="BH94" s="26">
        <v>5.2519366516402926</v>
      </c>
      <c r="BI94" s="26">
        <v>7.3777205344470769</v>
      </c>
      <c r="BJ94" s="26">
        <v>6.036048957735705</v>
      </c>
      <c r="BK94" s="26">
        <v>1.8884369552585707</v>
      </c>
      <c r="BL94" s="26">
        <v>0.93612879635294799</v>
      </c>
      <c r="BM94" s="26">
        <v>1.0128787533488304</v>
      </c>
      <c r="BN94" s="26">
        <v>16.254876462938881</v>
      </c>
      <c r="BO94" s="27" t="s">
        <v>232</v>
      </c>
      <c r="BP94" s="28"/>
      <c r="BQ94" s="17" t="s">
        <v>253</v>
      </c>
      <c r="BR94" s="35">
        <v>207.75</v>
      </c>
      <c r="BS94" s="35">
        <v>310.14999999999998</v>
      </c>
      <c r="BT94" s="35">
        <v>102.4</v>
      </c>
      <c r="BU94" s="35">
        <f t="shared" si="58"/>
        <v>9.8928571428571406</v>
      </c>
      <c r="BV94" s="35">
        <f t="shared" si="59"/>
        <v>14.769047619047617</v>
      </c>
      <c r="BW94" s="35">
        <f t="shared" si="60"/>
        <v>4.8761904761904766</v>
      </c>
      <c r="BX94" s="36">
        <f t="shared" si="61"/>
        <v>23.8382099827883</v>
      </c>
      <c r="BY94" s="36">
        <f t="shared" si="62"/>
        <v>35.588066551921976</v>
      </c>
      <c r="BZ94" s="36">
        <f t="shared" si="63"/>
        <v>11.749856569133678</v>
      </c>
      <c r="CA94" s="50">
        <v>7</v>
      </c>
      <c r="CB94" s="50">
        <v>14</v>
      </c>
    </row>
    <row r="95" spans="1:80" x14ac:dyDescent="0.4">
      <c r="A95" s="21" t="s">
        <v>231</v>
      </c>
      <c r="B95" s="17" t="s">
        <v>194</v>
      </c>
      <c r="C95" s="17" t="s">
        <v>199</v>
      </c>
      <c r="D95" s="22">
        <v>33</v>
      </c>
      <c r="E95" s="22">
        <v>11</v>
      </c>
      <c r="F95" s="22">
        <v>39</v>
      </c>
      <c r="G95" s="23">
        <v>23067</v>
      </c>
      <c r="H95" s="23">
        <v>213</v>
      </c>
      <c r="I95" s="24">
        <f t="shared" si="37"/>
        <v>6.4545454545454541</v>
      </c>
      <c r="J95" s="22">
        <v>85</v>
      </c>
      <c r="K95" s="22">
        <v>197</v>
      </c>
      <c r="L95" s="24">
        <f t="shared" si="54"/>
        <v>2.5757575757575757</v>
      </c>
      <c r="M95" s="24">
        <f t="shared" si="55"/>
        <v>5.9696969696969697</v>
      </c>
      <c r="N95" s="25">
        <f t="shared" si="56"/>
        <v>0.43147208121827413</v>
      </c>
      <c r="O95" s="23">
        <v>61</v>
      </c>
      <c r="P95" s="22">
        <v>123</v>
      </c>
      <c r="Q95" s="24">
        <f t="shared" si="38"/>
        <v>1.8484848484848484</v>
      </c>
      <c r="R95" s="24">
        <f t="shared" si="39"/>
        <v>3.7272727272727271</v>
      </c>
      <c r="S95" s="25">
        <f t="shared" si="40"/>
        <v>0.49593495934959347</v>
      </c>
      <c r="T95" s="22">
        <v>24</v>
      </c>
      <c r="U95" s="22">
        <v>74</v>
      </c>
      <c r="V95" s="24">
        <f t="shared" si="41"/>
        <v>0.72727272727272729</v>
      </c>
      <c r="W95" s="24">
        <f t="shared" si="42"/>
        <v>2.2424242424242422</v>
      </c>
      <c r="X95" s="25">
        <f t="shared" si="43"/>
        <v>0.32432432432432434</v>
      </c>
      <c r="Y95" s="22">
        <v>19</v>
      </c>
      <c r="Z95" s="22">
        <v>25</v>
      </c>
      <c r="AA95" s="24">
        <f t="shared" si="44"/>
        <v>0.5757575757575758</v>
      </c>
      <c r="AB95" s="24">
        <f t="shared" si="45"/>
        <v>0.75757575757575757</v>
      </c>
      <c r="AC95" s="25">
        <f t="shared" si="46"/>
        <v>0.76</v>
      </c>
      <c r="AD95" s="22">
        <v>129</v>
      </c>
      <c r="AE95" s="24">
        <f t="shared" si="47"/>
        <v>3.9090909090909092</v>
      </c>
      <c r="AF95" s="22">
        <v>33</v>
      </c>
      <c r="AG95" s="24">
        <f t="shared" si="48"/>
        <v>1</v>
      </c>
      <c r="AH95" s="22">
        <v>96</v>
      </c>
      <c r="AI95" s="24">
        <f t="shared" si="49"/>
        <v>2.9090909090909092</v>
      </c>
      <c r="AJ95" s="22">
        <v>14</v>
      </c>
      <c r="AK95" s="24">
        <f t="shared" si="50"/>
        <v>0.42424242424242425</v>
      </c>
      <c r="AL95" s="22">
        <v>13</v>
      </c>
      <c r="AM95" s="24">
        <f t="shared" si="51"/>
        <v>0.39393939393939392</v>
      </c>
      <c r="AN95" s="10">
        <v>16</v>
      </c>
      <c r="AO95" s="24">
        <f t="shared" si="52"/>
        <v>0.48484848484848486</v>
      </c>
      <c r="AP95" s="22">
        <v>26</v>
      </c>
      <c r="AQ95" s="24">
        <f t="shared" si="57"/>
        <v>0.78787878787878785</v>
      </c>
      <c r="AR95" s="22">
        <v>58</v>
      </c>
      <c r="AS95" s="24">
        <f t="shared" si="53"/>
        <v>1.7575757575757576</v>
      </c>
      <c r="AT95" s="26">
        <v>0.45456372083385532</v>
      </c>
      <c r="AU95" s="26">
        <v>4.7294963801155457E-2</v>
      </c>
      <c r="AV95" s="26">
        <v>2.032710507383859E-2</v>
      </c>
      <c r="AW95" s="26">
        <v>0.43423661576001671</v>
      </c>
      <c r="AX95" s="26">
        <v>99.883538594861022</v>
      </c>
      <c r="AY95" s="26">
        <v>106.26233043576418</v>
      </c>
      <c r="AZ95" s="26">
        <v>7.8166538209744347</v>
      </c>
      <c r="BA95" s="26">
        <v>7.3030303030303028</v>
      </c>
      <c r="BB95" s="26">
        <v>25.074782156327224</v>
      </c>
      <c r="BC95" s="25">
        <v>0.51201923076923073</v>
      </c>
      <c r="BD95" s="25">
        <v>0.49238578680203043</v>
      </c>
      <c r="BE95" s="26">
        <v>17.333307654359032</v>
      </c>
      <c r="BF95" s="25">
        <v>0.37563451776649748</v>
      </c>
      <c r="BG95" s="25">
        <v>0.12690355329949238</v>
      </c>
      <c r="BH95" s="26">
        <v>5.8798505983416147</v>
      </c>
      <c r="BI95" s="26">
        <v>17.105019922448335</v>
      </c>
      <c r="BJ95" s="26">
        <v>10.985080727569997</v>
      </c>
      <c r="BK95" s="26">
        <v>3.2740879326473338</v>
      </c>
      <c r="BL95" s="26">
        <v>1.8391418386926299</v>
      </c>
      <c r="BM95" s="26">
        <v>2.3091896728708097</v>
      </c>
      <c r="BN95" s="26">
        <v>11.111111111111111</v>
      </c>
      <c r="BO95" s="27" t="s">
        <v>232</v>
      </c>
      <c r="BP95" s="28"/>
      <c r="BQ95" s="17" t="s">
        <v>254</v>
      </c>
      <c r="BR95" s="35">
        <v>264.41000000000003</v>
      </c>
      <c r="BS95" s="35">
        <v>347.61</v>
      </c>
      <c r="BT95" s="35">
        <v>83.2</v>
      </c>
      <c r="BU95" s="35">
        <f t="shared" si="58"/>
        <v>8.0124242424242418</v>
      </c>
      <c r="BV95" s="35">
        <f t="shared" si="59"/>
        <v>10.533636363636363</v>
      </c>
      <c r="BW95" s="35">
        <f t="shared" si="60"/>
        <v>2.5212121212121215</v>
      </c>
      <c r="BX95" s="36">
        <f t="shared" si="61"/>
        <v>27.510469501885815</v>
      </c>
      <c r="BY95" s="36">
        <f t="shared" si="62"/>
        <v>36.166991806476787</v>
      </c>
      <c r="BZ95" s="36">
        <f t="shared" si="63"/>
        <v>8.6565223045909736</v>
      </c>
      <c r="CA95" s="50">
        <v>6</v>
      </c>
      <c r="CB95" s="50">
        <v>14</v>
      </c>
    </row>
    <row r="96" spans="1:80" x14ac:dyDescent="0.4">
      <c r="A96" s="21" t="s">
        <v>231</v>
      </c>
      <c r="B96" s="17" t="s">
        <v>194</v>
      </c>
      <c r="C96" s="17" t="s">
        <v>200</v>
      </c>
      <c r="D96" s="22">
        <v>34</v>
      </c>
      <c r="E96" s="22">
        <v>10</v>
      </c>
      <c r="F96" s="22">
        <v>6</v>
      </c>
      <c r="G96" s="23">
        <v>20604</v>
      </c>
      <c r="H96" s="23">
        <v>65</v>
      </c>
      <c r="I96" s="24">
        <f t="shared" si="37"/>
        <v>1.911764705882353</v>
      </c>
      <c r="J96" s="22">
        <v>21</v>
      </c>
      <c r="K96" s="22">
        <v>82</v>
      </c>
      <c r="L96" s="24">
        <f t="shared" si="54"/>
        <v>0.61764705882352944</v>
      </c>
      <c r="M96" s="24">
        <f t="shared" si="55"/>
        <v>2.4117647058823528</v>
      </c>
      <c r="N96" s="25">
        <f t="shared" si="56"/>
        <v>0.25609756097560976</v>
      </c>
      <c r="O96" s="23">
        <v>12</v>
      </c>
      <c r="P96" s="22">
        <v>43</v>
      </c>
      <c r="Q96" s="24">
        <f t="shared" si="38"/>
        <v>0.35294117647058826</v>
      </c>
      <c r="R96" s="24">
        <f t="shared" si="39"/>
        <v>1.2647058823529411</v>
      </c>
      <c r="S96" s="25">
        <f t="shared" si="40"/>
        <v>0.27906976744186046</v>
      </c>
      <c r="T96" s="22">
        <v>9</v>
      </c>
      <c r="U96" s="22">
        <v>39</v>
      </c>
      <c r="V96" s="24">
        <f t="shared" si="41"/>
        <v>0.26470588235294118</v>
      </c>
      <c r="W96" s="24">
        <f t="shared" si="42"/>
        <v>1.1470588235294117</v>
      </c>
      <c r="X96" s="25">
        <f t="shared" si="43"/>
        <v>0.23076923076923078</v>
      </c>
      <c r="Y96" s="22">
        <v>14</v>
      </c>
      <c r="Z96" s="22">
        <v>23</v>
      </c>
      <c r="AA96" s="24">
        <f t="shared" si="44"/>
        <v>0.41176470588235292</v>
      </c>
      <c r="AB96" s="24">
        <f t="shared" si="45"/>
        <v>0.67647058823529416</v>
      </c>
      <c r="AC96" s="25">
        <f t="shared" si="46"/>
        <v>0.60869565217391308</v>
      </c>
      <c r="AD96" s="22">
        <v>56</v>
      </c>
      <c r="AE96" s="24">
        <f t="shared" si="47"/>
        <v>1.6470588235294117</v>
      </c>
      <c r="AF96" s="22">
        <v>24</v>
      </c>
      <c r="AG96" s="24">
        <f t="shared" si="48"/>
        <v>0.70588235294117652</v>
      </c>
      <c r="AH96" s="22">
        <v>32</v>
      </c>
      <c r="AI96" s="24">
        <f t="shared" si="49"/>
        <v>0.94117647058823528</v>
      </c>
      <c r="AJ96" s="22">
        <v>54</v>
      </c>
      <c r="AK96" s="24">
        <f t="shared" si="50"/>
        <v>1.588235294117647</v>
      </c>
      <c r="AL96" s="22">
        <v>10</v>
      </c>
      <c r="AM96" s="24">
        <f t="shared" si="51"/>
        <v>0.29411764705882354</v>
      </c>
      <c r="AN96" s="10">
        <v>3</v>
      </c>
      <c r="AO96" s="24">
        <f t="shared" si="52"/>
        <v>8.8235294117647065E-2</v>
      </c>
      <c r="AP96" s="22">
        <v>25</v>
      </c>
      <c r="AQ96" s="24">
        <f t="shared" si="57"/>
        <v>0.73529411764705888</v>
      </c>
      <c r="AR96" s="22">
        <v>64</v>
      </c>
      <c r="AS96" s="24">
        <f t="shared" si="53"/>
        <v>1.8823529411764706</v>
      </c>
      <c r="AT96" s="26">
        <v>-0.36956856906070157</v>
      </c>
      <c r="AU96" s="26">
        <v>-4.3048173449120743E-2</v>
      </c>
      <c r="AV96" s="26">
        <v>-0.41629252948335765</v>
      </c>
      <c r="AW96" s="26">
        <v>4.6723960422656086E-2</v>
      </c>
      <c r="AX96" s="26">
        <v>87.306413121865987</v>
      </c>
      <c r="AY96" s="26">
        <v>115.56173227536706</v>
      </c>
      <c r="AZ96" s="26">
        <v>1.1281569279274768</v>
      </c>
      <c r="BA96" s="26">
        <v>2.7352941176470589</v>
      </c>
      <c r="BB96" s="26">
        <v>10.832847990681422</v>
      </c>
      <c r="BC96" s="25">
        <v>0.35280069474598347</v>
      </c>
      <c r="BD96" s="25">
        <v>0.31097560975609756</v>
      </c>
      <c r="BE96" s="26">
        <v>10.006937870176387</v>
      </c>
      <c r="BF96" s="25">
        <v>0.47560975609756095</v>
      </c>
      <c r="BG96" s="25">
        <v>0.28048780487804881</v>
      </c>
      <c r="BH96" s="26">
        <v>4.9325119330822549</v>
      </c>
      <c r="BI96" s="26">
        <v>6.5766825774430062</v>
      </c>
      <c r="BJ96" s="26">
        <v>5.5005500550055002</v>
      </c>
      <c r="BK96" s="26">
        <v>12.753897024090696</v>
      </c>
      <c r="BL96" s="26">
        <v>1.5838405086810214</v>
      </c>
      <c r="BM96" s="26">
        <v>0.4994194249185322</v>
      </c>
      <c r="BN96" s="26">
        <v>21.345628415300546</v>
      </c>
      <c r="BO96" s="27" t="s">
        <v>189</v>
      </c>
      <c r="BP96" s="28"/>
      <c r="BQ96" s="17" t="s">
        <v>254</v>
      </c>
      <c r="BR96" s="35">
        <v>353.83</v>
      </c>
      <c r="BS96" s="35">
        <v>504.63</v>
      </c>
      <c r="BT96" s="35">
        <v>150.80000000000001</v>
      </c>
      <c r="BU96" s="35">
        <f t="shared" si="58"/>
        <v>10.406764705882352</v>
      </c>
      <c r="BV96" s="35">
        <f t="shared" si="59"/>
        <v>14.842058823529412</v>
      </c>
      <c r="BW96" s="35">
        <f t="shared" si="60"/>
        <v>4.4352941176470591</v>
      </c>
      <c r="BX96" s="36">
        <f t="shared" si="61"/>
        <v>41.214909726266747</v>
      </c>
      <c r="BY96" s="36">
        <f t="shared" si="62"/>
        <v>58.780430984274901</v>
      </c>
      <c r="BZ96" s="36">
        <f t="shared" si="63"/>
        <v>17.565521258008154</v>
      </c>
      <c r="CA96" s="48">
        <v>14</v>
      </c>
      <c r="CB96" s="48">
        <v>19</v>
      </c>
    </row>
    <row r="97" spans="1:80" x14ac:dyDescent="0.4">
      <c r="A97" s="21" t="s">
        <v>231</v>
      </c>
      <c r="B97" s="17" t="s">
        <v>194</v>
      </c>
      <c r="C97" s="17" t="s">
        <v>250</v>
      </c>
      <c r="D97" s="22">
        <v>21</v>
      </c>
      <c r="E97" s="22">
        <v>16</v>
      </c>
      <c r="F97" s="22">
        <v>36</v>
      </c>
      <c r="G97" s="23">
        <v>20916</v>
      </c>
      <c r="H97" s="23">
        <v>108</v>
      </c>
      <c r="I97" s="24">
        <f t="shared" si="37"/>
        <v>5.1428571428571432</v>
      </c>
      <c r="J97" s="22">
        <v>41</v>
      </c>
      <c r="K97" s="22">
        <v>103</v>
      </c>
      <c r="L97" s="24">
        <f t="shared" si="54"/>
        <v>1.9523809523809523</v>
      </c>
      <c r="M97" s="24">
        <f t="shared" si="55"/>
        <v>4.9047619047619051</v>
      </c>
      <c r="N97" s="25">
        <f t="shared" si="56"/>
        <v>0.39805825242718446</v>
      </c>
      <c r="O97" s="23">
        <v>28</v>
      </c>
      <c r="P97" s="22">
        <v>59</v>
      </c>
      <c r="Q97" s="24">
        <f t="shared" si="38"/>
        <v>1.3333333333333333</v>
      </c>
      <c r="R97" s="24">
        <f t="shared" si="39"/>
        <v>2.8095238095238093</v>
      </c>
      <c r="S97" s="25">
        <f t="shared" si="40"/>
        <v>0.47457627118644069</v>
      </c>
      <c r="T97" s="22">
        <v>13</v>
      </c>
      <c r="U97" s="22">
        <v>44</v>
      </c>
      <c r="V97" s="24">
        <f t="shared" si="41"/>
        <v>0.61904761904761907</v>
      </c>
      <c r="W97" s="24">
        <f t="shared" si="42"/>
        <v>2.0952380952380953</v>
      </c>
      <c r="X97" s="25">
        <f t="shared" si="43"/>
        <v>0.29545454545454547</v>
      </c>
      <c r="Y97" s="22">
        <v>13</v>
      </c>
      <c r="Z97" s="22">
        <v>28</v>
      </c>
      <c r="AA97" s="24">
        <f t="shared" si="44"/>
        <v>0.61904761904761907</v>
      </c>
      <c r="AB97" s="24">
        <f t="shared" si="45"/>
        <v>1.3333333333333333</v>
      </c>
      <c r="AC97" s="25">
        <f t="shared" si="46"/>
        <v>0.4642857142857143</v>
      </c>
      <c r="AD97" s="22">
        <v>48</v>
      </c>
      <c r="AE97" s="24">
        <f t="shared" si="47"/>
        <v>2.2857142857142856</v>
      </c>
      <c r="AF97" s="22">
        <v>19</v>
      </c>
      <c r="AG97" s="24">
        <f t="shared" si="48"/>
        <v>0.90476190476190477</v>
      </c>
      <c r="AH97" s="22">
        <v>29</v>
      </c>
      <c r="AI97" s="24">
        <f t="shared" si="49"/>
        <v>1.3809523809523809</v>
      </c>
      <c r="AJ97" s="22">
        <v>29</v>
      </c>
      <c r="AK97" s="24">
        <f t="shared" si="50"/>
        <v>1.3809523809523809</v>
      </c>
      <c r="AL97" s="22">
        <v>13</v>
      </c>
      <c r="AM97" s="24">
        <f t="shared" si="51"/>
        <v>0.61904761904761907</v>
      </c>
      <c r="AN97" s="10">
        <v>1</v>
      </c>
      <c r="AO97" s="24">
        <f t="shared" si="52"/>
        <v>4.7619047619047616E-2</v>
      </c>
      <c r="AP97" s="22">
        <v>21</v>
      </c>
      <c r="AQ97" s="24">
        <f t="shared" si="57"/>
        <v>1</v>
      </c>
      <c r="AR97" s="22">
        <v>37</v>
      </c>
      <c r="AS97" s="24">
        <f t="shared" si="53"/>
        <v>1.7619047619047619</v>
      </c>
      <c r="AT97" s="26">
        <v>-0.10156263769610971</v>
      </c>
      <c r="AU97" s="26">
        <v>-1.1653773688595491E-2</v>
      </c>
      <c r="AV97" s="26">
        <v>-0.15033014339275855</v>
      </c>
      <c r="AW97" s="26">
        <v>4.8767505696648832E-2</v>
      </c>
      <c r="AX97" s="26">
        <v>95.342469636163344</v>
      </c>
      <c r="AY97" s="26">
        <v>115.5258566577894</v>
      </c>
      <c r="AZ97" s="26">
        <v>2.2866664626568358</v>
      </c>
      <c r="BA97" s="26">
        <v>4.8095238095238093</v>
      </c>
      <c r="BB97" s="26">
        <v>11.589213998852552</v>
      </c>
      <c r="BC97" s="25">
        <v>0.46826222684703439</v>
      </c>
      <c r="BD97" s="25">
        <v>0.46116504854368934</v>
      </c>
      <c r="BE97" s="26">
        <v>7.0866829416388359</v>
      </c>
      <c r="BF97" s="25">
        <v>0.42718446601941745</v>
      </c>
      <c r="BG97" s="25">
        <v>0.27184466019417475</v>
      </c>
      <c r="BH97" s="26">
        <v>2.3758761043134657</v>
      </c>
      <c r="BI97" s="26">
        <v>3.6263372118468689</v>
      </c>
      <c r="BJ97" s="26">
        <v>2.8686173264486516</v>
      </c>
      <c r="BK97" s="26">
        <v>4.2065564258775749</v>
      </c>
      <c r="BL97" s="26">
        <v>2.0282790587647206</v>
      </c>
      <c r="BM97" s="26">
        <v>0.10128787533488304</v>
      </c>
      <c r="BN97" s="26">
        <v>15.40492957746479</v>
      </c>
      <c r="BO97" s="27" t="s">
        <v>233</v>
      </c>
      <c r="BP97" s="28"/>
      <c r="BQ97" s="17" t="s">
        <v>255</v>
      </c>
      <c r="BR97" s="35">
        <v>214.72</v>
      </c>
      <c r="BS97" s="35">
        <v>317.42</v>
      </c>
      <c r="BT97" s="35">
        <v>102.7</v>
      </c>
      <c r="BU97" s="35">
        <f t="shared" si="58"/>
        <v>10.224761904761905</v>
      </c>
      <c r="BV97" s="35">
        <f t="shared" si="59"/>
        <v>15.115238095238096</v>
      </c>
      <c r="BW97" s="35">
        <f t="shared" si="60"/>
        <v>4.8904761904761909</v>
      </c>
      <c r="BX97" s="36">
        <f t="shared" si="61"/>
        <v>24.637980493402175</v>
      </c>
      <c r="BY97" s="36">
        <f t="shared" si="62"/>
        <v>36.422260470453239</v>
      </c>
      <c r="BZ97" s="36">
        <f t="shared" si="63"/>
        <v>11.784279977051062</v>
      </c>
      <c r="CA97" s="50">
        <v>10</v>
      </c>
      <c r="CB97" s="50">
        <v>24</v>
      </c>
    </row>
    <row r="98" spans="1:80" x14ac:dyDescent="0.4">
      <c r="A98" s="21" t="s">
        <v>231</v>
      </c>
      <c r="B98" s="17" t="s">
        <v>194</v>
      </c>
      <c r="C98" s="17" t="s">
        <v>137</v>
      </c>
      <c r="D98" s="22">
        <v>53</v>
      </c>
      <c r="E98" s="22">
        <v>32</v>
      </c>
      <c r="F98" s="22">
        <v>9</v>
      </c>
      <c r="G98" s="23">
        <v>102237</v>
      </c>
      <c r="H98" s="23">
        <v>669</v>
      </c>
      <c r="I98" s="24">
        <f t="shared" si="37"/>
        <v>12.622641509433961</v>
      </c>
      <c r="J98" s="22">
        <v>253</v>
      </c>
      <c r="K98" s="22">
        <v>602</v>
      </c>
      <c r="L98" s="24">
        <f t="shared" si="54"/>
        <v>4.7735849056603774</v>
      </c>
      <c r="M98" s="24">
        <f t="shared" si="55"/>
        <v>11.358490566037736</v>
      </c>
      <c r="N98" s="25">
        <f t="shared" si="56"/>
        <v>0.42026578073089699</v>
      </c>
      <c r="O98" s="23">
        <v>172</v>
      </c>
      <c r="P98" s="22">
        <v>331</v>
      </c>
      <c r="Q98" s="24">
        <f t="shared" si="38"/>
        <v>3.2452830188679247</v>
      </c>
      <c r="R98" s="24">
        <f t="shared" si="39"/>
        <v>6.2452830188679247</v>
      </c>
      <c r="S98" s="25">
        <f t="shared" si="40"/>
        <v>0.51963746223564955</v>
      </c>
      <c r="T98" s="22">
        <v>81</v>
      </c>
      <c r="U98" s="22">
        <v>271</v>
      </c>
      <c r="V98" s="24">
        <f t="shared" si="41"/>
        <v>1.5283018867924529</v>
      </c>
      <c r="W98" s="24">
        <f t="shared" si="42"/>
        <v>5.1132075471698117</v>
      </c>
      <c r="X98" s="25">
        <f t="shared" si="43"/>
        <v>0.2988929889298893</v>
      </c>
      <c r="Y98" s="22">
        <v>82</v>
      </c>
      <c r="Z98" s="22">
        <v>97</v>
      </c>
      <c r="AA98" s="24">
        <f t="shared" si="44"/>
        <v>1.5471698113207548</v>
      </c>
      <c r="AB98" s="24">
        <f t="shared" si="45"/>
        <v>1.8301886792452831</v>
      </c>
      <c r="AC98" s="25">
        <f t="shared" si="46"/>
        <v>0.84536082474226804</v>
      </c>
      <c r="AD98" s="22">
        <v>311</v>
      </c>
      <c r="AE98" s="24">
        <f t="shared" si="47"/>
        <v>5.867924528301887</v>
      </c>
      <c r="AF98" s="22">
        <v>78</v>
      </c>
      <c r="AG98" s="24">
        <f t="shared" si="48"/>
        <v>1.4716981132075471</v>
      </c>
      <c r="AH98" s="22">
        <v>233</v>
      </c>
      <c r="AI98" s="24">
        <f t="shared" si="49"/>
        <v>4.3962264150943398</v>
      </c>
      <c r="AJ98" s="22">
        <v>147</v>
      </c>
      <c r="AK98" s="24">
        <f t="shared" si="50"/>
        <v>2.7735849056603774</v>
      </c>
      <c r="AL98" s="22">
        <v>46</v>
      </c>
      <c r="AM98" s="24">
        <f t="shared" si="51"/>
        <v>0.86792452830188682</v>
      </c>
      <c r="AN98" s="10">
        <v>11</v>
      </c>
      <c r="AO98" s="24">
        <f t="shared" si="52"/>
        <v>0.20754716981132076</v>
      </c>
      <c r="AP98" s="22">
        <v>89</v>
      </c>
      <c r="AQ98" s="24">
        <f t="shared" si="57"/>
        <v>1.679245283018868</v>
      </c>
      <c r="AR98" s="22">
        <v>92</v>
      </c>
      <c r="AS98" s="24">
        <f t="shared" si="53"/>
        <v>1.7358490566037736</v>
      </c>
      <c r="AT98" s="26">
        <v>1.7173918985589482</v>
      </c>
      <c r="AU98" s="26">
        <v>4.0315546783859818E-2</v>
      </c>
      <c r="AV98" s="26">
        <v>1.2696940703759045</v>
      </c>
      <c r="AW98" s="26">
        <v>0.44769782818304371</v>
      </c>
      <c r="AX98" s="26">
        <v>106.28898522594842</v>
      </c>
      <c r="AY98" s="26">
        <v>114.37591781271702</v>
      </c>
      <c r="AZ98" s="26">
        <v>10.167237408808045</v>
      </c>
      <c r="BA98" s="26">
        <v>13.79245283018868</v>
      </c>
      <c r="BB98" s="26">
        <v>17.160127938026349</v>
      </c>
      <c r="BC98" s="25">
        <v>0.51886207110504445</v>
      </c>
      <c r="BD98" s="25">
        <v>0.48754152823920266</v>
      </c>
      <c r="BE98" s="26">
        <v>19.693241949761941</v>
      </c>
      <c r="BF98" s="25">
        <v>0.45016611295681064</v>
      </c>
      <c r="BG98" s="25">
        <v>0.16112956810631229</v>
      </c>
      <c r="BH98" s="26">
        <v>5.0360716704020225</v>
      </c>
      <c r="BI98" s="26">
        <v>15.043649989790655</v>
      </c>
      <c r="BJ98" s="26">
        <v>9.5966328470216489</v>
      </c>
      <c r="BK98" s="26">
        <v>12.654958677685951</v>
      </c>
      <c r="BL98" s="26">
        <v>1.468292978745203</v>
      </c>
      <c r="BM98" s="26">
        <v>0.57527732616328597</v>
      </c>
      <c r="BN98" s="26">
        <v>12.130629157125723</v>
      </c>
      <c r="BO98" s="27" t="s">
        <v>189</v>
      </c>
      <c r="BP98" s="27"/>
      <c r="BQ98" s="17" t="s">
        <v>253</v>
      </c>
      <c r="BR98" s="35">
        <v>1246.8800000000001</v>
      </c>
      <c r="BS98" s="35">
        <v>1722.38</v>
      </c>
      <c r="BT98" s="35">
        <v>475.5</v>
      </c>
      <c r="BU98" s="35">
        <f t="shared" si="58"/>
        <v>23.526037735849059</v>
      </c>
      <c r="BV98" s="35">
        <f t="shared" si="59"/>
        <v>32.497735849056603</v>
      </c>
      <c r="BW98" s="35">
        <f t="shared" si="60"/>
        <v>8.9716981132075464</v>
      </c>
      <c r="BX98" s="36">
        <f t="shared" si="61"/>
        <v>29.270342439625583</v>
      </c>
      <c r="BY98" s="36">
        <f t="shared" si="62"/>
        <v>40.43264180286981</v>
      </c>
      <c r="BZ98" s="36">
        <f t="shared" si="63"/>
        <v>11.162299363244227</v>
      </c>
      <c r="CA98" s="48">
        <v>21</v>
      </c>
      <c r="CB98" s="48">
        <v>32</v>
      </c>
    </row>
    <row r="99" spans="1:80" x14ac:dyDescent="0.4">
      <c r="A99" s="21" t="s">
        <v>231</v>
      </c>
      <c r="B99" s="17" t="s">
        <v>194</v>
      </c>
      <c r="C99" s="17" t="s">
        <v>61</v>
      </c>
      <c r="D99" s="22">
        <v>27</v>
      </c>
      <c r="E99" s="22">
        <v>8</v>
      </c>
      <c r="F99" s="22">
        <v>27</v>
      </c>
      <c r="G99" s="23">
        <v>13689</v>
      </c>
      <c r="H99" s="23">
        <v>84</v>
      </c>
      <c r="I99" s="24">
        <f t="shared" si="37"/>
        <v>3.1111111111111112</v>
      </c>
      <c r="J99" s="22">
        <v>32</v>
      </c>
      <c r="K99" s="22">
        <v>61</v>
      </c>
      <c r="L99" s="24">
        <f t="shared" si="54"/>
        <v>1.1851851851851851</v>
      </c>
      <c r="M99" s="24">
        <f t="shared" si="55"/>
        <v>2.2592592592592591</v>
      </c>
      <c r="N99" s="25">
        <f t="shared" si="56"/>
        <v>0.52459016393442626</v>
      </c>
      <c r="O99" s="23">
        <v>32</v>
      </c>
      <c r="P99" s="22">
        <v>61</v>
      </c>
      <c r="Q99" s="24">
        <f t="shared" si="38"/>
        <v>1.1851851851851851</v>
      </c>
      <c r="R99" s="24">
        <f t="shared" si="39"/>
        <v>2.2592592592592591</v>
      </c>
      <c r="S99" s="25">
        <f t="shared" si="40"/>
        <v>0.52459016393442626</v>
      </c>
      <c r="T99" s="22">
        <v>0</v>
      </c>
      <c r="U99" s="22">
        <v>0</v>
      </c>
      <c r="V99" s="24">
        <f t="shared" si="41"/>
        <v>0</v>
      </c>
      <c r="W99" s="24">
        <f t="shared" si="42"/>
        <v>0</v>
      </c>
      <c r="X99" s="25" t="e">
        <f t="shared" si="43"/>
        <v>#DIV/0!</v>
      </c>
      <c r="Y99" s="22">
        <v>20</v>
      </c>
      <c r="Z99" s="22">
        <v>30</v>
      </c>
      <c r="AA99" s="24">
        <f t="shared" si="44"/>
        <v>0.7407407407407407</v>
      </c>
      <c r="AB99" s="24">
        <f t="shared" si="45"/>
        <v>1.1111111111111112</v>
      </c>
      <c r="AC99" s="25">
        <f t="shared" si="46"/>
        <v>0.66666666666666663</v>
      </c>
      <c r="AD99" s="22">
        <v>41</v>
      </c>
      <c r="AE99" s="24">
        <f t="shared" si="47"/>
        <v>1.5185185185185186</v>
      </c>
      <c r="AF99" s="22">
        <v>18</v>
      </c>
      <c r="AG99" s="24">
        <f t="shared" si="48"/>
        <v>0.66666666666666663</v>
      </c>
      <c r="AH99" s="22">
        <v>23</v>
      </c>
      <c r="AI99" s="24">
        <f t="shared" si="49"/>
        <v>0.85185185185185186</v>
      </c>
      <c r="AJ99" s="22">
        <v>11</v>
      </c>
      <c r="AK99" s="24">
        <f t="shared" si="50"/>
        <v>0.40740740740740738</v>
      </c>
      <c r="AL99" s="22">
        <v>6</v>
      </c>
      <c r="AM99" s="24">
        <f t="shared" si="51"/>
        <v>0.22222222222222221</v>
      </c>
      <c r="AN99" s="10">
        <v>5</v>
      </c>
      <c r="AO99" s="24">
        <f t="shared" si="52"/>
        <v>0.18518518518518517</v>
      </c>
      <c r="AP99" s="22">
        <v>12</v>
      </c>
      <c r="AQ99" s="24">
        <f t="shared" si="57"/>
        <v>0.44444444444444442</v>
      </c>
      <c r="AR99" s="22">
        <v>38</v>
      </c>
      <c r="AS99" s="24">
        <f t="shared" si="53"/>
        <v>1.4074074074074074</v>
      </c>
      <c r="AT99" s="26">
        <v>0.29834330209545412</v>
      </c>
      <c r="AU99" s="26">
        <v>5.2306518009284091E-2</v>
      </c>
      <c r="AV99" s="26">
        <v>0.25151353381470354</v>
      </c>
      <c r="AW99" s="26">
        <v>4.6829768280750611E-2</v>
      </c>
      <c r="AX99" s="26">
        <v>110.63087410234682</v>
      </c>
      <c r="AY99" s="26">
        <v>114.91400148176396</v>
      </c>
      <c r="AZ99" s="26">
        <v>3.9417030807869846</v>
      </c>
      <c r="BA99" s="26">
        <v>3.5555555555555554</v>
      </c>
      <c r="BB99" s="26">
        <v>16.8310322156476</v>
      </c>
      <c r="BC99" s="25">
        <v>0.56603773584905659</v>
      </c>
      <c r="BD99" s="25">
        <v>0.52459016393442626</v>
      </c>
      <c r="BE99" s="26">
        <v>8.8032304383436859</v>
      </c>
      <c r="BF99" s="25">
        <v>0</v>
      </c>
      <c r="BG99" s="25">
        <v>0.49180327868852458</v>
      </c>
      <c r="BH99" s="26">
        <v>4.4217488630885304</v>
      </c>
      <c r="BI99" s="26">
        <v>5.6500124361686774</v>
      </c>
      <c r="BJ99" s="26">
        <v>4.8135625058701983</v>
      </c>
      <c r="BK99" s="26">
        <v>3.237198351971748</v>
      </c>
      <c r="BL99" s="26">
        <v>1.4303506395294219</v>
      </c>
      <c r="BM99" s="26">
        <v>0.9948986571355376</v>
      </c>
      <c r="BN99" s="26">
        <v>13.921113689095128</v>
      </c>
      <c r="BO99" s="27" t="s">
        <v>189</v>
      </c>
      <c r="BP99" s="28"/>
      <c r="BQ99" s="17" t="s">
        <v>254</v>
      </c>
      <c r="BR99" s="35">
        <v>163.54</v>
      </c>
      <c r="BS99" s="35">
        <v>218.54</v>
      </c>
      <c r="BT99" s="35">
        <v>55</v>
      </c>
      <c r="BU99" s="35">
        <f t="shared" si="58"/>
        <v>6.0570370370370368</v>
      </c>
      <c r="BV99" s="35">
        <f t="shared" si="59"/>
        <v>8.094074074074074</v>
      </c>
      <c r="BW99" s="35">
        <f t="shared" si="60"/>
        <v>2.0370370370370372</v>
      </c>
      <c r="BX99" s="36">
        <f t="shared" si="61"/>
        <v>28.672364672364672</v>
      </c>
      <c r="BY99" s="36">
        <f t="shared" si="62"/>
        <v>38.315143545912775</v>
      </c>
      <c r="BZ99" s="36">
        <f t="shared" si="63"/>
        <v>9.6427788735481048</v>
      </c>
      <c r="CA99" s="50">
        <v>13</v>
      </c>
      <c r="CB99" s="50">
        <v>14</v>
      </c>
    </row>
    <row r="100" spans="1:80" x14ac:dyDescent="0.4">
      <c r="A100" s="21" t="s">
        <v>231</v>
      </c>
      <c r="B100" s="49" t="s">
        <v>194</v>
      </c>
      <c r="C100" s="49" t="s">
        <v>288</v>
      </c>
      <c r="D100" s="22">
        <v>22</v>
      </c>
      <c r="E100" s="22">
        <v>24</v>
      </c>
      <c r="F100" s="22">
        <v>42</v>
      </c>
      <c r="G100" s="23">
        <v>32604</v>
      </c>
      <c r="H100" s="23">
        <v>301</v>
      </c>
      <c r="I100" s="24">
        <f t="shared" si="37"/>
        <v>13.681818181818182</v>
      </c>
      <c r="J100" s="22">
        <v>106</v>
      </c>
      <c r="K100" s="22">
        <v>276</v>
      </c>
      <c r="L100" s="24">
        <f t="shared" si="54"/>
        <v>4.8181818181818183</v>
      </c>
      <c r="M100" s="24">
        <f t="shared" si="55"/>
        <v>12.545454545454545</v>
      </c>
      <c r="N100" s="25">
        <f t="shared" si="56"/>
        <v>0.38405797101449274</v>
      </c>
      <c r="O100" s="23">
        <v>70</v>
      </c>
      <c r="P100" s="22">
        <v>153</v>
      </c>
      <c r="Q100" s="24">
        <f t="shared" si="38"/>
        <v>3.1818181818181817</v>
      </c>
      <c r="R100" s="24">
        <f t="shared" si="39"/>
        <v>6.9545454545454541</v>
      </c>
      <c r="S100" s="25">
        <f t="shared" si="40"/>
        <v>0.45751633986928103</v>
      </c>
      <c r="T100" s="22">
        <v>36</v>
      </c>
      <c r="U100" s="22">
        <v>123</v>
      </c>
      <c r="V100" s="24">
        <f t="shared" si="41"/>
        <v>1.6363636363636365</v>
      </c>
      <c r="W100" s="24">
        <f t="shared" si="42"/>
        <v>5.5909090909090908</v>
      </c>
      <c r="X100" s="25">
        <f t="shared" si="43"/>
        <v>0.29268292682926828</v>
      </c>
      <c r="Y100" s="22">
        <v>53</v>
      </c>
      <c r="Z100" s="22">
        <v>71</v>
      </c>
      <c r="AA100" s="24">
        <f t="shared" si="44"/>
        <v>2.4090909090909092</v>
      </c>
      <c r="AB100" s="24">
        <f t="shared" si="45"/>
        <v>3.2272727272727271</v>
      </c>
      <c r="AC100" s="25">
        <f t="shared" si="46"/>
        <v>0.74647887323943662</v>
      </c>
      <c r="AD100" s="22">
        <v>130</v>
      </c>
      <c r="AE100" s="24">
        <f t="shared" si="47"/>
        <v>5.9090909090909092</v>
      </c>
      <c r="AF100" s="22">
        <v>46</v>
      </c>
      <c r="AG100" s="24">
        <f t="shared" si="48"/>
        <v>2.0909090909090908</v>
      </c>
      <c r="AH100" s="22">
        <v>84</v>
      </c>
      <c r="AI100" s="24">
        <f t="shared" si="49"/>
        <v>3.8181818181818183</v>
      </c>
      <c r="AJ100" s="22">
        <v>31</v>
      </c>
      <c r="AK100" s="24">
        <f t="shared" si="50"/>
        <v>1.4090909090909092</v>
      </c>
      <c r="AL100" s="22">
        <v>15</v>
      </c>
      <c r="AM100" s="24">
        <f t="shared" si="51"/>
        <v>0.68181818181818177</v>
      </c>
      <c r="AN100" s="10">
        <v>7</v>
      </c>
      <c r="AO100" s="24">
        <f t="shared" si="52"/>
        <v>0.31818181818181818</v>
      </c>
      <c r="AP100" s="22">
        <v>33</v>
      </c>
      <c r="AQ100" s="24">
        <f t="shared" si="57"/>
        <v>1.5</v>
      </c>
      <c r="AR100" s="22">
        <v>51</v>
      </c>
      <c r="AS100" s="24">
        <f t="shared" si="53"/>
        <v>2.3181818181818183</v>
      </c>
      <c r="AT100" s="26">
        <v>0.39748460307649691</v>
      </c>
      <c r="AU100" s="26">
        <v>2.9259080093963705E-2</v>
      </c>
      <c r="AV100" s="26">
        <v>0.17696378813802333</v>
      </c>
      <c r="AW100" s="26">
        <v>0.22052081493847356</v>
      </c>
      <c r="AX100" s="26">
        <v>101.62705506198361</v>
      </c>
      <c r="AY100" s="26">
        <v>113.03661229669416</v>
      </c>
      <c r="AZ100" s="26">
        <v>4.6638631690474828</v>
      </c>
      <c r="BA100" s="26">
        <v>11.954545454545455</v>
      </c>
      <c r="BB100" s="26">
        <v>19.359587780640414</v>
      </c>
      <c r="BC100" s="25">
        <v>0.48984507225621665</v>
      </c>
      <c r="BD100" s="25">
        <v>0.44927536231884058</v>
      </c>
      <c r="BE100" s="26">
        <v>11.887209859704093</v>
      </c>
      <c r="BF100" s="25">
        <v>0.44565217391304346</v>
      </c>
      <c r="BG100" s="25">
        <v>0.25724637681159418</v>
      </c>
      <c r="BH100" s="26">
        <v>3.8657979826417268</v>
      </c>
      <c r="BI100" s="26">
        <v>7.0592832726501094</v>
      </c>
      <c r="BJ100" s="26">
        <v>5.2213868003341686</v>
      </c>
      <c r="BK100" s="26">
        <v>3.1606851549755297</v>
      </c>
      <c r="BL100" s="26">
        <v>1.5013548877835741</v>
      </c>
      <c r="BM100" s="26">
        <v>0.47650409368070484</v>
      </c>
      <c r="BN100" s="26">
        <v>9.6990359746061596</v>
      </c>
      <c r="BO100" s="27" t="s">
        <v>232</v>
      </c>
      <c r="BP100" s="28"/>
      <c r="BQ100" s="17" t="s">
        <v>253</v>
      </c>
      <c r="BR100" s="35">
        <v>433.18</v>
      </c>
      <c r="BS100" s="35">
        <v>658.38</v>
      </c>
      <c r="BT100" s="35">
        <v>225.2</v>
      </c>
      <c r="BU100" s="35">
        <f t="shared" si="58"/>
        <v>19.689999999999998</v>
      </c>
      <c r="BV100" s="35">
        <f t="shared" si="59"/>
        <v>29.926363636363636</v>
      </c>
      <c r="BW100" s="35">
        <f t="shared" si="60"/>
        <v>10.236363636363636</v>
      </c>
      <c r="BX100" s="36">
        <f t="shared" si="61"/>
        <v>31.886639676113358</v>
      </c>
      <c r="BY100" s="36">
        <f t="shared" si="62"/>
        <v>48.463746779536251</v>
      </c>
      <c r="BZ100" s="36">
        <f t="shared" si="63"/>
        <v>16.577107103422893</v>
      </c>
      <c r="CA100" s="50">
        <v>7</v>
      </c>
      <c r="CB100" s="50">
        <v>15</v>
      </c>
    </row>
    <row r="101" spans="1:80" x14ac:dyDescent="0.4">
      <c r="A101" s="21" t="s">
        <v>231</v>
      </c>
      <c r="B101" s="17" t="s">
        <v>194</v>
      </c>
      <c r="C101" s="17" t="s">
        <v>65</v>
      </c>
      <c r="D101" s="22">
        <v>23</v>
      </c>
      <c r="E101" s="22">
        <v>13</v>
      </c>
      <c r="F101" s="22">
        <v>35</v>
      </c>
      <c r="G101" s="23">
        <v>18745</v>
      </c>
      <c r="H101" s="23">
        <v>29</v>
      </c>
      <c r="I101" s="24">
        <f t="shared" si="37"/>
        <v>1.2608695652173914</v>
      </c>
      <c r="J101" s="22">
        <v>10</v>
      </c>
      <c r="K101" s="22">
        <v>37</v>
      </c>
      <c r="L101" s="24">
        <f t="shared" si="54"/>
        <v>0.43478260869565216</v>
      </c>
      <c r="M101" s="24">
        <f t="shared" si="55"/>
        <v>1.6086956521739131</v>
      </c>
      <c r="N101" s="25">
        <f t="shared" si="56"/>
        <v>0.27027027027027029</v>
      </c>
      <c r="O101" s="23">
        <v>1</v>
      </c>
      <c r="P101" s="22">
        <v>4</v>
      </c>
      <c r="Q101" s="24">
        <f t="shared" si="38"/>
        <v>4.3478260869565216E-2</v>
      </c>
      <c r="R101" s="24">
        <f t="shared" si="39"/>
        <v>0.17391304347826086</v>
      </c>
      <c r="S101" s="25">
        <f t="shared" si="40"/>
        <v>0.25</v>
      </c>
      <c r="T101" s="22">
        <v>9</v>
      </c>
      <c r="U101" s="22">
        <v>33</v>
      </c>
      <c r="V101" s="24">
        <f t="shared" si="41"/>
        <v>0.39130434782608697</v>
      </c>
      <c r="W101" s="24">
        <f t="shared" si="42"/>
        <v>1.4347826086956521</v>
      </c>
      <c r="X101" s="25">
        <f t="shared" si="43"/>
        <v>0.27272727272727271</v>
      </c>
      <c r="Y101" s="22">
        <v>0</v>
      </c>
      <c r="Z101" s="22">
        <v>0</v>
      </c>
      <c r="AA101" s="24">
        <f t="shared" si="44"/>
        <v>0</v>
      </c>
      <c r="AB101" s="24">
        <f t="shared" si="45"/>
        <v>0</v>
      </c>
      <c r="AC101" s="25" t="e">
        <f t="shared" si="46"/>
        <v>#DIV/0!</v>
      </c>
      <c r="AD101" s="22">
        <v>49</v>
      </c>
      <c r="AE101" s="24">
        <f t="shared" si="47"/>
        <v>2.1304347826086958</v>
      </c>
      <c r="AF101" s="22">
        <v>14</v>
      </c>
      <c r="AG101" s="24">
        <f t="shared" si="48"/>
        <v>0.60869565217391308</v>
      </c>
      <c r="AH101" s="22">
        <v>35</v>
      </c>
      <c r="AI101" s="24">
        <f t="shared" si="49"/>
        <v>1.5217391304347827</v>
      </c>
      <c r="AJ101" s="22">
        <v>10</v>
      </c>
      <c r="AK101" s="24">
        <f t="shared" si="50"/>
        <v>0.43478260869565216</v>
      </c>
      <c r="AL101" s="22">
        <v>16</v>
      </c>
      <c r="AM101" s="24">
        <f t="shared" si="51"/>
        <v>0.69565217391304346</v>
      </c>
      <c r="AN101" s="10">
        <v>0</v>
      </c>
      <c r="AO101" s="24">
        <f t="shared" si="52"/>
        <v>0</v>
      </c>
      <c r="AP101" s="22">
        <v>11</v>
      </c>
      <c r="AQ101" s="24">
        <f t="shared" si="57"/>
        <v>0.47826086956521741</v>
      </c>
      <c r="AR101" s="22">
        <v>34</v>
      </c>
      <c r="AS101" s="24">
        <f t="shared" si="53"/>
        <v>1.4782608695652173</v>
      </c>
      <c r="AT101" s="26">
        <v>0.35317294563957324</v>
      </c>
      <c r="AU101" s="26">
        <v>4.5218195227259311E-2</v>
      </c>
      <c r="AV101" s="26">
        <v>0.21267803090166718</v>
      </c>
      <c r="AW101" s="26">
        <v>0.14049491473790607</v>
      </c>
      <c r="AX101" s="26">
        <v>123.2073851165046</v>
      </c>
      <c r="AY101" s="26">
        <v>112.62579453085601</v>
      </c>
      <c r="AZ101" s="26">
        <v>1.0297675792920937</v>
      </c>
      <c r="BA101" s="26">
        <v>2.8695652173913042</v>
      </c>
      <c r="BB101" s="26">
        <v>8.4502534009069077</v>
      </c>
      <c r="BC101" s="25">
        <v>0.39189189189189189</v>
      </c>
      <c r="BD101" s="25">
        <v>0.39189189189189189</v>
      </c>
      <c r="BE101" s="26">
        <v>3.0494842348018154</v>
      </c>
      <c r="BF101" s="25">
        <v>0.89189189189189189</v>
      </c>
      <c r="BG101" s="25">
        <v>0</v>
      </c>
      <c r="BH101" s="26">
        <v>2.1394392249626715</v>
      </c>
      <c r="BI101" s="26">
        <v>5.348598062406678</v>
      </c>
      <c r="BJ101" s="26">
        <v>3.5787321063394684</v>
      </c>
      <c r="BK101" s="26">
        <v>1.7016449234259783</v>
      </c>
      <c r="BL101" s="26">
        <v>2.7854638434452932</v>
      </c>
      <c r="BM101" s="26">
        <v>0</v>
      </c>
      <c r="BN101" s="26">
        <v>22.916666666666668</v>
      </c>
      <c r="BO101" s="27" t="s">
        <v>189</v>
      </c>
      <c r="BP101" s="28"/>
      <c r="BQ101" s="17" t="s">
        <v>255</v>
      </c>
      <c r="BR101" s="35">
        <v>154.53</v>
      </c>
      <c r="BS101" s="35">
        <v>195.63</v>
      </c>
      <c r="BT101" s="35">
        <v>41.1</v>
      </c>
      <c r="BU101" s="35">
        <f t="shared" si="58"/>
        <v>6.7186956521739134</v>
      </c>
      <c r="BV101" s="35">
        <f t="shared" si="59"/>
        <v>8.5056521739130435</v>
      </c>
      <c r="BW101" s="35">
        <f t="shared" si="60"/>
        <v>1.7869565217391306</v>
      </c>
      <c r="BX101" s="36">
        <f t="shared" si="61"/>
        <v>19.785116030941587</v>
      </c>
      <c r="BY101" s="36">
        <f t="shared" si="62"/>
        <v>25.047319285142706</v>
      </c>
      <c r="BZ101" s="36">
        <f t="shared" si="63"/>
        <v>5.2622032542011201</v>
      </c>
      <c r="CA101" s="48">
        <v>7</v>
      </c>
      <c r="CB101" s="48">
        <v>16</v>
      </c>
    </row>
    <row r="102" spans="1:80" x14ac:dyDescent="0.4">
      <c r="A102" s="21" t="s">
        <v>231</v>
      </c>
      <c r="B102" s="17" t="s">
        <v>194</v>
      </c>
      <c r="C102" s="17" t="s">
        <v>201</v>
      </c>
      <c r="D102" s="22">
        <v>32</v>
      </c>
      <c r="E102" s="22">
        <v>28</v>
      </c>
      <c r="F102" s="22">
        <v>41</v>
      </c>
      <c r="G102" s="23">
        <v>55072</v>
      </c>
      <c r="H102" s="23">
        <v>578</v>
      </c>
      <c r="I102" s="24">
        <f t="shared" si="37"/>
        <v>18.0625</v>
      </c>
      <c r="J102" s="22">
        <v>216</v>
      </c>
      <c r="K102" s="22">
        <v>478</v>
      </c>
      <c r="L102" s="24">
        <f t="shared" si="54"/>
        <v>6.75</v>
      </c>
      <c r="M102" s="24">
        <f t="shared" si="55"/>
        <v>14.9375</v>
      </c>
      <c r="N102" s="25">
        <f t="shared" si="56"/>
        <v>0.45188284518828453</v>
      </c>
      <c r="O102" s="23">
        <v>138</v>
      </c>
      <c r="P102" s="22">
        <v>272</v>
      </c>
      <c r="Q102" s="24">
        <f t="shared" si="38"/>
        <v>4.3125</v>
      </c>
      <c r="R102" s="24">
        <f t="shared" si="39"/>
        <v>8.5</v>
      </c>
      <c r="S102" s="25">
        <f t="shared" si="40"/>
        <v>0.50735294117647056</v>
      </c>
      <c r="T102" s="22">
        <v>78</v>
      </c>
      <c r="U102" s="22">
        <v>206</v>
      </c>
      <c r="V102" s="24">
        <f t="shared" si="41"/>
        <v>2.4375</v>
      </c>
      <c r="W102" s="24">
        <f t="shared" si="42"/>
        <v>6.4375</v>
      </c>
      <c r="X102" s="25">
        <f t="shared" si="43"/>
        <v>0.37864077669902912</v>
      </c>
      <c r="Y102" s="22">
        <v>68</v>
      </c>
      <c r="Z102" s="22">
        <v>79</v>
      </c>
      <c r="AA102" s="24">
        <f t="shared" si="44"/>
        <v>2.125</v>
      </c>
      <c r="AB102" s="24">
        <f t="shared" si="45"/>
        <v>2.46875</v>
      </c>
      <c r="AC102" s="25">
        <f t="shared" si="46"/>
        <v>0.86075949367088611</v>
      </c>
      <c r="AD102" s="22">
        <v>250</v>
      </c>
      <c r="AE102" s="24">
        <f t="shared" si="47"/>
        <v>7.8125</v>
      </c>
      <c r="AF102" s="22">
        <v>52</v>
      </c>
      <c r="AG102" s="24">
        <f t="shared" si="48"/>
        <v>1.625</v>
      </c>
      <c r="AH102" s="22">
        <v>198</v>
      </c>
      <c r="AI102" s="24">
        <f t="shared" si="49"/>
        <v>6.1875</v>
      </c>
      <c r="AJ102" s="22">
        <v>82</v>
      </c>
      <c r="AK102" s="24">
        <f t="shared" si="50"/>
        <v>2.5625</v>
      </c>
      <c r="AL102" s="22">
        <v>36</v>
      </c>
      <c r="AM102" s="24">
        <f t="shared" si="51"/>
        <v>1.125</v>
      </c>
      <c r="AN102" s="10">
        <v>26</v>
      </c>
      <c r="AO102" s="24">
        <f t="shared" si="52"/>
        <v>0.8125</v>
      </c>
      <c r="AP102" s="22">
        <v>72</v>
      </c>
      <c r="AQ102" s="24">
        <f t="shared" si="57"/>
        <v>2.25</v>
      </c>
      <c r="AR102" s="22">
        <v>66</v>
      </c>
      <c r="AS102" s="24">
        <f t="shared" si="53"/>
        <v>2.0625</v>
      </c>
      <c r="AT102" s="26">
        <v>2.1806968238381224</v>
      </c>
      <c r="AU102" s="26">
        <v>9.5033272392713058E-2</v>
      </c>
      <c r="AV102" s="26">
        <v>1.319405294284808</v>
      </c>
      <c r="AW102" s="26">
        <v>0.86129152955331412</v>
      </c>
      <c r="AX102" s="26">
        <v>108.64696436827919</v>
      </c>
      <c r="AY102" s="26">
        <v>108.05154506442157</v>
      </c>
      <c r="AZ102" s="26">
        <v>10.164907788888351</v>
      </c>
      <c r="BA102" s="26">
        <v>19.59375</v>
      </c>
      <c r="BB102" s="26">
        <v>27.324230098779779</v>
      </c>
      <c r="BC102" s="25">
        <v>0.56361650674779629</v>
      </c>
      <c r="BD102" s="25">
        <v>0.53347280334728031</v>
      </c>
      <c r="BE102" s="26">
        <v>17.592985751153741</v>
      </c>
      <c r="BF102" s="25">
        <v>0.43096234309623432</v>
      </c>
      <c r="BG102" s="25">
        <v>0.16527196652719664</v>
      </c>
      <c r="BH102" s="26">
        <v>3.7631540779413135</v>
      </c>
      <c r="BI102" s="26">
        <v>14.328932835238078</v>
      </c>
      <c r="BJ102" s="26">
        <v>8.6466893555795359</v>
      </c>
      <c r="BK102" s="26">
        <v>7.8388885348288833</v>
      </c>
      <c r="BL102" s="26">
        <v>2.1332150535137555</v>
      </c>
      <c r="BM102" s="26">
        <v>1.5240853106752652</v>
      </c>
      <c r="BN102" s="26">
        <v>12.312743689718859</v>
      </c>
      <c r="BO102" s="27" t="s">
        <v>232</v>
      </c>
      <c r="BP102" s="28"/>
      <c r="BQ102" s="17" t="s">
        <v>253</v>
      </c>
      <c r="BR102" s="35">
        <v>908.52</v>
      </c>
      <c r="BS102" s="35">
        <v>1274.52</v>
      </c>
      <c r="BT102" s="35">
        <v>366</v>
      </c>
      <c r="BU102" s="35">
        <f t="shared" si="58"/>
        <v>28.391249999999999</v>
      </c>
      <c r="BV102" s="35">
        <f t="shared" si="59"/>
        <v>39.828749999999999</v>
      </c>
      <c r="BW102" s="35">
        <f t="shared" si="60"/>
        <v>11.4375</v>
      </c>
      <c r="BX102" s="36">
        <f t="shared" si="61"/>
        <v>39.592678675188836</v>
      </c>
      <c r="BY102" s="36">
        <f t="shared" si="62"/>
        <v>55.542707728065075</v>
      </c>
      <c r="BZ102" s="36">
        <f t="shared" si="63"/>
        <v>15.950029052876236</v>
      </c>
      <c r="CA102" s="48">
        <v>14</v>
      </c>
      <c r="CB102" s="48">
        <v>18</v>
      </c>
    </row>
    <row r="103" spans="1:80" x14ac:dyDescent="0.4">
      <c r="A103" s="21" t="s">
        <v>231</v>
      </c>
      <c r="B103" s="17" t="s">
        <v>194</v>
      </c>
      <c r="C103" s="17" t="s">
        <v>63</v>
      </c>
      <c r="D103" s="22">
        <v>48</v>
      </c>
      <c r="E103" s="22">
        <v>28</v>
      </c>
      <c r="F103" s="22">
        <v>34</v>
      </c>
      <c r="G103" s="23">
        <v>82272</v>
      </c>
      <c r="H103" s="23">
        <v>477</v>
      </c>
      <c r="I103" s="24">
        <f t="shared" si="37"/>
        <v>9.9375</v>
      </c>
      <c r="J103" s="22">
        <v>168</v>
      </c>
      <c r="K103" s="22">
        <v>429</v>
      </c>
      <c r="L103" s="24">
        <f t="shared" si="54"/>
        <v>3.5</v>
      </c>
      <c r="M103" s="24">
        <f t="shared" si="55"/>
        <v>8.9375</v>
      </c>
      <c r="N103" s="25">
        <f t="shared" si="56"/>
        <v>0.39160839160839161</v>
      </c>
      <c r="O103" s="23">
        <v>95</v>
      </c>
      <c r="P103" s="22">
        <v>226</v>
      </c>
      <c r="Q103" s="24">
        <f t="shared" si="38"/>
        <v>1.9791666666666667</v>
      </c>
      <c r="R103" s="24">
        <f t="shared" si="39"/>
        <v>4.708333333333333</v>
      </c>
      <c r="S103" s="25">
        <f t="shared" si="40"/>
        <v>0.42035398230088494</v>
      </c>
      <c r="T103" s="22">
        <v>73</v>
      </c>
      <c r="U103" s="22">
        <v>203</v>
      </c>
      <c r="V103" s="24">
        <f t="shared" si="41"/>
        <v>1.5208333333333333</v>
      </c>
      <c r="W103" s="24">
        <f t="shared" si="42"/>
        <v>4.229166666666667</v>
      </c>
      <c r="X103" s="25">
        <f t="shared" si="43"/>
        <v>0.35960591133004927</v>
      </c>
      <c r="Y103" s="22">
        <v>68</v>
      </c>
      <c r="Z103" s="22">
        <v>92</v>
      </c>
      <c r="AA103" s="24">
        <f t="shared" si="44"/>
        <v>1.4166666666666667</v>
      </c>
      <c r="AB103" s="24">
        <f t="shared" si="45"/>
        <v>1.9166666666666667</v>
      </c>
      <c r="AC103" s="25">
        <f t="shared" si="46"/>
        <v>0.73913043478260865</v>
      </c>
      <c r="AD103" s="22">
        <v>109</v>
      </c>
      <c r="AE103" s="24">
        <f t="shared" si="47"/>
        <v>2.2708333333333335</v>
      </c>
      <c r="AF103" s="22">
        <v>24</v>
      </c>
      <c r="AG103" s="24">
        <f t="shared" si="48"/>
        <v>0.5</v>
      </c>
      <c r="AH103" s="22">
        <v>85</v>
      </c>
      <c r="AI103" s="24">
        <f t="shared" si="49"/>
        <v>1.7708333333333333</v>
      </c>
      <c r="AJ103" s="22">
        <v>195</v>
      </c>
      <c r="AK103" s="24">
        <f t="shared" si="50"/>
        <v>4.0625</v>
      </c>
      <c r="AL103" s="22">
        <v>48</v>
      </c>
      <c r="AM103" s="24">
        <f t="shared" si="51"/>
        <v>1</v>
      </c>
      <c r="AN103" s="10">
        <v>2</v>
      </c>
      <c r="AO103" s="24">
        <f t="shared" si="52"/>
        <v>4.1666666666666664E-2</v>
      </c>
      <c r="AP103" s="22">
        <v>85</v>
      </c>
      <c r="AQ103" s="24">
        <f t="shared" ref="AQ103:AQ134" si="64">AP103/$D103</f>
        <v>1.7708333333333333</v>
      </c>
      <c r="AR103" s="22">
        <v>106</v>
      </c>
      <c r="AS103" s="24">
        <f t="shared" si="53"/>
        <v>2.2083333333333335</v>
      </c>
      <c r="AT103" s="26">
        <v>0.7036275674870649</v>
      </c>
      <c r="AU103" s="26">
        <v>2.0525891700322776E-2</v>
      </c>
      <c r="AV103" s="26">
        <v>0.71645834506222261</v>
      </c>
      <c r="AW103" s="26">
        <v>-1.2830777575157696E-2</v>
      </c>
      <c r="AX103" s="26">
        <v>104.39529874344322</v>
      </c>
      <c r="AY103" s="26">
        <v>116.92298480842594</v>
      </c>
      <c r="AZ103" s="26">
        <v>7.0941618275777465</v>
      </c>
      <c r="BA103" s="26">
        <v>9.6041666666666661</v>
      </c>
      <c r="BB103" s="26">
        <v>13.448074679113184</v>
      </c>
      <c r="BC103" s="25">
        <v>0.50800886086734254</v>
      </c>
      <c r="BD103" s="25">
        <v>0.4766899766899767</v>
      </c>
      <c r="BE103" s="26">
        <v>16.750116504862188</v>
      </c>
      <c r="BF103" s="25">
        <v>0.47319347319347321</v>
      </c>
      <c r="BG103" s="25">
        <v>0.21445221445221446</v>
      </c>
      <c r="BH103" s="26">
        <v>1.7439336239485685</v>
      </c>
      <c r="BI103" s="26">
        <v>6.1764315848178466</v>
      </c>
      <c r="BJ103" s="26">
        <v>3.7853531144079571</v>
      </c>
      <c r="BK103" s="26">
        <v>17.907432349700017</v>
      </c>
      <c r="BL103" s="26">
        <v>1.9039352299220398</v>
      </c>
      <c r="BM103" s="26">
        <v>0.11771613049421645</v>
      </c>
      <c r="BN103" s="26">
        <v>15.329678257105757</v>
      </c>
      <c r="BO103" s="27" t="s">
        <v>189</v>
      </c>
      <c r="BP103" s="27"/>
      <c r="BQ103" s="17" t="s">
        <v>255</v>
      </c>
      <c r="BR103" s="35">
        <v>902.06</v>
      </c>
      <c r="BS103" s="35">
        <v>1296.76</v>
      </c>
      <c r="BT103" s="35">
        <v>394.7</v>
      </c>
      <c r="BU103" s="35">
        <f t="shared" si="58"/>
        <v>18.792916666666667</v>
      </c>
      <c r="BV103" s="35">
        <f t="shared" si="59"/>
        <v>27.015833333333333</v>
      </c>
      <c r="BW103" s="35">
        <f t="shared" si="60"/>
        <v>8.2229166666666664</v>
      </c>
      <c r="BX103" s="36">
        <f t="shared" si="61"/>
        <v>26.314469078179698</v>
      </c>
      <c r="BY103" s="36">
        <f t="shared" si="62"/>
        <v>37.828471411901987</v>
      </c>
      <c r="BZ103" s="36">
        <f t="shared" si="63"/>
        <v>11.514002333722287</v>
      </c>
      <c r="CA103" s="50">
        <v>20</v>
      </c>
      <c r="CB103" s="50">
        <v>28</v>
      </c>
    </row>
    <row r="104" spans="1:80" x14ac:dyDescent="0.4">
      <c r="A104" s="21" t="s">
        <v>231</v>
      </c>
      <c r="B104" s="17" t="s">
        <v>194</v>
      </c>
      <c r="C104" s="17" t="s">
        <v>66</v>
      </c>
      <c r="D104" s="22">
        <v>50</v>
      </c>
      <c r="E104" s="22">
        <v>15</v>
      </c>
      <c r="F104" s="22">
        <v>32</v>
      </c>
      <c r="G104" s="23">
        <v>46600</v>
      </c>
      <c r="H104" s="23">
        <v>205</v>
      </c>
      <c r="I104" s="24">
        <f t="shared" si="37"/>
        <v>4.0999999999999996</v>
      </c>
      <c r="J104" s="22">
        <v>63</v>
      </c>
      <c r="K104" s="22">
        <v>168</v>
      </c>
      <c r="L104" s="24">
        <f t="shared" si="54"/>
        <v>1.26</v>
      </c>
      <c r="M104" s="24">
        <f t="shared" si="55"/>
        <v>3.36</v>
      </c>
      <c r="N104" s="25">
        <f t="shared" si="56"/>
        <v>0.375</v>
      </c>
      <c r="O104" s="23">
        <v>31</v>
      </c>
      <c r="P104" s="22">
        <v>68</v>
      </c>
      <c r="Q104" s="24">
        <f t="shared" si="38"/>
        <v>0.62</v>
      </c>
      <c r="R104" s="24">
        <f t="shared" si="39"/>
        <v>1.36</v>
      </c>
      <c r="S104" s="25">
        <f t="shared" si="40"/>
        <v>0.45588235294117646</v>
      </c>
      <c r="T104" s="22">
        <v>32</v>
      </c>
      <c r="U104" s="22">
        <v>100</v>
      </c>
      <c r="V104" s="24">
        <f t="shared" si="41"/>
        <v>0.64</v>
      </c>
      <c r="W104" s="24">
        <f t="shared" si="42"/>
        <v>2</v>
      </c>
      <c r="X104" s="25">
        <f t="shared" si="43"/>
        <v>0.32</v>
      </c>
      <c r="Y104" s="22">
        <v>47</v>
      </c>
      <c r="Z104" s="22">
        <v>66</v>
      </c>
      <c r="AA104" s="24">
        <f t="shared" si="44"/>
        <v>0.94</v>
      </c>
      <c r="AB104" s="24">
        <f t="shared" si="45"/>
        <v>1.32</v>
      </c>
      <c r="AC104" s="25">
        <f t="shared" si="46"/>
        <v>0.71212121212121215</v>
      </c>
      <c r="AD104" s="22">
        <v>89</v>
      </c>
      <c r="AE104" s="24">
        <f t="shared" si="47"/>
        <v>1.78</v>
      </c>
      <c r="AF104" s="22">
        <v>36</v>
      </c>
      <c r="AG104" s="24">
        <f t="shared" si="48"/>
        <v>0.72</v>
      </c>
      <c r="AH104" s="22">
        <v>53</v>
      </c>
      <c r="AI104" s="24">
        <f t="shared" si="49"/>
        <v>1.06</v>
      </c>
      <c r="AJ104" s="22">
        <v>84</v>
      </c>
      <c r="AK104" s="24">
        <f t="shared" si="50"/>
        <v>1.68</v>
      </c>
      <c r="AL104" s="22">
        <v>39</v>
      </c>
      <c r="AM104" s="24">
        <f t="shared" si="51"/>
        <v>0.78</v>
      </c>
      <c r="AN104" s="10">
        <v>5</v>
      </c>
      <c r="AO104" s="24">
        <f t="shared" si="52"/>
        <v>0.1</v>
      </c>
      <c r="AP104" s="22">
        <v>31</v>
      </c>
      <c r="AQ104" s="24">
        <f t="shared" si="64"/>
        <v>0.62</v>
      </c>
      <c r="AR104" s="22">
        <v>92</v>
      </c>
      <c r="AS104" s="24">
        <f t="shared" si="53"/>
        <v>1.84</v>
      </c>
      <c r="AT104" s="26">
        <v>1.0347709869297943</v>
      </c>
      <c r="AU104" s="26">
        <v>5.3292926365482968E-2</v>
      </c>
      <c r="AV104" s="26">
        <v>0.82747388867890392</v>
      </c>
      <c r="AW104" s="26">
        <v>0.20729709825089029</v>
      </c>
      <c r="AX104" s="26">
        <v>112.71008081276878</v>
      </c>
      <c r="AY104" s="26">
        <v>114.33693036010453</v>
      </c>
      <c r="AZ104" s="26">
        <v>6.8724326755943794</v>
      </c>
      <c r="BA104" s="26">
        <v>5.34</v>
      </c>
      <c r="BB104" s="26">
        <v>13.751072961373392</v>
      </c>
      <c r="BC104" s="25">
        <v>0.52019894437677627</v>
      </c>
      <c r="BD104" s="25">
        <v>0.47023809523809523</v>
      </c>
      <c r="BE104" s="26">
        <v>12.668870120192416</v>
      </c>
      <c r="BF104" s="25">
        <v>0.59523809523809523</v>
      </c>
      <c r="BG104" s="25">
        <v>0.39285714285714285</v>
      </c>
      <c r="BH104" s="26">
        <v>4.8107868531885947</v>
      </c>
      <c r="BI104" s="26">
        <v>7.0825473116387636</v>
      </c>
      <c r="BJ104" s="26">
        <v>5.6841406090333129</v>
      </c>
      <c r="BK104" s="26">
        <v>13.538197055979373</v>
      </c>
      <c r="BL104" s="26">
        <v>2.7311256304585552</v>
      </c>
      <c r="BM104" s="26">
        <v>0.54121632957909604</v>
      </c>
      <c r="BN104" s="26">
        <v>13.594106297140852</v>
      </c>
      <c r="BO104" s="27" t="s">
        <v>189</v>
      </c>
      <c r="BP104" s="28"/>
      <c r="BQ104" s="17" t="s">
        <v>255</v>
      </c>
      <c r="BR104" s="35">
        <v>522.28</v>
      </c>
      <c r="BS104" s="35">
        <v>682.18</v>
      </c>
      <c r="BT104" s="35">
        <v>159.9</v>
      </c>
      <c r="BU104" s="35">
        <f t="shared" si="58"/>
        <v>10.445599999999999</v>
      </c>
      <c r="BV104" s="35">
        <f t="shared" si="59"/>
        <v>13.643599999999999</v>
      </c>
      <c r="BW104" s="35">
        <f t="shared" si="60"/>
        <v>3.198</v>
      </c>
      <c r="BX104" s="36">
        <f t="shared" si="61"/>
        <v>26.898540772532186</v>
      </c>
      <c r="BY104" s="36">
        <f t="shared" si="62"/>
        <v>35.133733905579398</v>
      </c>
      <c r="BZ104" s="36">
        <f t="shared" si="63"/>
        <v>8.2351931330472095</v>
      </c>
      <c r="CA104" s="50">
        <v>18</v>
      </c>
      <c r="CB104" s="50">
        <v>32</v>
      </c>
    </row>
    <row r="105" spans="1:80" x14ac:dyDescent="0.4">
      <c r="A105" s="21" t="s">
        <v>231</v>
      </c>
      <c r="B105" s="17" t="s">
        <v>194</v>
      </c>
      <c r="C105" s="17" t="s">
        <v>64</v>
      </c>
      <c r="D105" s="22">
        <v>15</v>
      </c>
      <c r="E105" s="22">
        <v>8</v>
      </c>
      <c r="F105" s="22">
        <v>21</v>
      </c>
      <c r="G105" s="23">
        <v>7515</v>
      </c>
      <c r="H105" s="23">
        <v>39</v>
      </c>
      <c r="I105" s="24">
        <f t="shared" si="37"/>
        <v>2.6</v>
      </c>
      <c r="J105" s="22">
        <v>12</v>
      </c>
      <c r="K105" s="22">
        <v>26</v>
      </c>
      <c r="L105" s="24">
        <f t="shared" si="54"/>
        <v>0.8</v>
      </c>
      <c r="M105" s="24">
        <f t="shared" si="55"/>
        <v>1.7333333333333334</v>
      </c>
      <c r="N105" s="25">
        <f t="shared" si="56"/>
        <v>0.46153846153846156</v>
      </c>
      <c r="O105" s="23">
        <v>7</v>
      </c>
      <c r="P105" s="22">
        <v>13</v>
      </c>
      <c r="Q105" s="24">
        <f t="shared" si="38"/>
        <v>0.46666666666666667</v>
      </c>
      <c r="R105" s="24">
        <f t="shared" si="39"/>
        <v>0.8666666666666667</v>
      </c>
      <c r="S105" s="25">
        <f t="shared" si="40"/>
        <v>0.53846153846153844</v>
      </c>
      <c r="T105" s="22">
        <v>5</v>
      </c>
      <c r="U105" s="22">
        <v>13</v>
      </c>
      <c r="V105" s="24">
        <f t="shared" si="41"/>
        <v>0.33333333333333331</v>
      </c>
      <c r="W105" s="24">
        <f t="shared" si="42"/>
        <v>0.8666666666666667</v>
      </c>
      <c r="X105" s="25">
        <f t="shared" si="43"/>
        <v>0.38461538461538464</v>
      </c>
      <c r="Y105" s="22">
        <v>10</v>
      </c>
      <c r="Z105" s="22">
        <v>13</v>
      </c>
      <c r="AA105" s="24">
        <f t="shared" si="44"/>
        <v>0.66666666666666663</v>
      </c>
      <c r="AB105" s="24">
        <f t="shared" si="45"/>
        <v>0.8666666666666667</v>
      </c>
      <c r="AC105" s="25">
        <f t="shared" si="46"/>
        <v>0.76923076923076927</v>
      </c>
      <c r="AD105" s="22">
        <v>16</v>
      </c>
      <c r="AE105" s="24">
        <f t="shared" si="47"/>
        <v>1.0666666666666667</v>
      </c>
      <c r="AF105" s="22">
        <v>3</v>
      </c>
      <c r="AG105" s="24">
        <f t="shared" si="48"/>
        <v>0.2</v>
      </c>
      <c r="AH105" s="22">
        <v>13</v>
      </c>
      <c r="AI105" s="24">
        <f t="shared" si="49"/>
        <v>0.8666666666666667</v>
      </c>
      <c r="AJ105" s="22">
        <v>15</v>
      </c>
      <c r="AK105" s="24">
        <f t="shared" si="50"/>
        <v>1</v>
      </c>
      <c r="AL105" s="22">
        <v>2</v>
      </c>
      <c r="AM105" s="24">
        <f t="shared" si="51"/>
        <v>0.13333333333333333</v>
      </c>
      <c r="AN105" s="10">
        <v>0</v>
      </c>
      <c r="AO105" s="24">
        <f t="shared" si="52"/>
        <v>0</v>
      </c>
      <c r="AP105" s="22">
        <v>10</v>
      </c>
      <c r="AQ105" s="24">
        <f t="shared" si="64"/>
        <v>0.66666666666666663</v>
      </c>
      <c r="AR105" s="22">
        <v>20</v>
      </c>
      <c r="AS105" s="24">
        <f t="shared" si="53"/>
        <v>1.3333333333333333</v>
      </c>
      <c r="AT105" s="26">
        <v>0.10241528279329307</v>
      </c>
      <c r="AU105" s="26">
        <v>3.2707475542768247E-2</v>
      </c>
      <c r="AV105" s="26">
        <v>0.10858470246303747</v>
      </c>
      <c r="AW105" s="26">
        <v>-6.1694196697444099E-3</v>
      </c>
      <c r="AX105" s="26">
        <v>108.91922489226093</v>
      </c>
      <c r="AY105" s="26">
        <v>117.29647719318704</v>
      </c>
      <c r="AZ105" s="26">
        <v>1.4340484091599652</v>
      </c>
      <c r="BA105" s="26">
        <v>3</v>
      </c>
      <c r="BB105" s="26">
        <v>14.37125748502994</v>
      </c>
      <c r="BC105" s="25">
        <v>0.61475409836065575</v>
      </c>
      <c r="BD105" s="25">
        <v>0.55769230769230771</v>
      </c>
      <c r="BE105" s="26">
        <v>4.3117079613641209</v>
      </c>
      <c r="BF105" s="25">
        <v>0.5</v>
      </c>
      <c r="BG105" s="25">
        <v>0.5</v>
      </c>
      <c r="BH105" s="26">
        <v>0.74578398988219718</v>
      </c>
      <c r="BI105" s="26">
        <v>3.2317306228228544</v>
      </c>
      <c r="BJ105" s="26">
        <v>1.9009599847923202</v>
      </c>
      <c r="BK105" s="26">
        <v>4.220596510973551</v>
      </c>
      <c r="BL105" s="26">
        <v>0.8684883523849305</v>
      </c>
      <c r="BM105" s="26">
        <v>0</v>
      </c>
      <c r="BN105" s="26">
        <v>23.969319271332694</v>
      </c>
      <c r="BO105" s="27" t="s">
        <v>189</v>
      </c>
      <c r="BP105" s="28"/>
      <c r="BQ105" s="17" t="s">
        <v>255</v>
      </c>
      <c r="BR105" s="35">
        <v>87.74</v>
      </c>
      <c r="BS105" s="35">
        <v>118.34</v>
      </c>
      <c r="BT105" s="35">
        <v>30.6</v>
      </c>
      <c r="BU105" s="35">
        <f t="shared" si="58"/>
        <v>5.8493333333333339</v>
      </c>
      <c r="BV105" s="35">
        <f t="shared" si="59"/>
        <v>7.889333333333334</v>
      </c>
      <c r="BW105" s="35">
        <f t="shared" si="60"/>
        <v>2.04</v>
      </c>
      <c r="BX105" s="36">
        <f t="shared" si="61"/>
        <v>28.02075848303393</v>
      </c>
      <c r="BY105" s="36">
        <f t="shared" si="62"/>
        <v>37.793213572854292</v>
      </c>
      <c r="BZ105" s="36">
        <f t="shared" si="63"/>
        <v>9.7724550898203599</v>
      </c>
      <c r="CA105" s="50">
        <v>6</v>
      </c>
      <c r="CB105" s="50">
        <v>9</v>
      </c>
    </row>
    <row r="106" spans="1:80" x14ac:dyDescent="0.4">
      <c r="A106" s="21" t="s">
        <v>231</v>
      </c>
      <c r="B106" s="17" t="s">
        <v>194</v>
      </c>
      <c r="C106" s="17" t="s">
        <v>59</v>
      </c>
      <c r="D106" s="22">
        <v>51</v>
      </c>
      <c r="E106" s="22">
        <v>29</v>
      </c>
      <c r="F106" s="22">
        <v>45</v>
      </c>
      <c r="G106" s="23">
        <v>91035</v>
      </c>
      <c r="H106" s="23">
        <v>780</v>
      </c>
      <c r="I106" s="24">
        <f t="shared" si="37"/>
        <v>15.294117647058824</v>
      </c>
      <c r="J106" s="22">
        <v>317</v>
      </c>
      <c r="K106" s="22">
        <v>541</v>
      </c>
      <c r="L106" s="24">
        <f t="shared" si="54"/>
        <v>6.215686274509804</v>
      </c>
      <c r="M106" s="24">
        <f t="shared" si="55"/>
        <v>10.607843137254902</v>
      </c>
      <c r="N106" s="25">
        <f t="shared" si="56"/>
        <v>0.58595194085027724</v>
      </c>
      <c r="O106" s="23">
        <v>317</v>
      </c>
      <c r="P106" s="22">
        <v>540</v>
      </c>
      <c r="Q106" s="24">
        <f t="shared" si="38"/>
        <v>6.215686274509804</v>
      </c>
      <c r="R106" s="24">
        <f t="shared" si="39"/>
        <v>10.588235294117647</v>
      </c>
      <c r="S106" s="25">
        <f t="shared" si="40"/>
        <v>0.58703703703703702</v>
      </c>
      <c r="T106" s="22">
        <v>0</v>
      </c>
      <c r="U106" s="22">
        <v>1</v>
      </c>
      <c r="V106" s="24">
        <f t="shared" si="41"/>
        <v>0</v>
      </c>
      <c r="W106" s="24">
        <f t="shared" si="42"/>
        <v>1.9607843137254902E-2</v>
      </c>
      <c r="X106" s="25">
        <f t="shared" si="43"/>
        <v>0</v>
      </c>
      <c r="Y106" s="22">
        <v>146</v>
      </c>
      <c r="Z106" s="22">
        <v>195</v>
      </c>
      <c r="AA106" s="24">
        <f t="shared" si="44"/>
        <v>2.8627450980392157</v>
      </c>
      <c r="AB106" s="24">
        <f t="shared" si="45"/>
        <v>3.8235294117647061</v>
      </c>
      <c r="AC106" s="25">
        <f t="shared" si="46"/>
        <v>0.74871794871794872</v>
      </c>
      <c r="AD106" s="22">
        <v>324</v>
      </c>
      <c r="AE106" s="24">
        <f t="shared" si="47"/>
        <v>6.3529411764705879</v>
      </c>
      <c r="AF106" s="22">
        <v>133</v>
      </c>
      <c r="AG106" s="24">
        <f t="shared" si="48"/>
        <v>2.607843137254902</v>
      </c>
      <c r="AH106" s="22">
        <v>191</v>
      </c>
      <c r="AI106" s="24">
        <f t="shared" si="49"/>
        <v>3.7450980392156863</v>
      </c>
      <c r="AJ106" s="22">
        <v>81</v>
      </c>
      <c r="AK106" s="24">
        <f t="shared" si="50"/>
        <v>1.588235294117647</v>
      </c>
      <c r="AL106" s="22">
        <v>29</v>
      </c>
      <c r="AM106" s="24">
        <f t="shared" si="51"/>
        <v>0.56862745098039214</v>
      </c>
      <c r="AN106" s="10">
        <v>31</v>
      </c>
      <c r="AO106" s="24">
        <f t="shared" si="52"/>
        <v>0.60784313725490191</v>
      </c>
      <c r="AP106" s="22">
        <v>69</v>
      </c>
      <c r="AQ106" s="24">
        <f t="shared" si="64"/>
        <v>1.3529411764705883</v>
      </c>
      <c r="AR106" s="22">
        <v>99</v>
      </c>
      <c r="AS106" s="24">
        <f t="shared" si="53"/>
        <v>1.9411764705882353</v>
      </c>
      <c r="AT106" s="26">
        <v>4.50492284616017</v>
      </c>
      <c r="AU106" s="26">
        <v>0.11876547295858086</v>
      </c>
      <c r="AV106" s="26">
        <v>4.2177377591510306</v>
      </c>
      <c r="AW106" s="26">
        <v>0.28718508700913914</v>
      </c>
      <c r="AX106" s="26">
        <v>123.35020298944835</v>
      </c>
      <c r="AY106" s="26">
        <v>115.06357510988478</v>
      </c>
      <c r="AZ106" s="26">
        <v>14.853752380140849</v>
      </c>
      <c r="BA106" s="26">
        <v>17.705882352941178</v>
      </c>
      <c r="BB106" s="26">
        <v>23.806228373702425</v>
      </c>
      <c r="BC106" s="25">
        <v>0.62220804084237402</v>
      </c>
      <c r="BD106" s="25">
        <v>0.58595194085027724</v>
      </c>
      <c r="BE106" s="26">
        <v>20.183150926922373</v>
      </c>
      <c r="BF106" s="25">
        <v>1.8484288354898336E-3</v>
      </c>
      <c r="BG106" s="25">
        <v>0.36044362292051757</v>
      </c>
      <c r="BH106" s="26">
        <v>9.2798925486125956</v>
      </c>
      <c r="BI106" s="26">
        <v>13.326762983345908</v>
      </c>
      <c r="BJ106" s="26">
        <v>10.804321728691477</v>
      </c>
      <c r="BK106" s="26">
        <v>8.1653225806451619</v>
      </c>
      <c r="BL106" s="26">
        <v>1.0395672492832968</v>
      </c>
      <c r="BM106" s="26">
        <v>1.7520248957085987</v>
      </c>
      <c r="BN106" s="26">
        <v>9.9166427134233981</v>
      </c>
      <c r="BO106" s="27" t="s">
        <v>189</v>
      </c>
      <c r="BP106" s="28"/>
      <c r="BQ106" s="17" t="s">
        <v>254</v>
      </c>
      <c r="BR106" s="35">
        <v>1366.15</v>
      </c>
      <c r="BS106" s="35">
        <v>1732.75</v>
      </c>
      <c r="BT106" s="35">
        <v>366.6</v>
      </c>
      <c r="BU106" s="35">
        <f t="shared" si="58"/>
        <v>26.787254901960786</v>
      </c>
      <c r="BV106" s="35">
        <f t="shared" si="59"/>
        <v>33.975490196078432</v>
      </c>
      <c r="BW106" s="35">
        <f t="shared" si="60"/>
        <v>7.1882352941176473</v>
      </c>
      <c r="BX106" s="36">
        <f t="shared" si="61"/>
        <v>36.016477179106936</v>
      </c>
      <c r="BY106" s="36">
        <f t="shared" si="62"/>
        <v>45.681331356071837</v>
      </c>
      <c r="BZ106" s="36">
        <f t="shared" si="63"/>
        <v>9.6648541769649032</v>
      </c>
      <c r="CA106" s="48">
        <v>20</v>
      </c>
      <c r="CB106" s="48">
        <v>31</v>
      </c>
    </row>
    <row r="107" spans="1:80" x14ac:dyDescent="0.4">
      <c r="A107" s="21" t="s">
        <v>231</v>
      </c>
      <c r="B107" s="17" t="s">
        <v>194</v>
      </c>
      <c r="C107" s="17" t="s">
        <v>62</v>
      </c>
      <c r="D107" s="22">
        <v>43</v>
      </c>
      <c r="E107" s="22">
        <v>18</v>
      </c>
      <c r="F107" s="22">
        <v>5</v>
      </c>
      <c r="G107" s="23">
        <v>46655</v>
      </c>
      <c r="H107" s="23">
        <v>197</v>
      </c>
      <c r="I107" s="24">
        <f t="shared" si="37"/>
        <v>4.5813953488372094</v>
      </c>
      <c r="J107" s="22">
        <v>74</v>
      </c>
      <c r="K107" s="22">
        <v>195</v>
      </c>
      <c r="L107" s="24">
        <f t="shared" si="54"/>
        <v>1.7209302325581395</v>
      </c>
      <c r="M107" s="24">
        <f t="shared" si="55"/>
        <v>4.5348837209302326</v>
      </c>
      <c r="N107" s="25">
        <f t="shared" si="56"/>
        <v>0.37948717948717947</v>
      </c>
      <c r="O107" s="23">
        <v>49</v>
      </c>
      <c r="P107" s="22">
        <v>101</v>
      </c>
      <c r="Q107" s="24">
        <f t="shared" si="38"/>
        <v>1.1395348837209303</v>
      </c>
      <c r="R107" s="24">
        <f t="shared" si="39"/>
        <v>2.3488372093023258</v>
      </c>
      <c r="S107" s="25">
        <f t="shared" si="40"/>
        <v>0.48514851485148514</v>
      </c>
      <c r="T107" s="22">
        <v>25</v>
      </c>
      <c r="U107" s="22">
        <v>94</v>
      </c>
      <c r="V107" s="24">
        <f t="shared" si="41"/>
        <v>0.58139534883720934</v>
      </c>
      <c r="W107" s="24">
        <f t="shared" si="42"/>
        <v>2.1860465116279069</v>
      </c>
      <c r="X107" s="25">
        <f t="shared" si="43"/>
        <v>0.26595744680851063</v>
      </c>
      <c r="Y107" s="22">
        <v>24</v>
      </c>
      <c r="Z107" s="22">
        <v>38</v>
      </c>
      <c r="AA107" s="24">
        <f t="shared" si="44"/>
        <v>0.55813953488372092</v>
      </c>
      <c r="AB107" s="24">
        <f t="shared" si="45"/>
        <v>0.88372093023255816</v>
      </c>
      <c r="AC107" s="25">
        <f t="shared" si="46"/>
        <v>0.63157894736842102</v>
      </c>
      <c r="AD107" s="22">
        <v>110</v>
      </c>
      <c r="AE107" s="24">
        <f t="shared" si="47"/>
        <v>2.558139534883721</v>
      </c>
      <c r="AF107" s="22">
        <v>41</v>
      </c>
      <c r="AG107" s="24">
        <f t="shared" si="48"/>
        <v>0.95348837209302328</v>
      </c>
      <c r="AH107" s="22">
        <v>69</v>
      </c>
      <c r="AI107" s="24">
        <f t="shared" si="49"/>
        <v>1.6046511627906976</v>
      </c>
      <c r="AJ107" s="22">
        <v>45</v>
      </c>
      <c r="AK107" s="24">
        <f t="shared" si="50"/>
        <v>1.0465116279069768</v>
      </c>
      <c r="AL107" s="22">
        <v>25</v>
      </c>
      <c r="AM107" s="24">
        <f t="shared" si="51"/>
        <v>0.58139534883720934</v>
      </c>
      <c r="AN107" s="10">
        <v>8</v>
      </c>
      <c r="AO107" s="24">
        <f t="shared" si="52"/>
        <v>0.18604651162790697</v>
      </c>
      <c r="AP107" s="22">
        <v>22</v>
      </c>
      <c r="AQ107" s="24">
        <f t="shared" si="64"/>
        <v>0.51162790697674421</v>
      </c>
      <c r="AR107" s="22">
        <v>106</v>
      </c>
      <c r="AS107" s="24">
        <f t="shared" si="53"/>
        <v>2.4651162790697674</v>
      </c>
      <c r="AT107" s="26">
        <v>0.32803262076851791</v>
      </c>
      <c r="AU107" s="26">
        <v>1.6874467685016461E-2</v>
      </c>
      <c r="AV107" s="26">
        <v>0.21179370655805582</v>
      </c>
      <c r="AW107" s="26">
        <v>0.11623891421046208</v>
      </c>
      <c r="AX107" s="26">
        <v>103.02881840702305</v>
      </c>
      <c r="AY107" s="26">
        <v>115.43606674189367</v>
      </c>
      <c r="AZ107" s="26">
        <v>4.0107832049141923</v>
      </c>
      <c r="BA107" s="26">
        <v>5.3023255813953485</v>
      </c>
      <c r="BB107" s="26">
        <v>11.728646447326117</v>
      </c>
      <c r="BC107" s="25">
        <v>0.46523710561118459</v>
      </c>
      <c r="BD107" s="25">
        <v>0.44358974358974357</v>
      </c>
      <c r="BE107" s="26">
        <v>11.153441745711836</v>
      </c>
      <c r="BF107" s="25">
        <v>0.48205128205128206</v>
      </c>
      <c r="BG107" s="25">
        <v>0.19487179487179487</v>
      </c>
      <c r="BH107" s="26">
        <v>4.7063437591920776</v>
      </c>
      <c r="BI107" s="26">
        <v>7.9204321801037407</v>
      </c>
      <c r="BJ107" s="26">
        <v>6.0346719332894452</v>
      </c>
      <c r="BK107" s="26">
        <v>6.2355658198614323</v>
      </c>
      <c r="BL107" s="26">
        <v>1.7486576916120335</v>
      </c>
      <c r="BM107" s="26">
        <v>0.74383575176806271</v>
      </c>
      <c r="BN107" s="26">
        <v>9.4129727879513947</v>
      </c>
      <c r="BO107" s="27" t="s">
        <v>189</v>
      </c>
      <c r="BP107" s="28"/>
      <c r="BQ107" s="17" t="s">
        <v>253</v>
      </c>
      <c r="BR107" s="35">
        <v>470.02</v>
      </c>
      <c r="BS107" s="35">
        <v>628.32000000000005</v>
      </c>
      <c r="BT107" s="35">
        <v>158.30000000000001</v>
      </c>
      <c r="BU107" s="35">
        <f t="shared" si="58"/>
        <v>10.930697674418605</v>
      </c>
      <c r="BV107" s="35">
        <f t="shared" si="59"/>
        <v>14.612093023255815</v>
      </c>
      <c r="BW107" s="35">
        <f t="shared" si="60"/>
        <v>3.6813953488372095</v>
      </c>
      <c r="BX107" s="36">
        <f t="shared" si="61"/>
        <v>24.178501768299224</v>
      </c>
      <c r="BY107" s="36">
        <f t="shared" si="62"/>
        <v>32.321680420105032</v>
      </c>
      <c r="BZ107" s="36">
        <f t="shared" si="63"/>
        <v>8.1431786518058082</v>
      </c>
      <c r="CA107" s="48">
        <v>17</v>
      </c>
      <c r="CB107" s="48">
        <v>26</v>
      </c>
    </row>
    <row r="108" spans="1:80" x14ac:dyDescent="0.4">
      <c r="A108" s="21" t="s">
        <v>231</v>
      </c>
      <c r="B108" s="17" t="s">
        <v>195</v>
      </c>
      <c r="C108" s="17" t="s">
        <v>171</v>
      </c>
      <c r="D108" s="22">
        <v>8</v>
      </c>
      <c r="E108" s="22">
        <v>6</v>
      </c>
      <c r="F108" s="22">
        <v>34</v>
      </c>
      <c r="G108" s="23">
        <v>3152</v>
      </c>
      <c r="H108" s="23">
        <v>22</v>
      </c>
      <c r="I108" s="24">
        <f t="shared" si="37"/>
        <v>2.75</v>
      </c>
      <c r="J108" s="22">
        <v>5</v>
      </c>
      <c r="K108" s="22">
        <v>12</v>
      </c>
      <c r="L108" s="24">
        <f t="shared" si="54"/>
        <v>0.625</v>
      </c>
      <c r="M108" s="24">
        <f t="shared" si="55"/>
        <v>1.5</v>
      </c>
      <c r="N108" s="25">
        <f t="shared" si="56"/>
        <v>0.41666666666666669</v>
      </c>
      <c r="O108" s="23">
        <v>3</v>
      </c>
      <c r="P108" s="22">
        <v>6</v>
      </c>
      <c r="Q108" s="24">
        <f t="shared" si="38"/>
        <v>0.375</v>
      </c>
      <c r="R108" s="24">
        <f t="shared" si="39"/>
        <v>0.75</v>
      </c>
      <c r="S108" s="25">
        <f t="shared" si="40"/>
        <v>0.5</v>
      </c>
      <c r="T108" s="22">
        <v>2</v>
      </c>
      <c r="U108" s="22">
        <v>6</v>
      </c>
      <c r="V108" s="24">
        <f t="shared" si="41"/>
        <v>0.25</v>
      </c>
      <c r="W108" s="24">
        <f t="shared" si="42"/>
        <v>0.75</v>
      </c>
      <c r="X108" s="25">
        <f t="shared" si="43"/>
        <v>0.33333333333333331</v>
      </c>
      <c r="Y108" s="22">
        <v>10</v>
      </c>
      <c r="Z108" s="22">
        <v>13</v>
      </c>
      <c r="AA108" s="24">
        <f t="shared" si="44"/>
        <v>1.25</v>
      </c>
      <c r="AB108" s="24">
        <f t="shared" si="45"/>
        <v>1.625</v>
      </c>
      <c r="AC108" s="25">
        <f t="shared" si="46"/>
        <v>0.76923076923076927</v>
      </c>
      <c r="AD108" s="22">
        <v>2</v>
      </c>
      <c r="AE108" s="24">
        <f t="shared" si="47"/>
        <v>0.25</v>
      </c>
      <c r="AF108" s="22">
        <v>0</v>
      </c>
      <c r="AG108" s="24">
        <f t="shared" si="48"/>
        <v>0</v>
      </c>
      <c r="AH108" s="22">
        <v>2</v>
      </c>
      <c r="AI108" s="24">
        <f t="shared" si="49"/>
        <v>0.25</v>
      </c>
      <c r="AJ108" s="22">
        <v>1</v>
      </c>
      <c r="AK108" s="24">
        <f t="shared" si="50"/>
        <v>0.125</v>
      </c>
      <c r="AL108" s="22">
        <v>0</v>
      </c>
      <c r="AM108" s="24">
        <f t="shared" si="51"/>
        <v>0</v>
      </c>
      <c r="AN108" s="11">
        <v>0</v>
      </c>
      <c r="AO108" s="24">
        <f t="shared" si="52"/>
        <v>0</v>
      </c>
      <c r="AP108" s="22">
        <v>2</v>
      </c>
      <c r="AQ108" s="24">
        <f t="shared" si="64"/>
        <v>0.25</v>
      </c>
      <c r="AR108" s="22">
        <v>4</v>
      </c>
      <c r="AS108" s="24">
        <f t="shared" si="53"/>
        <v>0.5</v>
      </c>
      <c r="AT108" s="26">
        <v>9.8358325567531074E-2</v>
      </c>
      <c r="AU108" s="26">
        <v>7.4892126066648024E-2</v>
      </c>
      <c r="AV108" s="26">
        <v>9.297253192240619E-2</v>
      </c>
      <c r="AW108" s="26">
        <v>5.3857936451248848E-3</v>
      </c>
      <c r="AX108" s="26">
        <v>118.86818444022573</v>
      </c>
      <c r="AY108" s="26">
        <v>115.89959267236034</v>
      </c>
      <c r="AZ108" s="26">
        <v>0.87565986908696636</v>
      </c>
      <c r="BA108" s="26">
        <v>1.625</v>
      </c>
      <c r="BB108" s="26">
        <v>9.8984771573604071</v>
      </c>
      <c r="BC108" s="25">
        <v>0.62076749435665923</v>
      </c>
      <c r="BD108" s="25">
        <v>0.5</v>
      </c>
      <c r="BE108" s="26">
        <v>2.5915133632026133</v>
      </c>
      <c r="BF108" s="25">
        <v>0.5</v>
      </c>
      <c r="BG108" s="25">
        <v>1.0833333333333333</v>
      </c>
      <c r="BH108" s="26">
        <v>0</v>
      </c>
      <c r="BI108" s="26">
        <v>0.63221282391028899</v>
      </c>
      <c r="BJ108" s="26">
        <v>0.30215131737974377</v>
      </c>
      <c r="BK108" s="26">
        <v>0.35219535102136651</v>
      </c>
      <c r="BL108" s="26">
        <v>0</v>
      </c>
      <c r="BM108" s="26">
        <v>0</v>
      </c>
      <c r="BN108" s="26">
        <v>10.141987829614605</v>
      </c>
      <c r="BO108" s="27" t="s">
        <v>189</v>
      </c>
      <c r="BP108" s="28"/>
      <c r="BQ108" s="17" t="s">
        <v>255</v>
      </c>
      <c r="BR108" s="35">
        <v>26.62</v>
      </c>
      <c r="BS108" s="35">
        <v>38.619999999999997</v>
      </c>
      <c r="BT108" s="35">
        <v>12</v>
      </c>
      <c r="BU108" s="35">
        <f t="shared" si="58"/>
        <v>3.3274999999999997</v>
      </c>
      <c r="BV108" s="35">
        <f t="shared" si="59"/>
        <v>4.8274999999999997</v>
      </c>
      <c r="BW108" s="35">
        <f t="shared" si="60"/>
        <v>1.5</v>
      </c>
      <c r="BX108" s="36">
        <f t="shared" si="61"/>
        <v>20.269035532994923</v>
      </c>
      <c r="BY108" s="36">
        <f t="shared" si="62"/>
        <v>29.406091370558375</v>
      </c>
      <c r="BZ108" s="36">
        <f t="shared" si="63"/>
        <v>9.1370558375634516</v>
      </c>
      <c r="CA108" s="50">
        <v>7</v>
      </c>
      <c r="CB108" s="50">
        <v>1</v>
      </c>
    </row>
    <row r="109" spans="1:80" x14ac:dyDescent="0.4">
      <c r="A109" s="21" t="s">
        <v>231</v>
      </c>
      <c r="B109" s="37" t="s">
        <v>195</v>
      </c>
      <c r="C109" s="37" t="s">
        <v>163</v>
      </c>
      <c r="D109" s="22">
        <v>10</v>
      </c>
      <c r="E109" s="22">
        <v>9</v>
      </c>
      <c r="F109" s="22">
        <v>15</v>
      </c>
      <c r="G109" s="23">
        <v>5550</v>
      </c>
      <c r="H109" s="23">
        <v>26</v>
      </c>
      <c r="I109" s="24">
        <f t="shared" si="37"/>
        <v>2.6</v>
      </c>
      <c r="J109" s="22">
        <v>12</v>
      </c>
      <c r="K109" s="22">
        <v>20</v>
      </c>
      <c r="L109" s="24">
        <f t="shared" si="54"/>
        <v>1.2</v>
      </c>
      <c r="M109" s="24">
        <f t="shared" si="55"/>
        <v>2</v>
      </c>
      <c r="N109" s="25">
        <f t="shared" si="56"/>
        <v>0.6</v>
      </c>
      <c r="O109" s="23">
        <v>10</v>
      </c>
      <c r="P109" s="22">
        <v>18</v>
      </c>
      <c r="Q109" s="24">
        <f t="shared" si="38"/>
        <v>1</v>
      </c>
      <c r="R109" s="24">
        <f t="shared" si="39"/>
        <v>1.8</v>
      </c>
      <c r="S109" s="25">
        <f t="shared" si="40"/>
        <v>0.55555555555555558</v>
      </c>
      <c r="T109" s="22">
        <v>2</v>
      </c>
      <c r="U109" s="22">
        <v>2</v>
      </c>
      <c r="V109" s="24">
        <f t="shared" si="41"/>
        <v>0.2</v>
      </c>
      <c r="W109" s="24">
        <f t="shared" si="42"/>
        <v>0.2</v>
      </c>
      <c r="X109" s="25">
        <f t="shared" si="43"/>
        <v>1</v>
      </c>
      <c r="Y109" s="22">
        <v>0</v>
      </c>
      <c r="Z109" s="22">
        <v>0</v>
      </c>
      <c r="AA109" s="24">
        <f t="shared" si="44"/>
        <v>0</v>
      </c>
      <c r="AB109" s="24">
        <f t="shared" si="45"/>
        <v>0</v>
      </c>
      <c r="AC109" s="25" t="e">
        <f t="shared" si="46"/>
        <v>#DIV/0!</v>
      </c>
      <c r="AD109" s="22">
        <v>17</v>
      </c>
      <c r="AE109" s="24">
        <f t="shared" si="47"/>
        <v>1.7</v>
      </c>
      <c r="AF109" s="22">
        <v>9</v>
      </c>
      <c r="AG109" s="24">
        <f t="shared" si="48"/>
        <v>0.9</v>
      </c>
      <c r="AH109" s="22">
        <v>8</v>
      </c>
      <c r="AI109" s="24">
        <f t="shared" si="49"/>
        <v>0.8</v>
      </c>
      <c r="AJ109" s="22">
        <v>2</v>
      </c>
      <c r="AK109" s="24">
        <f t="shared" si="50"/>
        <v>0.2</v>
      </c>
      <c r="AL109" s="22">
        <v>0</v>
      </c>
      <c r="AM109" s="24">
        <f t="shared" si="51"/>
        <v>0</v>
      </c>
      <c r="AN109" s="11">
        <v>8</v>
      </c>
      <c r="AO109" s="24">
        <f t="shared" si="52"/>
        <v>0.8</v>
      </c>
      <c r="AP109" s="22">
        <v>4</v>
      </c>
      <c r="AQ109" s="24">
        <f t="shared" si="64"/>
        <v>0.4</v>
      </c>
      <c r="AR109" s="22">
        <v>16</v>
      </c>
      <c r="AS109" s="24">
        <f t="shared" si="53"/>
        <v>1.6</v>
      </c>
      <c r="AT109" s="26">
        <v>0.20058973096729543</v>
      </c>
      <c r="AU109" s="26">
        <v>8.6741505283154788E-2</v>
      </c>
      <c r="AV109" s="26">
        <v>0.11903521591442755</v>
      </c>
      <c r="AW109" s="26">
        <v>8.1554515052867899E-2</v>
      </c>
      <c r="AX109" s="26">
        <v>117.82931574685603</v>
      </c>
      <c r="AY109" s="26">
        <v>108.78764293292421</v>
      </c>
      <c r="AZ109" s="26">
        <v>1.5177135809138091</v>
      </c>
      <c r="BA109" s="26">
        <v>4.0999999999999996</v>
      </c>
      <c r="BB109" s="26">
        <v>17.72972972972973</v>
      </c>
      <c r="BC109" s="25">
        <v>0.65</v>
      </c>
      <c r="BD109" s="25">
        <v>0.65</v>
      </c>
      <c r="BE109" s="26">
        <v>2.2390357219490808</v>
      </c>
      <c r="BF109" s="25">
        <v>0.1</v>
      </c>
      <c r="BG109" s="25">
        <v>0</v>
      </c>
      <c r="BH109" s="26">
        <v>2.0196636698971937</v>
      </c>
      <c r="BI109" s="26">
        <v>1.7952565954641719</v>
      </c>
      <c r="BJ109" s="26">
        <v>1.8232518232518233</v>
      </c>
      <c r="BK109" s="26">
        <v>0.50632911392405067</v>
      </c>
      <c r="BL109" s="26">
        <v>0</v>
      </c>
      <c r="BM109" s="26">
        <v>1.4541653885916181</v>
      </c>
      <c r="BN109" s="26">
        <v>16.666666666666668</v>
      </c>
      <c r="BO109" s="27" t="s">
        <v>189</v>
      </c>
      <c r="BP109" s="28"/>
      <c r="BQ109" s="17" t="s">
        <v>254</v>
      </c>
      <c r="BR109" s="35">
        <v>69.099999999999994</v>
      </c>
      <c r="BS109" s="35">
        <v>83.1</v>
      </c>
      <c r="BT109" s="35">
        <v>14</v>
      </c>
      <c r="BU109" s="35">
        <f t="shared" si="58"/>
        <v>6.9099999999999984</v>
      </c>
      <c r="BV109" s="35">
        <f t="shared" si="59"/>
        <v>8.3099999999999987</v>
      </c>
      <c r="BW109" s="35">
        <f t="shared" si="60"/>
        <v>1.4</v>
      </c>
      <c r="BX109" s="36">
        <f t="shared" si="61"/>
        <v>29.881081081081078</v>
      </c>
      <c r="BY109" s="36">
        <f t="shared" si="62"/>
        <v>35.935135135135134</v>
      </c>
      <c r="BZ109" s="36">
        <f t="shared" si="63"/>
        <v>6.0540540540540544</v>
      </c>
      <c r="CA109" s="50">
        <v>8</v>
      </c>
      <c r="CB109" s="50">
        <v>2</v>
      </c>
    </row>
    <row r="110" spans="1:80" x14ac:dyDescent="0.4">
      <c r="A110" s="21" t="s">
        <v>231</v>
      </c>
      <c r="B110" s="17" t="s">
        <v>195</v>
      </c>
      <c r="C110" s="17" t="s">
        <v>169</v>
      </c>
      <c r="D110" s="16">
        <v>1</v>
      </c>
      <c r="E110" s="16">
        <v>1</v>
      </c>
      <c r="F110" s="16">
        <v>1</v>
      </c>
      <c r="G110" s="23">
        <v>61</v>
      </c>
      <c r="H110" s="23">
        <v>0</v>
      </c>
      <c r="I110" s="24">
        <f t="shared" si="37"/>
        <v>0</v>
      </c>
      <c r="J110" s="22">
        <v>0</v>
      </c>
      <c r="K110" s="22">
        <v>0</v>
      </c>
      <c r="L110" s="24">
        <f t="shared" si="54"/>
        <v>0</v>
      </c>
      <c r="M110" s="24">
        <f t="shared" si="55"/>
        <v>0</v>
      </c>
      <c r="N110" s="25" t="e">
        <f t="shared" si="56"/>
        <v>#DIV/0!</v>
      </c>
      <c r="O110" s="23">
        <v>0</v>
      </c>
      <c r="P110" s="22">
        <v>0</v>
      </c>
      <c r="Q110" s="24">
        <f t="shared" si="38"/>
        <v>0</v>
      </c>
      <c r="R110" s="24">
        <f t="shared" si="39"/>
        <v>0</v>
      </c>
      <c r="S110" s="25" t="e">
        <f t="shared" si="40"/>
        <v>#DIV/0!</v>
      </c>
      <c r="T110" s="22">
        <v>0</v>
      </c>
      <c r="U110" s="22">
        <v>0</v>
      </c>
      <c r="V110" s="24">
        <f t="shared" si="41"/>
        <v>0</v>
      </c>
      <c r="W110" s="24">
        <f t="shared" si="42"/>
        <v>0</v>
      </c>
      <c r="X110" s="25" t="e">
        <f t="shared" si="43"/>
        <v>#DIV/0!</v>
      </c>
      <c r="Y110" s="15">
        <v>0</v>
      </c>
      <c r="Z110" s="15">
        <v>0</v>
      </c>
      <c r="AA110" s="24">
        <f t="shared" si="44"/>
        <v>0</v>
      </c>
      <c r="AB110" s="24">
        <f t="shared" si="45"/>
        <v>0</v>
      </c>
      <c r="AC110" s="25" t="e">
        <f t="shared" si="46"/>
        <v>#DIV/0!</v>
      </c>
      <c r="AD110" s="22">
        <v>0</v>
      </c>
      <c r="AE110" s="24">
        <f t="shared" si="47"/>
        <v>0</v>
      </c>
      <c r="AF110" s="22">
        <v>0</v>
      </c>
      <c r="AG110" s="24">
        <f t="shared" si="48"/>
        <v>0</v>
      </c>
      <c r="AH110" s="22">
        <v>0</v>
      </c>
      <c r="AI110" s="24">
        <f t="shared" si="49"/>
        <v>0</v>
      </c>
      <c r="AJ110" s="22">
        <v>0</v>
      </c>
      <c r="AK110" s="24">
        <f t="shared" si="50"/>
        <v>0</v>
      </c>
      <c r="AL110" s="13">
        <v>0</v>
      </c>
      <c r="AM110" s="24">
        <f t="shared" si="51"/>
        <v>0</v>
      </c>
      <c r="AN110" s="12">
        <v>0</v>
      </c>
      <c r="AO110" s="24">
        <f t="shared" si="52"/>
        <v>0</v>
      </c>
      <c r="AP110" s="22">
        <v>0</v>
      </c>
      <c r="AQ110" s="24">
        <f t="shared" si="64"/>
        <v>0</v>
      </c>
      <c r="AR110" s="22">
        <v>1</v>
      </c>
      <c r="AS110" s="24">
        <f t="shared" si="53"/>
        <v>1</v>
      </c>
      <c r="AT110" s="26">
        <v>2.649629125383153E-4</v>
      </c>
      <c r="AU110" s="26">
        <v>1.0424770329376339E-2</v>
      </c>
      <c r="AV110" s="26">
        <v>0</v>
      </c>
      <c r="AW110" s="26">
        <v>2.649629125383153E-4</v>
      </c>
      <c r="AX110" s="26">
        <v>0</v>
      </c>
      <c r="AY110" s="26">
        <v>114.45650068910174</v>
      </c>
      <c r="AZ110" s="26">
        <v>-0.47608692860101287</v>
      </c>
      <c r="BA110" s="26">
        <v>0</v>
      </c>
      <c r="BB110" s="26">
        <v>0</v>
      </c>
      <c r="BC110" s="25">
        <v>0</v>
      </c>
      <c r="BD110" s="25">
        <v>0</v>
      </c>
      <c r="BE110" s="26">
        <v>0</v>
      </c>
      <c r="BF110" s="25">
        <v>0</v>
      </c>
      <c r="BG110" s="25">
        <v>0</v>
      </c>
      <c r="BH110" s="26">
        <v>0</v>
      </c>
      <c r="BI110" s="26">
        <v>0</v>
      </c>
      <c r="BJ110" s="26">
        <v>0</v>
      </c>
      <c r="BK110" s="26">
        <v>0</v>
      </c>
      <c r="BL110" s="26">
        <v>0</v>
      </c>
      <c r="BM110" s="26">
        <v>0</v>
      </c>
      <c r="BN110" s="26">
        <v>0</v>
      </c>
      <c r="BO110" s="27" t="s">
        <v>189</v>
      </c>
      <c r="BP110" s="28"/>
      <c r="BQ110" s="17" t="s">
        <v>254</v>
      </c>
      <c r="BR110" s="35">
        <v>0.25</v>
      </c>
      <c r="BS110" s="35">
        <v>0.25</v>
      </c>
      <c r="BT110" s="35">
        <v>0</v>
      </c>
      <c r="BU110" s="35">
        <f t="shared" si="58"/>
        <v>0.25</v>
      </c>
      <c r="BV110" s="35">
        <f t="shared" si="59"/>
        <v>0.25</v>
      </c>
      <c r="BW110" s="35">
        <f t="shared" si="60"/>
        <v>0</v>
      </c>
      <c r="BX110" s="36">
        <f t="shared" si="61"/>
        <v>9.8360655737704921</v>
      </c>
      <c r="BY110" s="36">
        <f t="shared" si="62"/>
        <v>9.8360655737704921</v>
      </c>
      <c r="BZ110" s="36">
        <f t="shared" si="63"/>
        <v>0</v>
      </c>
      <c r="CA110" s="50">
        <v>1</v>
      </c>
      <c r="CB110" s="50">
        <v>0</v>
      </c>
    </row>
    <row r="111" spans="1:80" x14ac:dyDescent="0.4">
      <c r="A111" s="21" t="s">
        <v>231</v>
      </c>
      <c r="B111" s="37" t="s">
        <v>195</v>
      </c>
      <c r="C111" s="37" t="s">
        <v>227</v>
      </c>
      <c r="D111" s="22">
        <v>48</v>
      </c>
      <c r="E111" s="22">
        <v>10</v>
      </c>
      <c r="F111" s="22">
        <v>33</v>
      </c>
      <c r="G111" s="23">
        <v>30384</v>
      </c>
      <c r="H111" s="23">
        <v>209</v>
      </c>
      <c r="I111" s="24">
        <f t="shared" si="37"/>
        <v>4.354166666666667</v>
      </c>
      <c r="J111" s="22">
        <v>82</v>
      </c>
      <c r="K111" s="22">
        <v>180</v>
      </c>
      <c r="L111" s="24">
        <f t="shared" si="54"/>
        <v>1.7083333333333333</v>
      </c>
      <c r="M111" s="24">
        <f t="shared" si="55"/>
        <v>3.75</v>
      </c>
      <c r="N111" s="25">
        <f t="shared" si="56"/>
        <v>0.45555555555555555</v>
      </c>
      <c r="O111" s="23">
        <v>74</v>
      </c>
      <c r="P111" s="22">
        <v>149</v>
      </c>
      <c r="Q111" s="24">
        <f t="shared" si="38"/>
        <v>1.5416666666666667</v>
      </c>
      <c r="R111" s="24">
        <f t="shared" si="39"/>
        <v>3.1041666666666665</v>
      </c>
      <c r="S111" s="25">
        <f t="shared" si="40"/>
        <v>0.49664429530201343</v>
      </c>
      <c r="T111" s="22">
        <v>8</v>
      </c>
      <c r="U111" s="22">
        <v>31</v>
      </c>
      <c r="V111" s="24">
        <f t="shared" si="41"/>
        <v>0.16666666666666666</v>
      </c>
      <c r="W111" s="24">
        <f t="shared" si="42"/>
        <v>0.64583333333333337</v>
      </c>
      <c r="X111" s="25">
        <f t="shared" si="43"/>
        <v>0.25806451612903225</v>
      </c>
      <c r="Y111" s="22">
        <v>37</v>
      </c>
      <c r="Z111" s="22">
        <v>48</v>
      </c>
      <c r="AA111" s="24">
        <f t="shared" si="44"/>
        <v>0.77083333333333337</v>
      </c>
      <c r="AB111" s="24">
        <f t="shared" si="45"/>
        <v>1</v>
      </c>
      <c r="AC111" s="25">
        <f t="shared" si="46"/>
        <v>0.77083333333333337</v>
      </c>
      <c r="AD111" s="22">
        <v>162</v>
      </c>
      <c r="AE111" s="24">
        <f t="shared" si="47"/>
        <v>3.375</v>
      </c>
      <c r="AF111" s="22">
        <v>40</v>
      </c>
      <c r="AG111" s="24">
        <f t="shared" si="48"/>
        <v>0.83333333333333337</v>
      </c>
      <c r="AH111" s="22">
        <v>122</v>
      </c>
      <c r="AI111" s="24">
        <f t="shared" si="49"/>
        <v>2.5416666666666665</v>
      </c>
      <c r="AJ111" s="22">
        <v>64</v>
      </c>
      <c r="AK111" s="24">
        <f t="shared" si="50"/>
        <v>1.3333333333333333</v>
      </c>
      <c r="AL111" s="22">
        <v>21</v>
      </c>
      <c r="AM111" s="24">
        <f t="shared" si="51"/>
        <v>0.4375</v>
      </c>
      <c r="AN111" s="10">
        <v>2</v>
      </c>
      <c r="AO111" s="24">
        <f t="shared" si="52"/>
        <v>4.1666666666666664E-2</v>
      </c>
      <c r="AP111" s="22">
        <v>35</v>
      </c>
      <c r="AQ111" s="24">
        <f t="shared" si="64"/>
        <v>0.72916666666666663</v>
      </c>
      <c r="AR111" s="22">
        <v>59</v>
      </c>
      <c r="AS111" s="24">
        <f t="shared" si="53"/>
        <v>1.2291666666666667</v>
      </c>
      <c r="AT111" s="26">
        <v>1.2992609152478676</v>
      </c>
      <c r="AU111" s="26">
        <v>0.10262724449035289</v>
      </c>
      <c r="AV111" s="26">
        <v>0.48205903011416446</v>
      </c>
      <c r="AW111" s="26">
        <v>0.81720188513370307</v>
      </c>
      <c r="AX111" s="26">
        <v>106.92452296934702</v>
      </c>
      <c r="AY111" s="26">
        <v>102.10535551473347</v>
      </c>
      <c r="AZ111" s="26">
        <v>11.148114709442174</v>
      </c>
      <c r="BA111" s="26">
        <v>6.541666666666667</v>
      </c>
      <c r="BB111" s="26">
        <v>24.802527646129544</v>
      </c>
      <c r="BC111" s="25">
        <v>0.51959029435163084</v>
      </c>
      <c r="BD111" s="25">
        <v>0.4777777777777778</v>
      </c>
      <c r="BE111" s="26">
        <v>19.313982269613771</v>
      </c>
      <c r="BF111" s="25">
        <v>0.17222222222222222</v>
      </c>
      <c r="BG111" s="25">
        <v>0.26666666666666666</v>
      </c>
      <c r="BH111" s="26">
        <v>7.8702007147126025</v>
      </c>
      <c r="BI111" s="26">
        <v>24.004112179873438</v>
      </c>
      <c r="BJ111" s="26">
        <v>15.233581584292486</v>
      </c>
      <c r="BK111" s="26">
        <v>16.745159602302461</v>
      </c>
      <c r="BL111" s="26">
        <v>2.2554714542461136</v>
      </c>
      <c r="BM111" s="26">
        <v>0.31874478304437126</v>
      </c>
      <c r="BN111" s="26">
        <v>14.822971370489581</v>
      </c>
      <c r="BO111" s="27" t="s">
        <v>232</v>
      </c>
      <c r="BP111" s="28"/>
      <c r="BQ111" s="17" t="s">
        <v>254</v>
      </c>
      <c r="BR111" s="35">
        <v>482.64</v>
      </c>
      <c r="BS111" s="35">
        <v>639.64</v>
      </c>
      <c r="BT111" s="35">
        <v>157</v>
      </c>
      <c r="BU111" s="35">
        <f t="shared" si="58"/>
        <v>10.055</v>
      </c>
      <c r="BV111" s="35">
        <f t="shared" si="59"/>
        <v>13.325833333333334</v>
      </c>
      <c r="BW111" s="35">
        <f t="shared" si="60"/>
        <v>3.2708333333333335</v>
      </c>
      <c r="BX111" s="36">
        <f t="shared" si="61"/>
        <v>38.123222748815166</v>
      </c>
      <c r="BY111" s="36">
        <f t="shared" si="62"/>
        <v>50.52448657187994</v>
      </c>
      <c r="BZ111" s="36">
        <f t="shared" si="63"/>
        <v>12.40126382306477</v>
      </c>
      <c r="CA111" s="50">
        <v>33</v>
      </c>
      <c r="CB111" s="50">
        <v>15</v>
      </c>
    </row>
    <row r="112" spans="1:80" x14ac:dyDescent="0.4">
      <c r="A112" s="21" t="s">
        <v>231</v>
      </c>
      <c r="B112" s="17" t="s">
        <v>195</v>
      </c>
      <c r="C112" s="17" t="s">
        <v>165</v>
      </c>
      <c r="D112" s="22">
        <v>39</v>
      </c>
      <c r="E112" s="22">
        <v>18</v>
      </c>
      <c r="F112" s="22">
        <v>38</v>
      </c>
      <c r="G112" s="23">
        <v>43602</v>
      </c>
      <c r="H112" s="23">
        <v>351</v>
      </c>
      <c r="I112" s="24">
        <f t="shared" si="37"/>
        <v>9</v>
      </c>
      <c r="J112" s="22">
        <v>128</v>
      </c>
      <c r="K112" s="22">
        <v>261</v>
      </c>
      <c r="L112" s="24">
        <f t="shared" si="54"/>
        <v>3.2820512820512819</v>
      </c>
      <c r="M112" s="24">
        <f t="shared" si="55"/>
        <v>6.6923076923076925</v>
      </c>
      <c r="N112" s="25">
        <f t="shared" si="56"/>
        <v>0.49042145593869729</v>
      </c>
      <c r="O112" s="23">
        <v>99</v>
      </c>
      <c r="P112" s="22">
        <v>182</v>
      </c>
      <c r="Q112" s="24">
        <f t="shared" si="38"/>
        <v>2.5384615384615383</v>
      </c>
      <c r="R112" s="24">
        <f t="shared" si="39"/>
        <v>4.666666666666667</v>
      </c>
      <c r="S112" s="25">
        <f t="shared" si="40"/>
        <v>0.54395604395604391</v>
      </c>
      <c r="T112" s="22">
        <v>29</v>
      </c>
      <c r="U112" s="22">
        <v>79</v>
      </c>
      <c r="V112" s="24">
        <f t="shared" si="41"/>
        <v>0.74358974358974361</v>
      </c>
      <c r="W112" s="24">
        <f t="shared" si="42"/>
        <v>2.0256410256410255</v>
      </c>
      <c r="X112" s="25">
        <f t="shared" si="43"/>
        <v>0.36708860759493672</v>
      </c>
      <c r="Y112" s="22">
        <v>66</v>
      </c>
      <c r="Z112" s="22">
        <v>89</v>
      </c>
      <c r="AA112" s="24">
        <f t="shared" si="44"/>
        <v>1.6923076923076923</v>
      </c>
      <c r="AB112" s="24">
        <f t="shared" si="45"/>
        <v>2.2820512820512819</v>
      </c>
      <c r="AC112" s="25">
        <f t="shared" si="46"/>
        <v>0.7415730337078652</v>
      </c>
      <c r="AD112" s="22">
        <v>90</v>
      </c>
      <c r="AE112" s="24">
        <f t="shared" si="47"/>
        <v>2.3076923076923075</v>
      </c>
      <c r="AF112" s="22">
        <v>26</v>
      </c>
      <c r="AG112" s="24">
        <f t="shared" si="48"/>
        <v>0.66666666666666663</v>
      </c>
      <c r="AH112" s="22">
        <v>64</v>
      </c>
      <c r="AI112" s="24">
        <f t="shared" si="49"/>
        <v>1.641025641025641</v>
      </c>
      <c r="AJ112" s="22">
        <v>40</v>
      </c>
      <c r="AK112" s="24">
        <f t="shared" si="50"/>
        <v>1.0256410256410255</v>
      </c>
      <c r="AL112" s="22">
        <v>17</v>
      </c>
      <c r="AM112" s="24">
        <f t="shared" si="51"/>
        <v>0.4358974358974359</v>
      </c>
      <c r="AN112" s="10">
        <v>35</v>
      </c>
      <c r="AO112" s="24">
        <f t="shared" si="52"/>
        <v>0.89743589743589747</v>
      </c>
      <c r="AP112" s="22">
        <v>42</v>
      </c>
      <c r="AQ112" s="24">
        <f t="shared" si="64"/>
        <v>1.0769230769230769</v>
      </c>
      <c r="AR112" s="22">
        <v>60</v>
      </c>
      <c r="AS112" s="24">
        <f t="shared" si="53"/>
        <v>1.5384615384615385</v>
      </c>
      <c r="AT112" s="26">
        <v>1.5786128736215816</v>
      </c>
      <c r="AU112" s="26">
        <v>8.6892135605976681E-2</v>
      </c>
      <c r="AV112" s="26">
        <v>0.89736452003817624</v>
      </c>
      <c r="AW112" s="26">
        <v>0.68124835358340541</v>
      </c>
      <c r="AX112" s="26">
        <v>109.98150968687861</v>
      </c>
      <c r="AY112" s="26">
        <v>108.27845259945779</v>
      </c>
      <c r="AZ112" s="26">
        <v>8.4939446566246826</v>
      </c>
      <c r="BA112" s="26">
        <v>8.5897435897435894</v>
      </c>
      <c r="BB112" s="26">
        <v>18.439521122884269</v>
      </c>
      <c r="BC112" s="25">
        <v>0.58468816631130061</v>
      </c>
      <c r="BD112" s="25">
        <v>0.54597701149425293</v>
      </c>
      <c r="BE112" s="26">
        <v>15.846384792608234</v>
      </c>
      <c r="BF112" s="25">
        <v>0.30268199233716475</v>
      </c>
      <c r="BG112" s="25">
        <v>0.34099616858237547</v>
      </c>
      <c r="BH112" s="26">
        <v>2.8964168909378354</v>
      </c>
      <c r="BI112" s="26">
        <v>7.1296415776931337</v>
      </c>
      <c r="BJ112" s="26">
        <v>4.7917199079989778</v>
      </c>
      <c r="BK112" s="26">
        <v>5.7814607824243591</v>
      </c>
      <c r="BL112" s="26">
        <v>1.2723467898139627</v>
      </c>
      <c r="BM112" s="26">
        <v>3.1582248069535086</v>
      </c>
      <c r="BN112" s="26">
        <v>12.274959083469721</v>
      </c>
      <c r="BO112" s="27" t="s">
        <v>233</v>
      </c>
      <c r="BP112" s="27"/>
      <c r="BQ112" s="17" t="s">
        <v>255</v>
      </c>
      <c r="BR112" s="35">
        <v>542.85</v>
      </c>
      <c r="BS112" s="35">
        <v>752.25</v>
      </c>
      <c r="BT112" s="35">
        <v>209.4</v>
      </c>
      <c r="BU112" s="35">
        <f t="shared" si="58"/>
        <v>13.91923076923077</v>
      </c>
      <c r="BV112" s="35">
        <f t="shared" si="59"/>
        <v>19.28846153846154</v>
      </c>
      <c r="BW112" s="35">
        <f t="shared" si="60"/>
        <v>5.3692307692307697</v>
      </c>
      <c r="BX112" s="36">
        <f t="shared" si="61"/>
        <v>29.880280721067841</v>
      </c>
      <c r="BY112" s="36">
        <f t="shared" si="62"/>
        <v>41.406357506536395</v>
      </c>
      <c r="BZ112" s="36">
        <f t="shared" si="63"/>
        <v>11.526076785468556</v>
      </c>
      <c r="CA112" s="50">
        <v>26</v>
      </c>
      <c r="CB112" s="50">
        <v>13</v>
      </c>
    </row>
    <row r="113" spans="1:80" x14ac:dyDescent="0.4">
      <c r="A113" s="21" t="s">
        <v>231</v>
      </c>
      <c r="B113" s="17" t="s">
        <v>195</v>
      </c>
      <c r="C113" s="17" t="s">
        <v>60</v>
      </c>
      <c r="D113" s="22">
        <v>53</v>
      </c>
      <c r="E113" s="22">
        <v>31</v>
      </c>
      <c r="F113" s="22">
        <v>11</v>
      </c>
      <c r="G113" s="23">
        <v>99163</v>
      </c>
      <c r="H113" s="23">
        <v>371</v>
      </c>
      <c r="I113" s="24">
        <f t="shared" si="37"/>
        <v>7</v>
      </c>
      <c r="J113" s="22">
        <v>129</v>
      </c>
      <c r="K113" s="22">
        <v>335</v>
      </c>
      <c r="L113" s="24">
        <f t="shared" si="54"/>
        <v>2.4339622641509435</v>
      </c>
      <c r="M113" s="24">
        <f t="shared" si="55"/>
        <v>6.3207547169811322</v>
      </c>
      <c r="N113" s="25">
        <f t="shared" si="56"/>
        <v>0.38507462686567162</v>
      </c>
      <c r="O113" s="23">
        <v>61</v>
      </c>
      <c r="P113" s="22">
        <v>121</v>
      </c>
      <c r="Q113" s="24">
        <f t="shared" si="38"/>
        <v>1.1509433962264151</v>
      </c>
      <c r="R113" s="24">
        <f t="shared" si="39"/>
        <v>2.2830188679245285</v>
      </c>
      <c r="S113" s="25">
        <f t="shared" si="40"/>
        <v>0.50413223140495866</v>
      </c>
      <c r="T113" s="22">
        <v>68</v>
      </c>
      <c r="U113" s="22">
        <v>214</v>
      </c>
      <c r="V113" s="24">
        <f t="shared" si="41"/>
        <v>1.2830188679245282</v>
      </c>
      <c r="W113" s="24">
        <f t="shared" si="42"/>
        <v>4.0377358490566042</v>
      </c>
      <c r="X113" s="25">
        <f t="shared" si="43"/>
        <v>0.31775700934579437</v>
      </c>
      <c r="Y113" s="22">
        <v>45</v>
      </c>
      <c r="Z113" s="22">
        <v>63</v>
      </c>
      <c r="AA113" s="24">
        <f t="shared" si="44"/>
        <v>0.84905660377358494</v>
      </c>
      <c r="AB113" s="24">
        <f t="shared" si="45"/>
        <v>1.1886792452830188</v>
      </c>
      <c r="AC113" s="25">
        <f t="shared" si="46"/>
        <v>0.7142857142857143</v>
      </c>
      <c r="AD113" s="22">
        <v>291</v>
      </c>
      <c r="AE113" s="24">
        <f t="shared" si="47"/>
        <v>5.4905660377358494</v>
      </c>
      <c r="AF113" s="22">
        <v>110</v>
      </c>
      <c r="AG113" s="24">
        <f t="shared" si="48"/>
        <v>2.0754716981132075</v>
      </c>
      <c r="AH113" s="22">
        <v>181</v>
      </c>
      <c r="AI113" s="24">
        <f t="shared" si="49"/>
        <v>3.4150943396226414</v>
      </c>
      <c r="AJ113" s="22">
        <v>110</v>
      </c>
      <c r="AK113" s="24">
        <f t="shared" si="50"/>
        <v>2.0754716981132075</v>
      </c>
      <c r="AL113" s="22">
        <v>72</v>
      </c>
      <c r="AM113" s="24">
        <f t="shared" si="51"/>
        <v>1.3584905660377358</v>
      </c>
      <c r="AN113" s="10">
        <v>12</v>
      </c>
      <c r="AO113" s="24">
        <f t="shared" si="52"/>
        <v>0.22641509433962265</v>
      </c>
      <c r="AP113" s="22">
        <v>67</v>
      </c>
      <c r="AQ113" s="24">
        <f t="shared" si="64"/>
        <v>1.2641509433962264</v>
      </c>
      <c r="AR113" s="22">
        <v>142</v>
      </c>
      <c r="AS113" s="24">
        <f t="shared" si="53"/>
        <v>2.6792452830188678</v>
      </c>
      <c r="AT113" s="26">
        <v>2.6080577216737728</v>
      </c>
      <c r="AU113" s="26">
        <v>6.3121714066910584E-2</v>
      </c>
      <c r="AV113" s="26">
        <v>0.85949811441893265</v>
      </c>
      <c r="AW113" s="26">
        <v>1.7485596072548402</v>
      </c>
      <c r="AX113" s="26">
        <v>106.64981325798261</v>
      </c>
      <c r="AY113" s="26">
        <v>107.17821506881931</v>
      </c>
      <c r="AZ113" s="26">
        <v>7.1785996150770384</v>
      </c>
      <c r="BA113" s="26">
        <v>10.660377358490566</v>
      </c>
      <c r="BB113" s="26">
        <v>13.674455189939795</v>
      </c>
      <c r="BC113" s="25">
        <v>0.51141376268195848</v>
      </c>
      <c r="BD113" s="25">
        <v>0.48656716417910445</v>
      </c>
      <c r="BE113" s="26">
        <v>11.891990221182017</v>
      </c>
      <c r="BF113" s="25">
        <v>0.63880597014925378</v>
      </c>
      <c r="BG113" s="25">
        <v>0.18805970149253731</v>
      </c>
      <c r="BH113" s="26">
        <v>7.3223152828091731</v>
      </c>
      <c r="BI113" s="26">
        <v>12.048536965349639</v>
      </c>
      <c r="BJ113" s="26">
        <v>9.2578453080858214</v>
      </c>
      <c r="BK113" s="26">
        <v>8.8490829132253577</v>
      </c>
      <c r="BL113" s="26">
        <v>2.3694406064179088</v>
      </c>
      <c r="BM113" s="26">
        <v>0.64702976269509471</v>
      </c>
      <c r="BN113" s="26">
        <v>15.591547984734245</v>
      </c>
      <c r="BO113" s="27" t="s">
        <v>189</v>
      </c>
      <c r="BP113" s="27"/>
      <c r="BQ113" s="17" t="s">
        <v>253</v>
      </c>
      <c r="BR113" s="35">
        <v>1093.98</v>
      </c>
      <c r="BS113" s="35">
        <v>1400.28</v>
      </c>
      <c r="BT113" s="35">
        <v>306.3</v>
      </c>
      <c r="BU113" s="35">
        <f t="shared" si="58"/>
        <v>20.641132075471695</v>
      </c>
      <c r="BV113" s="35">
        <f t="shared" si="59"/>
        <v>26.420377358490565</v>
      </c>
      <c r="BW113" s="35">
        <f t="shared" si="60"/>
        <v>5.7792452830188683</v>
      </c>
      <c r="BX113" s="36">
        <f t="shared" si="61"/>
        <v>26.477133608301482</v>
      </c>
      <c r="BY113" s="36">
        <f t="shared" si="62"/>
        <v>33.890382501537871</v>
      </c>
      <c r="BZ113" s="36">
        <f t="shared" si="63"/>
        <v>7.4132488932363882</v>
      </c>
      <c r="CA113" s="50">
        <v>37</v>
      </c>
      <c r="CB113" s="50">
        <v>16</v>
      </c>
    </row>
    <row r="114" spans="1:80" x14ac:dyDescent="0.4">
      <c r="A114" s="21" t="s">
        <v>231</v>
      </c>
      <c r="B114" s="17" t="s">
        <v>195</v>
      </c>
      <c r="C114" s="17" t="s">
        <v>235</v>
      </c>
      <c r="D114" s="22">
        <v>54</v>
      </c>
      <c r="E114" s="22">
        <v>18</v>
      </c>
      <c r="F114" s="22">
        <v>37</v>
      </c>
      <c r="G114" s="23">
        <v>60318</v>
      </c>
      <c r="H114" s="23">
        <v>372</v>
      </c>
      <c r="I114" s="24">
        <f t="shared" si="37"/>
        <v>6.8888888888888893</v>
      </c>
      <c r="J114" s="22">
        <v>153</v>
      </c>
      <c r="K114" s="22">
        <v>312</v>
      </c>
      <c r="L114" s="24">
        <f t="shared" si="54"/>
        <v>2.8333333333333335</v>
      </c>
      <c r="M114" s="24">
        <f t="shared" si="55"/>
        <v>5.7777777777777777</v>
      </c>
      <c r="N114" s="25">
        <f t="shared" si="56"/>
        <v>0.49038461538461536</v>
      </c>
      <c r="O114" s="23">
        <v>125</v>
      </c>
      <c r="P114" s="22">
        <v>221</v>
      </c>
      <c r="Q114" s="24">
        <f t="shared" si="38"/>
        <v>2.3148148148148149</v>
      </c>
      <c r="R114" s="24">
        <f t="shared" si="39"/>
        <v>4.0925925925925926</v>
      </c>
      <c r="S114" s="25">
        <f t="shared" si="40"/>
        <v>0.56561085972850678</v>
      </c>
      <c r="T114" s="22">
        <v>28</v>
      </c>
      <c r="U114" s="22">
        <v>91</v>
      </c>
      <c r="V114" s="24">
        <f t="shared" si="41"/>
        <v>0.51851851851851849</v>
      </c>
      <c r="W114" s="24">
        <f t="shared" si="42"/>
        <v>1.6851851851851851</v>
      </c>
      <c r="X114" s="25">
        <f t="shared" si="43"/>
        <v>0.30769230769230771</v>
      </c>
      <c r="Y114" s="22">
        <v>38</v>
      </c>
      <c r="Z114" s="22">
        <v>51</v>
      </c>
      <c r="AA114" s="24">
        <f t="shared" si="44"/>
        <v>0.70370370370370372</v>
      </c>
      <c r="AB114" s="24">
        <f t="shared" si="45"/>
        <v>0.94444444444444442</v>
      </c>
      <c r="AC114" s="25">
        <f t="shared" si="46"/>
        <v>0.74509803921568629</v>
      </c>
      <c r="AD114" s="22">
        <v>137</v>
      </c>
      <c r="AE114" s="24">
        <f t="shared" si="47"/>
        <v>2.5370370370370372</v>
      </c>
      <c r="AF114" s="22">
        <v>47</v>
      </c>
      <c r="AG114" s="24">
        <f t="shared" si="48"/>
        <v>0.87037037037037035</v>
      </c>
      <c r="AH114" s="22">
        <v>90</v>
      </c>
      <c r="AI114" s="24">
        <f t="shared" si="49"/>
        <v>1.6666666666666667</v>
      </c>
      <c r="AJ114" s="22">
        <v>136</v>
      </c>
      <c r="AK114" s="24">
        <f t="shared" si="50"/>
        <v>2.5185185185185186</v>
      </c>
      <c r="AL114" s="22">
        <v>46</v>
      </c>
      <c r="AM114" s="24">
        <f t="shared" si="51"/>
        <v>0.85185185185185186</v>
      </c>
      <c r="AN114" s="10">
        <v>7</v>
      </c>
      <c r="AO114" s="24">
        <f t="shared" si="52"/>
        <v>0.12962962962962962</v>
      </c>
      <c r="AP114" s="22">
        <v>57</v>
      </c>
      <c r="AQ114" s="24">
        <f t="shared" si="64"/>
        <v>1.0555555555555556</v>
      </c>
      <c r="AR114" s="22">
        <v>128</v>
      </c>
      <c r="AS114" s="24">
        <f t="shared" si="53"/>
        <v>2.3703703703703702</v>
      </c>
      <c r="AT114" s="26">
        <v>2.3737166911920324</v>
      </c>
      <c r="AU114" s="26">
        <v>9.4448092756074103E-2</v>
      </c>
      <c r="AV114" s="26">
        <v>1.3578651954465362</v>
      </c>
      <c r="AW114" s="26">
        <v>1.0158514957454965</v>
      </c>
      <c r="AX114" s="26">
        <v>112.13266964213256</v>
      </c>
      <c r="AY114" s="26">
        <v>107.6117445624883</v>
      </c>
      <c r="AZ114" s="26">
        <v>10.356778337196729</v>
      </c>
      <c r="BA114" s="26">
        <v>8.6851851851851851</v>
      </c>
      <c r="BB114" s="26">
        <v>18.661096190191984</v>
      </c>
      <c r="BC114" s="25">
        <v>0.55615357014711164</v>
      </c>
      <c r="BD114" s="25">
        <v>0.53525641025641024</v>
      </c>
      <c r="BE114" s="26">
        <v>18.144908958701144</v>
      </c>
      <c r="BF114" s="25">
        <v>0.29166666666666669</v>
      </c>
      <c r="BG114" s="25">
        <v>0.16346153846153846</v>
      </c>
      <c r="BH114" s="26">
        <v>5.2405179378561915</v>
      </c>
      <c r="BI114" s="26">
        <v>10.035034349086324</v>
      </c>
      <c r="BJ114" s="26">
        <v>7.3005925736453934</v>
      </c>
      <c r="BK114" s="26">
        <v>20.416333066453163</v>
      </c>
      <c r="BL114" s="26">
        <v>2.4887076704793483</v>
      </c>
      <c r="BM114" s="26">
        <v>0.6322104447939163</v>
      </c>
      <c r="BN114" s="26">
        <v>14.561618638871858</v>
      </c>
      <c r="BO114" s="27" t="s">
        <v>189</v>
      </c>
      <c r="BP114" s="28"/>
      <c r="BQ114" s="17" t="s">
        <v>255</v>
      </c>
      <c r="BR114" s="35">
        <v>798.16</v>
      </c>
      <c r="BS114" s="35">
        <v>1046.76</v>
      </c>
      <c r="BT114" s="35">
        <v>248.6</v>
      </c>
      <c r="BU114" s="35">
        <f t="shared" si="58"/>
        <v>14.78074074074074</v>
      </c>
      <c r="BV114" s="35">
        <f t="shared" si="59"/>
        <v>19.384444444444444</v>
      </c>
      <c r="BW114" s="35">
        <f t="shared" si="60"/>
        <v>4.6037037037037036</v>
      </c>
      <c r="BX114" s="36">
        <f t="shared" si="61"/>
        <v>31.758082164528005</v>
      </c>
      <c r="BY114" s="36">
        <f t="shared" si="62"/>
        <v>41.649656818860045</v>
      </c>
      <c r="BZ114" s="36">
        <f t="shared" si="63"/>
        <v>9.8915746543320395</v>
      </c>
      <c r="CA114" s="48">
        <v>37</v>
      </c>
      <c r="CB114" s="48">
        <v>17</v>
      </c>
    </row>
    <row r="115" spans="1:80" x14ac:dyDescent="0.4">
      <c r="A115" s="21" t="s">
        <v>231</v>
      </c>
      <c r="B115" s="37" t="s">
        <v>195</v>
      </c>
      <c r="C115" s="37" t="s">
        <v>168</v>
      </c>
      <c r="D115" s="22">
        <v>46</v>
      </c>
      <c r="E115" s="22">
        <v>19</v>
      </c>
      <c r="F115" s="22">
        <v>35</v>
      </c>
      <c r="G115" s="23">
        <v>54050</v>
      </c>
      <c r="H115" s="23">
        <v>281</v>
      </c>
      <c r="I115" s="24">
        <f t="shared" si="37"/>
        <v>6.1086956521739131</v>
      </c>
      <c r="J115" s="22">
        <v>105</v>
      </c>
      <c r="K115" s="22">
        <v>244</v>
      </c>
      <c r="L115" s="24">
        <f t="shared" si="54"/>
        <v>2.2826086956521738</v>
      </c>
      <c r="M115" s="24">
        <f t="shared" si="55"/>
        <v>5.3043478260869561</v>
      </c>
      <c r="N115" s="25">
        <f t="shared" si="56"/>
        <v>0.43032786885245899</v>
      </c>
      <c r="O115" s="23">
        <v>58</v>
      </c>
      <c r="P115" s="22">
        <v>121</v>
      </c>
      <c r="Q115" s="24">
        <f t="shared" si="38"/>
        <v>1.2608695652173914</v>
      </c>
      <c r="R115" s="24">
        <f t="shared" si="39"/>
        <v>2.6304347826086958</v>
      </c>
      <c r="S115" s="25">
        <f t="shared" si="40"/>
        <v>0.47933884297520662</v>
      </c>
      <c r="T115" s="22">
        <v>47</v>
      </c>
      <c r="U115" s="22">
        <v>123</v>
      </c>
      <c r="V115" s="24">
        <f t="shared" si="41"/>
        <v>1.0217391304347827</v>
      </c>
      <c r="W115" s="24">
        <f t="shared" si="42"/>
        <v>2.6739130434782608</v>
      </c>
      <c r="X115" s="25">
        <f t="shared" si="43"/>
        <v>0.38211382113821141</v>
      </c>
      <c r="Y115" s="22">
        <v>24</v>
      </c>
      <c r="Z115" s="22">
        <v>33</v>
      </c>
      <c r="AA115" s="24">
        <f t="shared" si="44"/>
        <v>0.52173913043478259</v>
      </c>
      <c r="AB115" s="24">
        <f t="shared" si="45"/>
        <v>0.71739130434782605</v>
      </c>
      <c r="AC115" s="25">
        <f t="shared" si="46"/>
        <v>0.72727272727272729</v>
      </c>
      <c r="AD115" s="22">
        <v>95</v>
      </c>
      <c r="AE115" s="24">
        <f t="shared" si="47"/>
        <v>2.0652173913043477</v>
      </c>
      <c r="AF115" s="22">
        <v>19</v>
      </c>
      <c r="AG115" s="24">
        <f t="shared" si="48"/>
        <v>0.41304347826086957</v>
      </c>
      <c r="AH115" s="22">
        <v>76</v>
      </c>
      <c r="AI115" s="24">
        <f t="shared" si="49"/>
        <v>1.6521739130434783</v>
      </c>
      <c r="AJ115" s="22">
        <v>54</v>
      </c>
      <c r="AK115" s="24">
        <f t="shared" si="50"/>
        <v>1.173913043478261</v>
      </c>
      <c r="AL115" s="22">
        <v>24</v>
      </c>
      <c r="AM115" s="24">
        <f t="shared" si="51"/>
        <v>0.52173913043478259</v>
      </c>
      <c r="AN115" s="10">
        <v>3</v>
      </c>
      <c r="AO115" s="24">
        <f t="shared" si="52"/>
        <v>6.5217391304347824E-2</v>
      </c>
      <c r="AP115" s="22">
        <v>27</v>
      </c>
      <c r="AQ115" s="24">
        <f t="shared" si="64"/>
        <v>0.58695652173913049</v>
      </c>
      <c r="AR115" s="22">
        <v>53</v>
      </c>
      <c r="AS115" s="24">
        <f t="shared" si="53"/>
        <v>1.1521739130434783</v>
      </c>
      <c r="AT115" s="26">
        <v>1.3063137522933745</v>
      </c>
      <c r="AU115" s="26">
        <v>5.8004680952897299E-2</v>
      </c>
      <c r="AV115" s="26">
        <v>0.69070794556809834</v>
      </c>
      <c r="AW115" s="26">
        <v>0.61560580672527632</v>
      </c>
      <c r="AX115" s="26">
        <v>109.10627883201158</v>
      </c>
      <c r="AY115" s="26">
        <v>110.59766443699345</v>
      </c>
      <c r="AZ115" s="26">
        <v>6.64173582622848</v>
      </c>
      <c r="BA115" s="26">
        <v>6.1304347826086953</v>
      </c>
      <c r="BB115" s="26">
        <v>12.521739130434781</v>
      </c>
      <c r="BC115" s="25">
        <v>0.5434782608695653</v>
      </c>
      <c r="BD115" s="25">
        <v>0.52663934426229508</v>
      </c>
      <c r="BE115" s="26">
        <v>12.581761029384763</v>
      </c>
      <c r="BF115" s="25">
        <v>0.50409836065573765</v>
      </c>
      <c r="BG115" s="25">
        <v>0.13524590163934427</v>
      </c>
      <c r="BH115" s="26">
        <v>2.0139341275712441</v>
      </c>
      <c r="BI115" s="26">
        <v>8.0557365102849765</v>
      </c>
      <c r="BJ115" s="26">
        <v>4.8125633232016209</v>
      </c>
      <c r="BK115" s="26">
        <v>7.1365638766519828</v>
      </c>
      <c r="BL115" s="26">
        <v>1.4490338504731366</v>
      </c>
      <c r="BM115" s="26">
        <v>0.25757291191543025</v>
      </c>
      <c r="BN115" s="26">
        <v>9.4564303726534042</v>
      </c>
      <c r="BO115" s="27" t="s">
        <v>189</v>
      </c>
      <c r="BP115" s="28"/>
      <c r="BQ115" s="17" t="s">
        <v>255</v>
      </c>
      <c r="BR115" s="35">
        <v>550.05999999999995</v>
      </c>
      <c r="BS115" s="35">
        <v>729.16</v>
      </c>
      <c r="BT115" s="35">
        <v>179.1</v>
      </c>
      <c r="BU115" s="35">
        <f t="shared" si="58"/>
        <v>11.957826086956523</v>
      </c>
      <c r="BV115" s="35">
        <f t="shared" si="59"/>
        <v>15.851304347826087</v>
      </c>
      <c r="BW115" s="35">
        <f t="shared" si="60"/>
        <v>3.8934782608695651</v>
      </c>
      <c r="BX115" s="36">
        <f t="shared" si="61"/>
        <v>24.424495837187784</v>
      </c>
      <c r="BY115" s="36">
        <f t="shared" si="62"/>
        <v>32.377132284921366</v>
      </c>
      <c r="BZ115" s="36">
        <f t="shared" si="63"/>
        <v>7.95263644773358</v>
      </c>
      <c r="CA115" s="48">
        <v>33</v>
      </c>
      <c r="CB115" s="48">
        <v>13</v>
      </c>
    </row>
    <row r="116" spans="1:80" x14ac:dyDescent="0.4">
      <c r="A116" s="21" t="s">
        <v>231</v>
      </c>
      <c r="B116" s="17" t="s">
        <v>195</v>
      </c>
      <c r="C116" s="17" t="s">
        <v>228</v>
      </c>
      <c r="D116" s="22">
        <v>53</v>
      </c>
      <c r="E116" s="22">
        <v>29</v>
      </c>
      <c r="F116" s="22">
        <v>42</v>
      </c>
      <c r="G116" s="23">
        <v>94446</v>
      </c>
      <c r="H116" s="23">
        <v>746</v>
      </c>
      <c r="I116" s="24">
        <f t="shared" si="37"/>
        <v>14.075471698113208</v>
      </c>
      <c r="J116" s="22">
        <v>284</v>
      </c>
      <c r="K116" s="22">
        <v>583</v>
      </c>
      <c r="L116" s="24">
        <f t="shared" si="54"/>
        <v>5.3584905660377355</v>
      </c>
      <c r="M116" s="24">
        <f t="shared" si="55"/>
        <v>11</v>
      </c>
      <c r="N116" s="25">
        <f t="shared" si="56"/>
        <v>0.48713550600343053</v>
      </c>
      <c r="O116" s="23">
        <v>206</v>
      </c>
      <c r="P116" s="22">
        <v>358</v>
      </c>
      <c r="Q116" s="24">
        <f t="shared" si="38"/>
        <v>3.8867924528301887</v>
      </c>
      <c r="R116" s="24">
        <f t="shared" si="39"/>
        <v>6.7547169811320753</v>
      </c>
      <c r="S116" s="25">
        <f t="shared" si="40"/>
        <v>0.57541899441340782</v>
      </c>
      <c r="T116" s="22">
        <v>78</v>
      </c>
      <c r="U116" s="22">
        <v>225</v>
      </c>
      <c r="V116" s="24">
        <f t="shared" si="41"/>
        <v>1.4716981132075471</v>
      </c>
      <c r="W116" s="24">
        <f t="shared" si="42"/>
        <v>4.2452830188679247</v>
      </c>
      <c r="X116" s="25">
        <f t="shared" si="43"/>
        <v>0.34666666666666668</v>
      </c>
      <c r="Y116" s="22">
        <v>100</v>
      </c>
      <c r="Z116" s="22">
        <v>139</v>
      </c>
      <c r="AA116" s="24">
        <f t="shared" si="44"/>
        <v>1.8867924528301887</v>
      </c>
      <c r="AB116" s="24">
        <f t="shared" si="45"/>
        <v>2.6226415094339623</v>
      </c>
      <c r="AC116" s="25">
        <f t="shared" si="46"/>
        <v>0.71942446043165464</v>
      </c>
      <c r="AD116" s="22">
        <v>142</v>
      </c>
      <c r="AE116" s="24">
        <f t="shared" si="47"/>
        <v>2.6792452830188678</v>
      </c>
      <c r="AF116" s="22">
        <v>48</v>
      </c>
      <c r="AG116" s="24">
        <f t="shared" si="48"/>
        <v>0.90566037735849059</v>
      </c>
      <c r="AH116" s="22">
        <v>94</v>
      </c>
      <c r="AI116" s="24">
        <f t="shared" si="49"/>
        <v>1.7735849056603774</v>
      </c>
      <c r="AJ116" s="22">
        <v>267</v>
      </c>
      <c r="AK116" s="24">
        <f t="shared" si="50"/>
        <v>5.0377358490566042</v>
      </c>
      <c r="AL116" s="22">
        <v>49</v>
      </c>
      <c r="AM116" s="24">
        <f t="shared" si="51"/>
        <v>0.92452830188679247</v>
      </c>
      <c r="AN116" s="10">
        <v>9</v>
      </c>
      <c r="AO116" s="24">
        <f t="shared" si="52"/>
        <v>0.16981132075471697</v>
      </c>
      <c r="AP116" s="22">
        <v>113</v>
      </c>
      <c r="AQ116" s="24">
        <f t="shared" si="64"/>
        <v>2.1320754716981134</v>
      </c>
      <c r="AR116" s="22">
        <v>134</v>
      </c>
      <c r="AS116" s="24">
        <f t="shared" si="53"/>
        <v>2.5283018867924527</v>
      </c>
      <c r="AT116" s="26">
        <v>4.0027592975141335</v>
      </c>
      <c r="AU116" s="26">
        <v>0.1017155021285594</v>
      </c>
      <c r="AV116" s="26">
        <v>2.9693549632012934</v>
      </c>
      <c r="AW116" s="26">
        <v>1.0334043343128398</v>
      </c>
      <c r="AX116" s="26">
        <v>113.93764717049952</v>
      </c>
      <c r="AY116" s="26">
        <v>110.84291878406992</v>
      </c>
      <c r="AZ116" s="26">
        <v>12.258720383683452</v>
      </c>
      <c r="BA116" s="26">
        <v>14.377358490566039</v>
      </c>
      <c r="BB116" s="26">
        <v>19.363445778540122</v>
      </c>
      <c r="BC116" s="25">
        <v>0.57904868355688033</v>
      </c>
      <c r="BD116" s="25">
        <v>0.55403087478559176</v>
      </c>
      <c r="BE116" s="26">
        <v>22.000002324475922</v>
      </c>
      <c r="BF116" s="25">
        <v>0.38593481989708406</v>
      </c>
      <c r="BG116" s="25">
        <v>0.23842195540308747</v>
      </c>
      <c r="BH116" s="26">
        <v>3.3547724258673925</v>
      </c>
      <c r="BI116" s="26">
        <v>6.5697626673236433</v>
      </c>
      <c r="BJ116" s="26">
        <v>4.7431991876436319</v>
      </c>
      <c r="BK116" s="26">
        <v>26.104810324599136</v>
      </c>
      <c r="BL116" s="26">
        <v>1.6930722764355552</v>
      </c>
      <c r="BM116" s="26">
        <v>0.50950870623001765</v>
      </c>
      <c r="BN116" s="26">
        <v>14.924190395689156</v>
      </c>
      <c r="BO116" s="27" t="s">
        <v>189</v>
      </c>
      <c r="BP116" s="28"/>
      <c r="BQ116" s="17" t="s">
        <v>255</v>
      </c>
      <c r="BR116" s="35">
        <v>1322.62</v>
      </c>
      <c r="BS116" s="35">
        <v>1807.62</v>
      </c>
      <c r="BT116" s="35">
        <v>485</v>
      </c>
      <c r="BU116" s="35">
        <f t="shared" si="58"/>
        <v>24.95509433962264</v>
      </c>
      <c r="BV116" s="35">
        <f t="shared" si="59"/>
        <v>34.106037735849057</v>
      </c>
      <c r="BW116" s="35">
        <f t="shared" si="60"/>
        <v>9.1509433962264151</v>
      </c>
      <c r="BX116" s="36">
        <f t="shared" si="61"/>
        <v>33.609554666158438</v>
      </c>
      <c r="BY116" s="36">
        <f t="shared" si="62"/>
        <v>45.934057556699067</v>
      </c>
      <c r="BZ116" s="36">
        <f t="shared" si="63"/>
        <v>12.324502890540627</v>
      </c>
      <c r="CA116" s="50">
        <v>37</v>
      </c>
      <c r="CB116" s="50">
        <v>16</v>
      </c>
    </row>
    <row r="117" spans="1:80" x14ac:dyDescent="0.4">
      <c r="A117" s="21" t="s">
        <v>231</v>
      </c>
      <c r="B117" s="51" t="s">
        <v>195</v>
      </c>
      <c r="C117" s="51" t="s">
        <v>282</v>
      </c>
      <c r="D117" s="22">
        <v>52</v>
      </c>
      <c r="E117" s="22">
        <v>10</v>
      </c>
      <c r="F117" s="22">
        <v>35</v>
      </c>
      <c r="G117" s="23">
        <v>33020</v>
      </c>
      <c r="H117" s="23">
        <v>127</v>
      </c>
      <c r="I117" s="24">
        <f t="shared" si="37"/>
        <v>2.4423076923076925</v>
      </c>
      <c r="J117" s="22">
        <v>48</v>
      </c>
      <c r="K117" s="22">
        <v>142</v>
      </c>
      <c r="L117" s="24">
        <f t="shared" si="54"/>
        <v>0.92307692307692313</v>
      </c>
      <c r="M117" s="24">
        <f t="shared" si="55"/>
        <v>2.7307692307692308</v>
      </c>
      <c r="N117" s="25">
        <f t="shared" si="56"/>
        <v>0.3380281690140845</v>
      </c>
      <c r="O117" s="23">
        <v>29</v>
      </c>
      <c r="P117" s="22">
        <v>51</v>
      </c>
      <c r="Q117" s="24">
        <f t="shared" si="38"/>
        <v>0.55769230769230771</v>
      </c>
      <c r="R117" s="24">
        <f t="shared" si="39"/>
        <v>0.98076923076923073</v>
      </c>
      <c r="S117" s="25">
        <f t="shared" si="40"/>
        <v>0.56862745098039214</v>
      </c>
      <c r="T117" s="22">
        <v>19</v>
      </c>
      <c r="U117" s="22">
        <v>91</v>
      </c>
      <c r="V117" s="24">
        <f t="shared" si="41"/>
        <v>0.36538461538461536</v>
      </c>
      <c r="W117" s="24">
        <f t="shared" si="42"/>
        <v>1.75</v>
      </c>
      <c r="X117" s="25">
        <f t="shared" si="43"/>
        <v>0.2087912087912088</v>
      </c>
      <c r="Y117" s="22">
        <v>12</v>
      </c>
      <c r="Z117" s="22">
        <v>16</v>
      </c>
      <c r="AA117" s="24">
        <f t="shared" si="44"/>
        <v>0.23076923076923078</v>
      </c>
      <c r="AB117" s="24">
        <f t="shared" si="45"/>
        <v>0.30769230769230771</v>
      </c>
      <c r="AC117" s="25">
        <f t="shared" si="46"/>
        <v>0.75</v>
      </c>
      <c r="AD117" s="22">
        <v>81</v>
      </c>
      <c r="AE117" s="24">
        <f t="shared" si="47"/>
        <v>1.5576923076923077</v>
      </c>
      <c r="AF117" s="22">
        <v>10</v>
      </c>
      <c r="AG117" s="24">
        <f t="shared" si="48"/>
        <v>0.19230769230769232</v>
      </c>
      <c r="AH117" s="22">
        <v>71</v>
      </c>
      <c r="AI117" s="24">
        <f t="shared" si="49"/>
        <v>1.3653846153846154</v>
      </c>
      <c r="AJ117" s="22">
        <v>42</v>
      </c>
      <c r="AK117" s="24">
        <f t="shared" si="50"/>
        <v>0.80769230769230771</v>
      </c>
      <c r="AL117" s="22">
        <v>18</v>
      </c>
      <c r="AM117" s="24">
        <f t="shared" si="51"/>
        <v>0.34615384615384615</v>
      </c>
      <c r="AN117" s="10">
        <v>13</v>
      </c>
      <c r="AO117" s="24">
        <f t="shared" si="52"/>
        <v>0.25</v>
      </c>
      <c r="AP117" s="22">
        <v>26</v>
      </c>
      <c r="AQ117" s="24">
        <f t="shared" si="64"/>
        <v>0.5</v>
      </c>
      <c r="AR117" s="22">
        <v>78</v>
      </c>
      <c r="AS117" s="24">
        <f t="shared" si="53"/>
        <v>1.5</v>
      </c>
      <c r="AT117" s="26">
        <v>8.4646248302111537E-2</v>
      </c>
      <c r="AU117" s="26">
        <v>6.1523620813164039E-3</v>
      </c>
      <c r="AV117" s="26">
        <v>-0.53159762255097454</v>
      </c>
      <c r="AW117" s="26">
        <v>0.61624387085308607</v>
      </c>
      <c r="AX117" s="26">
        <v>87.922925124342441</v>
      </c>
      <c r="AY117" s="26">
        <v>106.61435527832273</v>
      </c>
      <c r="AZ117" s="26">
        <v>3.2933550216232184</v>
      </c>
      <c r="BA117" s="26">
        <v>3.0192307692307692</v>
      </c>
      <c r="BB117" s="26">
        <v>11.411265899454875</v>
      </c>
      <c r="BC117" s="25">
        <v>0.4260601180891036</v>
      </c>
      <c r="BD117" s="25">
        <v>0.40492957746478875</v>
      </c>
      <c r="BE117" s="26">
        <v>14.272706764260612</v>
      </c>
      <c r="BF117" s="25">
        <v>0.64084507042253525</v>
      </c>
      <c r="BG117" s="25">
        <v>0.11267605633802817</v>
      </c>
      <c r="BH117" s="26">
        <v>1.9613531702413689</v>
      </c>
      <c r="BI117" s="26">
        <v>13.925607508713719</v>
      </c>
      <c r="BJ117" s="26">
        <v>7.5928008998875143</v>
      </c>
      <c r="BK117" s="26">
        <v>10.055865921787708</v>
      </c>
      <c r="BL117" s="26">
        <v>1.7789282166430882</v>
      </c>
      <c r="BM117" s="26">
        <v>2.065315606041048</v>
      </c>
      <c r="BN117" s="26">
        <v>14.853747714808044</v>
      </c>
      <c r="BO117" s="27" t="s">
        <v>189</v>
      </c>
      <c r="BP117" s="28"/>
      <c r="BQ117" s="17" t="s">
        <v>253</v>
      </c>
      <c r="BR117" s="35">
        <v>323.07</v>
      </c>
      <c r="BS117" s="35">
        <v>452.07</v>
      </c>
      <c r="BT117" s="35">
        <v>129</v>
      </c>
      <c r="BU117" s="35">
        <f t="shared" si="58"/>
        <v>6.212884615384616</v>
      </c>
      <c r="BV117" s="35">
        <f t="shared" si="59"/>
        <v>8.6936538461538468</v>
      </c>
      <c r="BW117" s="35">
        <f t="shared" si="60"/>
        <v>2.4807692307692308</v>
      </c>
      <c r="BX117" s="36">
        <f t="shared" si="61"/>
        <v>23.481768625075709</v>
      </c>
      <c r="BY117" s="36">
        <f t="shared" si="62"/>
        <v>32.857904300423982</v>
      </c>
      <c r="BZ117" s="36">
        <f t="shared" si="63"/>
        <v>9.376135675348273</v>
      </c>
      <c r="CA117" s="48">
        <v>37</v>
      </c>
      <c r="CB117" s="48">
        <v>15</v>
      </c>
    </row>
    <row r="118" spans="1:80" x14ac:dyDescent="0.4">
      <c r="A118" s="21" t="s">
        <v>231</v>
      </c>
      <c r="B118" s="17" t="s">
        <v>195</v>
      </c>
      <c r="C118" s="17" t="s">
        <v>229</v>
      </c>
      <c r="D118" s="22">
        <v>51</v>
      </c>
      <c r="E118" s="22">
        <v>32</v>
      </c>
      <c r="F118" s="22">
        <v>10</v>
      </c>
      <c r="G118" s="23">
        <v>98430</v>
      </c>
      <c r="H118" s="23">
        <v>1013</v>
      </c>
      <c r="I118" s="24">
        <f t="shared" si="37"/>
        <v>19.862745098039216</v>
      </c>
      <c r="J118" s="22">
        <v>379</v>
      </c>
      <c r="K118" s="22">
        <v>850</v>
      </c>
      <c r="L118" s="24">
        <f t="shared" si="54"/>
        <v>7.4313725490196081</v>
      </c>
      <c r="M118" s="24">
        <f t="shared" si="55"/>
        <v>16.666666666666668</v>
      </c>
      <c r="N118" s="25">
        <f t="shared" si="56"/>
        <v>0.44588235294117645</v>
      </c>
      <c r="O118" s="23">
        <v>238</v>
      </c>
      <c r="P118" s="22">
        <v>457</v>
      </c>
      <c r="Q118" s="24">
        <f t="shared" si="38"/>
        <v>4.666666666666667</v>
      </c>
      <c r="R118" s="24">
        <f t="shared" si="39"/>
        <v>8.9607843137254903</v>
      </c>
      <c r="S118" s="25">
        <f t="shared" si="40"/>
        <v>0.52078774617067836</v>
      </c>
      <c r="T118" s="22">
        <v>141</v>
      </c>
      <c r="U118" s="22">
        <v>393</v>
      </c>
      <c r="V118" s="24">
        <f t="shared" si="41"/>
        <v>2.7647058823529411</v>
      </c>
      <c r="W118" s="24">
        <f t="shared" si="42"/>
        <v>7.7058823529411766</v>
      </c>
      <c r="X118" s="25">
        <f t="shared" si="43"/>
        <v>0.35877862595419846</v>
      </c>
      <c r="Y118" s="22">
        <v>114</v>
      </c>
      <c r="Z118" s="22">
        <v>164</v>
      </c>
      <c r="AA118" s="24">
        <f t="shared" si="44"/>
        <v>2.2352941176470589</v>
      </c>
      <c r="AB118" s="24">
        <f t="shared" si="45"/>
        <v>3.215686274509804</v>
      </c>
      <c r="AC118" s="25">
        <f t="shared" si="46"/>
        <v>0.69512195121951215</v>
      </c>
      <c r="AD118" s="22">
        <v>507</v>
      </c>
      <c r="AE118" s="24">
        <f t="shared" si="47"/>
        <v>9.9411764705882355</v>
      </c>
      <c r="AF118" s="22">
        <v>102</v>
      </c>
      <c r="AG118" s="24">
        <f t="shared" si="48"/>
        <v>2</v>
      </c>
      <c r="AH118" s="22">
        <v>405</v>
      </c>
      <c r="AI118" s="24">
        <f t="shared" si="49"/>
        <v>7.9411764705882355</v>
      </c>
      <c r="AJ118" s="22">
        <v>122</v>
      </c>
      <c r="AK118" s="24">
        <f t="shared" si="50"/>
        <v>2.392156862745098</v>
      </c>
      <c r="AL118" s="22">
        <v>41</v>
      </c>
      <c r="AM118" s="24">
        <f t="shared" si="51"/>
        <v>0.80392156862745101</v>
      </c>
      <c r="AN118" s="10">
        <v>56</v>
      </c>
      <c r="AO118" s="24">
        <f t="shared" si="52"/>
        <v>1.0980392156862746</v>
      </c>
      <c r="AP118" s="22">
        <v>76</v>
      </c>
      <c r="AQ118" s="24">
        <f t="shared" si="64"/>
        <v>1.4901960784313726</v>
      </c>
      <c r="AR118" s="22">
        <v>107</v>
      </c>
      <c r="AS118" s="24">
        <f t="shared" si="53"/>
        <v>2.0980392156862746</v>
      </c>
      <c r="AT118" s="26">
        <v>5.6302962203696865</v>
      </c>
      <c r="AU118" s="26">
        <v>0.13728244365424411</v>
      </c>
      <c r="AV118" s="26">
        <v>3.0317551113308578</v>
      </c>
      <c r="AW118" s="26">
        <v>2.5985411090388282</v>
      </c>
      <c r="AX118" s="26">
        <v>111.66428381373825</v>
      </c>
      <c r="AY118" s="26">
        <v>102.37694935314188</v>
      </c>
      <c r="AZ118" s="26">
        <v>16.657779239515332</v>
      </c>
      <c r="BA118" s="26">
        <v>22.392156862745097</v>
      </c>
      <c r="BB118" s="26">
        <v>27.845169155745197</v>
      </c>
      <c r="BC118" s="25">
        <v>0.54925392556606234</v>
      </c>
      <c r="BD118" s="25">
        <v>0.52882352941176469</v>
      </c>
      <c r="BE118" s="26">
        <v>26.778461191763505</v>
      </c>
      <c r="BF118" s="25">
        <v>0.46235294117647058</v>
      </c>
      <c r="BG118" s="25">
        <v>0.19294117647058823</v>
      </c>
      <c r="BH118" s="26">
        <v>6.5822199397167598</v>
      </c>
      <c r="BI118" s="26">
        <v>26.135285054757723</v>
      </c>
      <c r="BJ118" s="26">
        <v>15.636565507031829</v>
      </c>
      <c r="BK118" s="26">
        <v>11.772274043100674</v>
      </c>
      <c r="BL118" s="26">
        <v>1.3593126521135979</v>
      </c>
      <c r="BM118" s="26">
        <v>2.9271671164136976</v>
      </c>
      <c r="BN118" s="26">
        <v>7.6140097779915044</v>
      </c>
      <c r="BO118" s="27" t="s">
        <v>232</v>
      </c>
      <c r="BP118" s="28"/>
      <c r="BQ118" s="17" t="s">
        <v>253</v>
      </c>
      <c r="BR118" s="35">
        <v>1661.28</v>
      </c>
      <c r="BS118" s="35">
        <v>2261.08</v>
      </c>
      <c r="BT118" s="35">
        <v>599.79999999999995</v>
      </c>
      <c r="BU118" s="35">
        <f t="shared" si="58"/>
        <v>32.574117647058827</v>
      </c>
      <c r="BV118" s="35">
        <f t="shared" si="59"/>
        <v>44.334901960784315</v>
      </c>
      <c r="BW118" s="35">
        <f t="shared" si="60"/>
        <v>11.760784313725489</v>
      </c>
      <c r="BX118" s="36">
        <f t="shared" si="61"/>
        <v>40.50667479427004</v>
      </c>
      <c r="BY118" s="36">
        <f t="shared" si="62"/>
        <v>55.131484303565983</v>
      </c>
      <c r="BZ118" s="36">
        <f t="shared" si="63"/>
        <v>14.624809509295947</v>
      </c>
      <c r="CA118" s="50">
        <v>37</v>
      </c>
      <c r="CB118" s="50">
        <v>14</v>
      </c>
    </row>
    <row r="119" spans="1:80" x14ac:dyDescent="0.4">
      <c r="A119" s="21" t="s">
        <v>231</v>
      </c>
      <c r="B119" s="17" t="s">
        <v>195</v>
      </c>
      <c r="C119" s="17" t="s">
        <v>48</v>
      </c>
      <c r="D119" s="22">
        <v>52</v>
      </c>
      <c r="E119" s="22">
        <v>27</v>
      </c>
      <c r="F119" s="22">
        <v>21</v>
      </c>
      <c r="G119" s="23">
        <v>85332</v>
      </c>
      <c r="H119" s="23">
        <v>682</v>
      </c>
      <c r="I119" s="24">
        <f t="shared" si="37"/>
        <v>13.115384615384615</v>
      </c>
      <c r="J119" s="22">
        <v>273</v>
      </c>
      <c r="K119" s="22">
        <v>541</v>
      </c>
      <c r="L119" s="24">
        <f t="shared" si="54"/>
        <v>5.25</v>
      </c>
      <c r="M119" s="24">
        <f t="shared" si="55"/>
        <v>10.403846153846153</v>
      </c>
      <c r="N119" s="25">
        <f t="shared" si="56"/>
        <v>0.50462107208872453</v>
      </c>
      <c r="O119" s="23">
        <v>235</v>
      </c>
      <c r="P119" s="22">
        <v>446</v>
      </c>
      <c r="Q119" s="24">
        <f t="shared" si="38"/>
        <v>4.5192307692307692</v>
      </c>
      <c r="R119" s="24">
        <f t="shared" si="39"/>
        <v>8.5769230769230766</v>
      </c>
      <c r="S119" s="25">
        <f t="shared" si="40"/>
        <v>0.52690582959641252</v>
      </c>
      <c r="T119" s="22">
        <v>38</v>
      </c>
      <c r="U119" s="22">
        <v>95</v>
      </c>
      <c r="V119" s="24">
        <f t="shared" si="41"/>
        <v>0.73076923076923073</v>
      </c>
      <c r="W119" s="24">
        <f t="shared" si="42"/>
        <v>1.8269230769230769</v>
      </c>
      <c r="X119" s="25">
        <f t="shared" si="43"/>
        <v>0.4</v>
      </c>
      <c r="Y119" s="22">
        <v>98</v>
      </c>
      <c r="Z119" s="22">
        <v>134</v>
      </c>
      <c r="AA119" s="24">
        <f t="shared" si="44"/>
        <v>1.8846153846153846</v>
      </c>
      <c r="AB119" s="24">
        <f t="shared" si="45"/>
        <v>2.5769230769230771</v>
      </c>
      <c r="AC119" s="25">
        <f t="shared" si="46"/>
        <v>0.73134328358208955</v>
      </c>
      <c r="AD119" s="22">
        <v>332</v>
      </c>
      <c r="AE119" s="24">
        <f t="shared" si="47"/>
        <v>6.384615384615385</v>
      </c>
      <c r="AF119" s="22">
        <v>82</v>
      </c>
      <c r="AG119" s="24">
        <f t="shared" si="48"/>
        <v>1.5769230769230769</v>
      </c>
      <c r="AH119" s="22">
        <v>250</v>
      </c>
      <c r="AI119" s="24">
        <f t="shared" si="49"/>
        <v>4.8076923076923075</v>
      </c>
      <c r="AJ119" s="22">
        <v>113</v>
      </c>
      <c r="AK119" s="24">
        <f t="shared" si="50"/>
        <v>2.1730769230769229</v>
      </c>
      <c r="AL119" s="22">
        <v>29</v>
      </c>
      <c r="AM119" s="24">
        <f t="shared" si="51"/>
        <v>0.55769230769230771</v>
      </c>
      <c r="AN119" s="10">
        <v>21</v>
      </c>
      <c r="AO119" s="24">
        <f t="shared" si="52"/>
        <v>0.40384615384615385</v>
      </c>
      <c r="AP119" s="22">
        <v>58</v>
      </c>
      <c r="AQ119" s="24">
        <f t="shared" si="64"/>
        <v>1.1153846153846154</v>
      </c>
      <c r="AR119" s="22">
        <v>96</v>
      </c>
      <c r="AS119" s="24">
        <f t="shared" si="53"/>
        <v>1.8461538461538463</v>
      </c>
      <c r="AT119" s="26">
        <v>4.305001796915251</v>
      </c>
      <c r="AU119" s="26">
        <v>0.12108006741429478</v>
      </c>
      <c r="AV119" s="26">
        <v>2.7626134323028002</v>
      </c>
      <c r="AW119" s="26">
        <v>1.5423883646124505</v>
      </c>
      <c r="AX119" s="26">
        <v>115.82990762468106</v>
      </c>
      <c r="AY119" s="26">
        <v>106.93616644526794</v>
      </c>
      <c r="AZ119" s="26">
        <v>13.573618641979929</v>
      </c>
      <c r="BA119" s="26">
        <v>15.673076923076923</v>
      </c>
      <c r="BB119" s="26">
        <v>22.922233159893125</v>
      </c>
      <c r="BC119" s="25">
        <v>0.56837122474831647</v>
      </c>
      <c r="BD119" s="25">
        <v>0.53974121996303137</v>
      </c>
      <c r="BE119" s="26">
        <v>20.760302374201643</v>
      </c>
      <c r="BF119" s="25">
        <v>0.1756007393715342</v>
      </c>
      <c r="BG119" s="25">
        <v>0.24768946395563771</v>
      </c>
      <c r="BH119" s="26">
        <v>6.223501497530048</v>
      </c>
      <c r="BI119" s="26">
        <v>18.974089931494049</v>
      </c>
      <c r="BJ119" s="26">
        <v>12.042598879893212</v>
      </c>
      <c r="BK119" s="26">
        <v>12.14531384350817</v>
      </c>
      <c r="BL119" s="26">
        <v>1.1090447257594445</v>
      </c>
      <c r="BM119" s="26">
        <v>1.2910037784914159</v>
      </c>
      <c r="BN119" s="26">
        <v>8.8151255395464769</v>
      </c>
      <c r="BO119" s="27" t="s">
        <v>189</v>
      </c>
      <c r="BP119" s="28"/>
      <c r="BQ119" s="17" t="s">
        <v>254</v>
      </c>
      <c r="BR119" s="35">
        <v>1255.03</v>
      </c>
      <c r="BS119" s="35">
        <v>1633.13</v>
      </c>
      <c r="BT119" s="35">
        <v>378.1</v>
      </c>
      <c r="BU119" s="35">
        <f t="shared" si="58"/>
        <v>24.135192307692307</v>
      </c>
      <c r="BV119" s="35">
        <f t="shared" si="59"/>
        <v>31.406346153846155</v>
      </c>
      <c r="BW119" s="35">
        <f t="shared" si="60"/>
        <v>7.2711538461538465</v>
      </c>
      <c r="BX119" s="36">
        <f t="shared" si="61"/>
        <v>35.298270285473215</v>
      </c>
      <c r="BY119" s="36">
        <f t="shared" si="62"/>
        <v>45.932498945296025</v>
      </c>
      <c r="BZ119" s="36">
        <f t="shared" si="63"/>
        <v>10.63422865982281</v>
      </c>
      <c r="CA119" s="50">
        <v>36</v>
      </c>
      <c r="CB119" s="50">
        <v>16</v>
      </c>
    </row>
    <row r="120" spans="1:80" x14ac:dyDescent="0.4">
      <c r="A120" s="21" t="s">
        <v>231</v>
      </c>
      <c r="B120" s="17" t="s">
        <v>195</v>
      </c>
      <c r="C120" s="17" t="s">
        <v>173</v>
      </c>
      <c r="D120" s="16">
        <v>1</v>
      </c>
      <c r="E120" s="16">
        <v>6</v>
      </c>
      <c r="F120" s="16">
        <v>11</v>
      </c>
      <c r="G120" s="23">
        <v>371</v>
      </c>
      <c r="H120" s="23">
        <v>2</v>
      </c>
      <c r="I120" s="24">
        <f t="shared" si="37"/>
        <v>2</v>
      </c>
      <c r="J120" s="22">
        <v>0</v>
      </c>
      <c r="K120" s="22">
        <v>1</v>
      </c>
      <c r="L120" s="24">
        <f t="shared" si="54"/>
        <v>0</v>
      </c>
      <c r="M120" s="24">
        <f t="shared" si="55"/>
        <v>1</v>
      </c>
      <c r="N120" s="25">
        <f t="shared" si="56"/>
        <v>0</v>
      </c>
      <c r="O120" s="23">
        <v>0</v>
      </c>
      <c r="P120" s="22">
        <v>0</v>
      </c>
      <c r="Q120" s="24">
        <f t="shared" si="38"/>
        <v>0</v>
      </c>
      <c r="R120" s="24">
        <f t="shared" si="39"/>
        <v>0</v>
      </c>
      <c r="S120" s="25" t="e">
        <f t="shared" si="40"/>
        <v>#DIV/0!</v>
      </c>
      <c r="T120" s="22">
        <v>0</v>
      </c>
      <c r="U120" s="22">
        <v>1</v>
      </c>
      <c r="V120" s="24">
        <f t="shared" si="41"/>
        <v>0</v>
      </c>
      <c r="W120" s="24">
        <f t="shared" si="42"/>
        <v>1</v>
      </c>
      <c r="X120" s="25">
        <f t="shared" si="43"/>
        <v>0</v>
      </c>
      <c r="Y120" s="15">
        <v>2</v>
      </c>
      <c r="Z120" s="15">
        <v>2</v>
      </c>
      <c r="AA120" s="24">
        <f t="shared" si="44"/>
        <v>2</v>
      </c>
      <c r="AB120" s="24">
        <f t="shared" si="45"/>
        <v>2</v>
      </c>
      <c r="AC120" s="25">
        <f t="shared" si="46"/>
        <v>1</v>
      </c>
      <c r="AD120" s="22">
        <v>1</v>
      </c>
      <c r="AE120" s="24">
        <f t="shared" si="47"/>
        <v>1</v>
      </c>
      <c r="AF120" s="22">
        <v>0</v>
      </c>
      <c r="AG120" s="24">
        <f t="shared" si="48"/>
        <v>0</v>
      </c>
      <c r="AH120" s="22">
        <v>1</v>
      </c>
      <c r="AI120" s="24">
        <f t="shared" si="49"/>
        <v>1</v>
      </c>
      <c r="AJ120" s="22">
        <v>1</v>
      </c>
      <c r="AK120" s="24">
        <f t="shared" si="50"/>
        <v>1</v>
      </c>
      <c r="AL120" s="13">
        <v>0</v>
      </c>
      <c r="AM120" s="24">
        <f t="shared" si="51"/>
        <v>0</v>
      </c>
      <c r="AN120" s="12">
        <v>0</v>
      </c>
      <c r="AO120" s="24">
        <f t="shared" si="52"/>
        <v>0</v>
      </c>
      <c r="AP120" s="22">
        <v>0</v>
      </c>
      <c r="AQ120" s="24">
        <f t="shared" si="64"/>
        <v>0</v>
      </c>
      <c r="AR120" s="22">
        <v>1</v>
      </c>
      <c r="AS120" s="24">
        <f t="shared" si="53"/>
        <v>1</v>
      </c>
      <c r="AT120" s="26">
        <v>2.5094584866775269E-2</v>
      </c>
      <c r="AU120" s="26">
        <v>0.16233693714355968</v>
      </c>
      <c r="AV120" s="26">
        <v>2.0818212457800533E-2</v>
      </c>
      <c r="AW120" s="26">
        <v>4.2763724089747374E-3</v>
      </c>
      <c r="AX120" s="26">
        <v>140.22202255723872</v>
      </c>
      <c r="AY120" s="26">
        <v>110.52260693509537</v>
      </c>
      <c r="AZ120" s="26">
        <v>0.12694598415769034</v>
      </c>
      <c r="BA120" s="26">
        <v>3</v>
      </c>
      <c r="BB120" s="26">
        <v>19.407008086253366</v>
      </c>
      <c r="BC120" s="25">
        <v>0.53191489361702127</v>
      </c>
      <c r="BD120" s="25">
        <v>0</v>
      </c>
      <c r="BE120" s="26">
        <v>0.26237756876478785</v>
      </c>
      <c r="BF120" s="25">
        <v>1</v>
      </c>
      <c r="BG120" s="25">
        <v>2</v>
      </c>
      <c r="BH120" s="26">
        <v>0</v>
      </c>
      <c r="BI120" s="26">
        <v>0.33570330541867099</v>
      </c>
      <c r="BJ120" s="26">
        <v>0.16044153510460787</v>
      </c>
      <c r="BK120" s="26">
        <v>0.36755697133055626</v>
      </c>
      <c r="BL120" s="26">
        <v>0</v>
      </c>
      <c r="BM120" s="26">
        <v>0</v>
      </c>
      <c r="BN120" s="26">
        <v>0</v>
      </c>
      <c r="BO120" s="27" t="s">
        <v>189</v>
      </c>
      <c r="BP120" s="28"/>
      <c r="BQ120" s="17" t="s">
        <v>253</v>
      </c>
      <c r="BR120" s="35">
        <v>5.15</v>
      </c>
      <c r="BS120" s="35">
        <v>6.05</v>
      </c>
      <c r="BT120" s="35">
        <v>0.9</v>
      </c>
      <c r="BU120" s="35">
        <f t="shared" si="58"/>
        <v>5.1499999999999995</v>
      </c>
      <c r="BV120" s="35">
        <f t="shared" si="59"/>
        <v>6.05</v>
      </c>
      <c r="BW120" s="35">
        <f t="shared" si="60"/>
        <v>0.9</v>
      </c>
      <c r="BX120" s="36">
        <f t="shared" si="61"/>
        <v>33.315363881401616</v>
      </c>
      <c r="BY120" s="36">
        <f t="shared" si="62"/>
        <v>39.137466307277627</v>
      </c>
      <c r="BZ120" s="36">
        <f t="shared" si="63"/>
        <v>5.822102425876011</v>
      </c>
      <c r="CA120" s="50">
        <v>0</v>
      </c>
      <c r="CB120" s="50">
        <v>1</v>
      </c>
    </row>
    <row r="121" spans="1:80" x14ac:dyDescent="0.4">
      <c r="A121" s="21" t="s">
        <v>231</v>
      </c>
      <c r="B121" s="17" t="s">
        <v>195</v>
      </c>
      <c r="C121" s="17" t="s">
        <v>170</v>
      </c>
      <c r="D121" s="22">
        <v>11</v>
      </c>
      <c r="E121" s="22">
        <v>4</v>
      </c>
      <c r="F121" s="22">
        <v>32</v>
      </c>
      <c r="G121" s="23">
        <v>2992</v>
      </c>
      <c r="H121" s="23">
        <v>13</v>
      </c>
      <c r="I121" s="24">
        <f t="shared" si="37"/>
        <v>1.1818181818181819</v>
      </c>
      <c r="J121" s="22">
        <v>5</v>
      </c>
      <c r="K121" s="22">
        <v>18</v>
      </c>
      <c r="L121" s="24">
        <f t="shared" si="54"/>
        <v>0.45454545454545453</v>
      </c>
      <c r="M121" s="24">
        <f t="shared" si="55"/>
        <v>1.6363636363636365</v>
      </c>
      <c r="N121" s="25">
        <f t="shared" si="56"/>
        <v>0.27777777777777779</v>
      </c>
      <c r="O121" s="23">
        <v>2</v>
      </c>
      <c r="P121" s="22">
        <v>8</v>
      </c>
      <c r="Q121" s="24">
        <f t="shared" si="38"/>
        <v>0.18181818181818182</v>
      </c>
      <c r="R121" s="24">
        <f t="shared" si="39"/>
        <v>0.72727272727272729</v>
      </c>
      <c r="S121" s="25">
        <f t="shared" si="40"/>
        <v>0.25</v>
      </c>
      <c r="T121" s="22">
        <v>3</v>
      </c>
      <c r="U121" s="22">
        <v>10</v>
      </c>
      <c r="V121" s="24">
        <f t="shared" si="41"/>
        <v>0.27272727272727271</v>
      </c>
      <c r="W121" s="24">
        <f t="shared" si="42"/>
        <v>0.90909090909090906</v>
      </c>
      <c r="X121" s="25">
        <f t="shared" si="43"/>
        <v>0.3</v>
      </c>
      <c r="Y121" s="22">
        <v>0</v>
      </c>
      <c r="Z121" s="22">
        <v>0</v>
      </c>
      <c r="AA121" s="24">
        <f t="shared" si="44"/>
        <v>0</v>
      </c>
      <c r="AB121" s="24">
        <f t="shared" si="45"/>
        <v>0</v>
      </c>
      <c r="AC121" s="25" t="e">
        <f t="shared" si="46"/>
        <v>#DIV/0!</v>
      </c>
      <c r="AD121" s="22">
        <v>6</v>
      </c>
      <c r="AE121" s="24">
        <f t="shared" si="47"/>
        <v>0.54545454545454541</v>
      </c>
      <c r="AF121" s="22">
        <v>1</v>
      </c>
      <c r="AG121" s="24">
        <f t="shared" si="48"/>
        <v>9.0909090909090912E-2</v>
      </c>
      <c r="AH121" s="22">
        <v>5</v>
      </c>
      <c r="AI121" s="24">
        <f t="shared" si="49"/>
        <v>0.45454545454545453</v>
      </c>
      <c r="AJ121" s="22">
        <v>7</v>
      </c>
      <c r="AK121" s="24">
        <f t="shared" si="50"/>
        <v>0.63636363636363635</v>
      </c>
      <c r="AL121" s="22">
        <v>1</v>
      </c>
      <c r="AM121" s="24">
        <f t="shared" si="51"/>
        <v>9.0909090909090912E-2</v>
      </c>
      <c r="AN121" s="10">
        <v>0</v>
      </c>
      <c r="AO121" s="24">
        <f t="shared" si="52"/>
        <v>0</v>
      </c>
      <c r="AP121" s="22">
        <v>5</v>
      </c>
      <c r="AQ121" s="24">
        <f t="shared" si="64"/>
        <v>0.45454545454545453</v>
      </c>
      <c r="AR121" s="22">
        <v>6</v>
      </c>
      <c r="AS121" s="24">
        <f t="shared" si="53"/>
        <v>0.54545454545454541</v>
      </c>
      <c r="AT121" s="26">
        <v>-0.1209010006005786</v>
      </c>
      <c r="AU121" s="26">
        <v>-9.6979412246453428E-2</v>
      </c>
      <c r="AV121" s="26">
        <v>-0.15424713085468242</v>
      </c>
      <c r="AW121" s="26">
        <v>3.3346130254103823E-2</v>
      </c>
      <c r="AX121" s="26">
        <v>74.659319804297951</v>
      </c>
      <c r="AY121" s="26">
        <v>110.73155052676246</v>
      </c>
      <c r="AZ121" s="26">
        <v>6.4672748650751524E-2</v>
      </c>
      <c r="BA121" s="26">
        <v>0.81818181818181823</v>
      </c>
      <c r="BB121" s="26">
        <v>7.2192513368983953</v>
      </c>
      <c r="BC121" s="25">
        <v>0.3611111111111111</v>
      </c>
      <c r="BD121" s="25">
        <v>0.3611111111111111</v>
      </c>
      <c r="BE121" s="26">
        <v>4.3782614875428951</v>
      </c>
      <c r="BF121" s="25">
        <v>0.55555555555555558</v>
      </c>
      <c r="BG121" s="25">
        <v>0</v>
      </c>
      <c r="BH121" s="26">
        <v>0.45788943496443724</v>
      </c>
      <c r="BI121" s="26">
        <v>2.2894471748221861</v>
      </c>
      <c r="BJ121" s="26">
        <v>1.3130252100840336</v>
      </c>
      <c r="BK121" s="26">
        <v>3.5995886184436063</v>
      </c>
      <c r="BL121" s="26">
        <v>1.090690168478067</v>
      </c>
      <c r="BM121" s="26">
        <v>0</v>
      </c>
      <c r="BN121" s="26">
        <v>21.739130434782609</v>
      </c>
      <c r="BO121" s="27" t="s">
        <v>189</v>
      </c>
      <c r="BP121" s="28"/>
      <c r="BQ121" s="17" t="s">
        <v>255</v>
      </c>
      <c r="BR121" s="35">
        <v>23.65</v>
      </c>
      <c r="BS121" s="35">
        <v>43.45</v>
      </c>
      <c r="BT121" s="35">
        <v>19.8</v>
      </c>
      <c r="BU121" s="35">
        <f t="shared" si="58"/>
        <v>2.1500000000000004</v>
      </c>
      <c r="BV121" s="35">
        <f t="shared" si="59"/>
        <v>3.95</v>
      </c>
      <c r="BW121" s="35">
        <f t="shared" si="60"/>
        <v>1.8</v>
      </c>
      <c r="BX121" s="36">
        <f t="shared" si="61"/>
        <v>18.970588235294116</v>
      </c>
      <c r="BY121" s="36">
        <f t="shared" si="62"/>
        <v>34.852941176470587</v>
      </c>
      <c r="BZ121" s="36">
        <f t="shared" si="63"/>
        <v>15.882352941176471</v>
      </c>
      <c r="CA121" s="48">
        <v>9</v>
      </c>
      <c r="CB121" s="48">
        <v>2</v>
      </c>
    </row>
    <row r="122" spans="1:80" x14ac:dyDescent="0.4">
      <c r="A122" s="21" t="s">
        <v>231</v>
      </c>
      <c r="B122" s="49" t="s">
        <v>195</v>
      </c>
      <c r="C122" s="17" t="s">
        <v>166</v>
      </c>
      <c r="D122" s="22">
        <v>44</v>
      </c>
      <c r="E122" s="22">
        <v>7</v>
      </c>
      <c r="F122" s="22">
        <v>14</v>
      </c>
      <c r="G122" s="23">
        <v>19096</v>
      </c>
      <c r="H122" s="23">
        <v>120</v>
      </c>
      <c r="I122" s="24">
        <f t="shared" si="37"/>
        <v>2.7272727272727271</v>
      </c>
      <c r="J122" s="22">
        <v>51</v>
      </c>
      <c r="K122" s="22">
        <v>103</v>
      </c>
      <c r="L122" s="24">
        <f t="shared" si="54"/>
        <v>1.1590909090909092</v>
      </c>
      <c r="M122" s="24">
        <f t="shared" si="55"/>
        <v>2.3409090909090908</v>
      </c>
      <c r="N122" s="25">
        <f t="shared" si="56"/>
        <v>0.49514563106796117</v>
      </c>
      <c r="O122" s="23">
        <v>42</v>
      </c>
      <c r="P122" s="22">
        <v>73</v>
      </c>
      <c r="Q122" s="24">
        <f t="shared" si="38"/>
        <v>0.95454545454545459</v>
      </c>
      <c r="R122" s="24">
        <f t="shared" si="39"/>
        <v>1.6590909090909092</v>
      </c>
      <c r="S122" s="25">
        <f t="shared" si="40"/>
        <v>0.57534246575342463</v>
      </c>
      <c r="T122" s="22">
        <v>9</v>
      </c>
      <c r="U122" s="22">
        <v>30</v>
      </c>
      <c r="V122" s="24">
        <f t="shared" si="41"/>
        <v>0.20454545454545456</v>
      </c>
      <c r="W122" s="24">
        <f t="shared" si="42"/>
        <v>0.68181818181818177</v>
      </c>
      <c r="X122" s="25">
        <f t="shared" si="43"/>
        <v>0.3</v>
      </c>
      <c r="Y122" s="22">
        <v>9</v>
      </c>
      <c r="Z122" s="22">
        <v>11</v>
      </c>
      <c r="AA122" s="24">
        <f t="shared" si="44"/>
        <v>0.20454545454545456</v>
      </c>
      <c r="AB122" s="24">
        <f t="shared" si="45"/>
        <v>0.25</v>
      </c>
      <c r="AC122" s="25">
        <f t="shared" si="46"/>
        <v>0.81818181818181823</v>
      </c>
      <c r="AD122" s="22">
        <v>46</v>
      </c>
      <c r="AE122" s="24">
        <f t="shared" si="47"/>
        <v>1.0454545454545454</v>
      </c>
      <c r="AF122" s="22">
        <v>13</v>
      </c>
      <c r="AG122" s="24">
        <f t="shared" si="48"/>
        <v>0.29545454545454547</v>
      </c>
      <c r="AH122" s="22">
        <v>33</v>
      </c>
      <c r="AI122" s="24">
        <f t="shared" si="49"/>
        <v>0.75</v>
      </c>
      <c r="AJ122" s="22">
        <v>18</v>
      </c>
      <c r="AK122" s="24">
        <f t="shared" si="50"/>
        <v>0.40909090909090912</v>
      </c>
      <c r="AL122" s="22">
        <v>5</v>
      </c>
      <c r="AM122" s="24">
        <f t="shared" si="51"/>
        <v>0.11363636363636363</v>
      </c>
      <c r="AN122" s="10">
        <v>1</v>
      </c>
      <c r="AO122" s="24">
        <f t="shared" si="52"/>
        <v>2.2727272727272728E-2</v>
      </c>
      <c r="AP122" s="22">
        <v>8</v>
      </c>
      <c r="AQ122" s="24">
        <f t="shared" si="64"/>
        <v>0.18181818181818182</v>
      </c>
      <c r="AR122" s="22">
        <v>21</v>
      </c>
      <c r="AS122" s="24">
        <f t="shared" si="53"/>
        <v>0.47727272727272729</v>
      </c>
      <c r="AT122" s="26">
        <v>0.62868809787843982</v>
      </c>
      <c r="AU122" s="26">
        <v>7.9014004760591519E-2</v>
      </c>
      <c r="AV122" s="26">
        <v>0.42973769879712054</v>
      </c>
      <c r="AW122" s="26">
        <v>0.19895039908131931</v>
      </c>
      <c r="AX122" s="26">
        <v>114.29787608327</v>
      </c>
      <c r="AY122" s="26">
        <v>111.12952296421841</v>
      </c>
      <c r="AZ122" s="26">
        <v>8.0930701414894326</v>
      </c>
      <c r="BA122" s="26">
        <v>2.9090909090909092</v>
      </c>
      <c r="BB122" s="26">
        <v>16.08713866778383</v>
      </c>
      <c r="BC122" s="25">
        <v>0.55637982195845692</v>
      </c>
      <c r="BD122" s="25">
        <v>0.53883495145631066</v>
      </c>
      <c r="BE122" s="26">
        <v>13.820112654279257</v>
      </c>
      <c r="BF122" s="25">
        <v>0.29126213592233008</v>
      </c>
      <c r="BG122" s="25">
        <v>0.10679611650485436</v>
      </c>
      <c r="BH122" s="26">
        <v>3.7306383457010375</v>
      </c>
      <c r="BI122" s="26">
        <v>9.4700819544718637</v>
      </c>
      <c r="BJ122" s="26">
        <v>6.3089752029844197</v>
      </c>
      <c r="BK122" s="26">
        <v>6.7348465951608869</v>
      </c>
      <c r="BL122" s="26">
        <v>0.85445773567406158</v>
      </c>
      <c r="BM122" s="26">
        <v>0.2324486724275196</v>
      </c>
      <c r="BN122" s="26">
        <v>6.9060773480662982</v>
      </c>
      <c r="BO122" s="27" t="s">
        <v>189</v>
      </c>
      <c r="BP122" s="27"/>
      <c r="BQ122" s="17" t="s">
        <v>253</v>
      </c>
      <c r="BR122" s="35">
        <v>221.55</v>
      </c>
      <c r="BS122" s="35">
        <v>285.05</v>
      </c>
      <c r="BT122" s="35">
        <v>63.5</v>
      </c>
      <c r="BU122" s="35">
        <f t="shared" si="58"/>
        <v>5.0352272727272727</v>
      </c>
      <c r="BV122" s="35">
        <f t="shared" si="59"/>
        <v>6.478409090909091</v>
      </c>
      <c r="BW122" s="35">
        <f t="shared" si="60"/>
        <v>1.4431818181818181</v>
      </c>
      <c r="BX122" s="36">
        <f t="shared" si="61"/>
        <v>27.84457478005865</v>
      </c>
      <c r="BY122" s="36">
        <f t="shared" si="62"/>
        <v>35.825303728529533</v>
      </c>
      <c r="BZ122" s="36">
        <f t="shared" si="63"/>
        <v>7.9807289484708841</v>
      </c>
      <c r="CA122" s="50">
        <v>32</v>
      </c>
      <c r="CB122" s="50">
        <v>12</v>
      </c>
    </row>
    <row r="123" spans="1:80" x14ac:dyDescent="0.4">
      <c r="A123" s="21" t="s">
        <v>231</v>
      </c>
      <c r="B123" s="37" t="s">
        <v>195</v>
      </c>
      <c r="C123" s="37" t="s">
        <v>123</v>
      </c>
      <c r="D123" s="22">
        <v>2</v>
      </c>
      <c r="E123" s="22">
        <v>2</v>
      </c>
      <c r="F123" s="22">
        <v>58</v>
      </c>
      <c r="G123" s="23">
        <v>356</v>
      </c>
      <c r="H123" s="23">
        <v>1</v>
      </c>
      <c r="I123" s="24">
        <f t="shared" si="37"/>
        <v>0.5</v>
      </c>
      <c r="J123" s="22">
        <v>0</v>
      </c>
      <c r="K123" s="22">
        <v>2</v>
      </c>
      <c r="L123" s="24">
        <f t="shared" si="54"/>
        <v>0</v>
      </c>
      <c r="M123" s="24">
        <f t="shared" si="55"/>
        <v>1</v>
      </c>
      <c r="N123" s="25">
        <f t="shared" si="56"/>
        <v>0</v>
      </c>
      <c r="O123" s="23">
        <v>0</v>
      </c>
      <c r="P123" s="22">
        <v>2</v>
      </c>
      <c r="Q123" s="24">
        <f t="shared" si="38"/>
        <v>0</v>
      </c>
      <c r="R123" s="24">
        <f t="shared" si="39"/>
        <v>1</v>
      </c>
      <c r="S123" s="25">
        <f t="shared" si="40"/>
        <v>0</v>
      </c>
      <c r="T123" s="22">
        <v>0</v>
      </c>
      <c r="U123" s="22">
        <v>0</v>
      </c>
      <c r="V123" s="24">
        <f t="shared" si="41"/>
        <v>0</v>
      </c>
      <c r="W123" s="24">
        <f t="shared" si="42"/>
        <v>0</v>
      </c>
      <c r="X123" s="25" t="e">
        <f t="shared" si="43"/>
        <v>#DIV/0!</v>
      </c>
      <c r="Y123" s="22">
        <v>1</v>
      </c>
      <c r="Z123" s="22">
        <v>2</v>
      </c>
      <c r="AA123" s="24">
        <f t="shared" si="44"/>
        <v>0.5</v>
      </c>
      <c r="AB123" s="24">
        <f t="shared" si="45"/>
        <v>1</v>
      </c>
      <c r="AC123" s="25">
        <f t="shared" si="46"/>
        <v>0.5</v>
      </c>
      <c r="AD123" s="22">
        <v>0</v>
      </c>
      <c r="AE123" s="24">
        <f t="shared" si="47"/>
        <v>0</v>
      </c>
      <c r="AF123" s="22">
        <v>0</v>
      </c>
      <c r="AG123" s="24">
        <f t="shared" si="48"/>
        <v>0</v>
      </c>
      <c r="AH123" s="22">
        <v>0</v>
      </c>
      <c r="AI123" s="24">
        <f t="shared" si="49"/>
        <v>0</v>
      </c>
      <c r="AJ123" s="22">
        <v>0</v>
      </c>
      <c r="AK123" s="24">
        <f t="shared" si="50"/>
        <v>0</v>
      </c>
      <c r="AL123" s="22">
        <v>1</v>
      </c>
      <c r="AM123" s="24">
        <f t="shared" si="51"/>
        <v>0.5</v>
      </c>
      <c r="AN123" s="10">
        <v>0</v>
      </c>
      <c r="AO123" s="24">
        <f t="shared" si="52"/>
        <v>0</v>
      </c>
      <c r="AP123" s="22">
        <v>0</v>
      </c>
      <c r="AQ123" s="24">
        <f t="shared" si="64"/>
        <v>0</v>
      </c>
      <c r="AR123" s="22">
        <v>1</v>
      </c>
      <c r="AS123" s="24">
        <f t="shared" si="53"/>
        <v>0.5</v>
      </c>
      <c r="AT123" s="26">
        <v>-2.5106736398787161E-2</v>
      </c>
      <c r="AU123" s="26">
        <v>-0.16925889707047526</v>
      </c>
      <c r="AV123" s="26">
        <v>-3.8332919352493222E-2</v>
      </c>
      <c r="AW123" s="26">
        <v>1.3226182953706063E-2</v>
      </c>
      <c r="AX123" s="26">
        <v>41.689940651530797</v>
      </c>
      <c r="AY123" s="26">
        <v>96.488225380521754</v>
      </c>
      <c r="AZ123" s="26">
        <v>-0.19440775571658159</v>
      </c>
      <c r="BA123" s="26">
        <v>-0.5</v>
      </c>
      <c r="BB123" s="26">
        <v>-6.7415730337078648</v>
      </c>
      <c r="BC123" s="25">
        <v>0.1736111111111111</v>
      </c>
      <c r="BD123" s="25">
        <v>0</v>
      </c>
      <c r="BE123" s="26">
        <v>0.83775156787533023</v>
      </c>
      <c r="BF123" s="25">
        <v>0</v>
      </c>
      <c r="BG123" s="25">
        <v>1</v>
      </c>
      <c r="BH123" s="26">
        <v>0</v>
      </c>
      <c r="BI123" s="26">
        <v>0</v>
      </c>
      <c r="BJ123" s="26">
        <v>0</v>
      </c>
      <c r="BK123" s="26">
        <v>0</v>
      </c>
      <c r="BL123" s="26">
        <v>9.166699393501057</v>
      </c>
      <c r="BM123" s="26">
        <v>0</v>
      </c>
      <c r="BN123" s="26">
        <v>0</v>
      </c>
      <c r="BO123" s="27" t="s">
        <v>189</v>
      </c>
      <c r="BP123" s="27"/>
      <c r="BQ123" s="17" t="s">
        <v>255</v>
      </c>
      <c r="BR123" s="35">
        <v>0.68</v>
      </c>
      <c r="BS123" s="35">
        <v>3.48</v>
      </c>
      <c r="BT123" s="35">
        <v>2.8</v>
      </c>
      <c r="BU123" s="35">
        <f t="shared" si="58"/>
        <v>0.34000000000000008</v>
      </c>
      <c r="BV123" s="35">
        <f t="shared" si="59"/>
        <v>1.74</v>
      </c>
      <c r="BW123" s="35">
        <f t="shared" si="60"/>
        <v>1.4</v>
      </c>
      <c r="BX123" s="36">
        <f t="shared" si="61"/>
        <v>4.5842696629213471</v>
      </c>
      <c r="BY123" s="36">
        <f t="shared" si="62"/>
        <v>23.460674157303369</v>
      </c>
      <c r="BZ123" s="36">
        <f t="shared" si="63"/>
        <v>18.876404494382022</v>
      </c>
      <c r="CA123" s="48">
        <v>1</v>
      </c>
      <c r="CB123" s="48">
        <v>1</v>
      </c>
    </row>
    <row r="124" spans="1:80" x14ac:dyDescent="0.4">
      <c r="A124" s="21" t="s">
        <v>231</v>
      </c>
      <c r="B124" s="17" t="s">
        <v>195</v>
      </c>
      <c r="C124" s="17" t="s">
        <v>230</v>
      </c>
      <c r="D124" s="22">
        <v>38</v>
      </c>
      <c r="E124" s="22">
        <v>8</v>
      </c>
      <c r="F124" s="22">
        <v>1</v>
      </c>
      <c r="G124" s="23">
        <v>18278</v>
      </c>
      <c r="H124" s="23">
        <v>82</v>
      </c>
      <c r="I124" s="24">
        <f t="shared" si="37"/>
        <v>2.1578947368421053</v>
      </c>
      <c r="J124" s="22">
        <v>34</v>
      </c>
      <c r="K124" s="22">
        <v>93</v>
      </c>
      <c r="L124" s="24">
        <f t="shared" si="54"/>
        <v>0.89473684210526316</v>
      </c>
      <c r="M124" s="24">
        <f t="shared" si="55"/>
        <v>2.4473684210526314</v>
      </c>
      <c r="N124" s="25">
        <f t="shared" si="56"/>
        <v>0.36559139784946237</v>
      </c>
      <c r="O124" s="23">
        <v>25</v>
      </c>
      <c r="P124" s="22">
        <v>66</v>
      </c>
      <c r="Q124" s="24">
        <f t="shared" si="38"/>
        <v>0.65789473684210531</v>
      </c>
      <c r="R124" s="24">
        <f t="shared" si="39"/>
        <v>1.736842105263158</v>
      </c>
      <c r="S124" s="25">
        <f t="shared" si="40"/>
        <v>0.37878787878787878</v>
      </c>
      <c r="T124" s="22">
        <v>9</v>
      </c>
      <c r="U124" s="22">
        <v>27</v>
      </c>
      <c r="V124" s="24">
        <f t="shared" si="41"/>
        <v>0.23684210526315788</v>
      </c>
      <c r="W124" s="24">
        <f t="shared" si="42"/>
        <v>0.71052631578947367</v>
      </c>
      <c r="X124" s="25">
        <f t="shared" si="43"/>
        <v>0.33333333333333331</v>
      </c>
      <c r="Y124" s="22">
        <v>5</v>
      </c>
      <c r="Z124" s="22">
        <v>10</v>
      </c>
      <c r="AA124" s="24">
        <f t="shared" si="44"/>
        <v>0.13157894736842105</v>
      </c>
      <c r="AB124" s="24">
        <f t="shared" si="45"/>
        <v>0.26315789473684209</v>
      </c>
      <c r="AC124" s="25">
        <f t="shared" si="46"/>
        <v>0.5</v>
      </c>
      <c r="AD124" s="22">
        <v>53</v>
      </c>
      <c r="AE124" s="24">
        <f t="shared" si="47"/>
        <v>1.3947368421052631</v>
      </c>
      <c r="AF124" s="22">
        <v>25</v>
      </c>
      <c r="AG124" s="24">
        <f t="shared" si="48"/>
        <v>0.65789473684210531</v>
      </c>
      <c r="AH124" s="22">
        <v>28</v>
      </c>
      <c r="AI124" s="24">
        <f t="shared" si="49"/>
        <v>0.73684210526315785</v>
      </c>
      <c r="AJ124" s="22">
        <v>12</v>
      </c>
      <c r="AK124" s="24">
        <f t="shared" si="50"/>
        <v>0.31578947368421051</v>
      </c>
      <c r="AL124" s="22">
        <v>7</v>
      </c>
      <c r="AM124" s="24">
        <f t="shared" si="51"/>
        <v>0.18421052631578946</v>
      </c>
      <c r="AN124" s="10">
        <v>3</v>
      </c>
      <c r="AO124" s="24">
        <f t="shared" si="52"/>
        <v>7.8947368421052627E-2</v>
      </c>
      <c r="AP124" s="22">
        <v>12</v>
      </c>
      <c r="AQ124" s="24">
        <f t="shared" si="64"/>
        <v>0.31578947368421051</v>
      </c>
      <c r="AR124" s="22">
        <v>67</v>
      </c>
      <c r="AS124" s="24">
        <f t="shared" si="53"/>
        <v>1.763157894736842</v>
      </c>
      <c r="AT124" s="26">
        <v>1.7012609974106668E-2</v>
      </c>
      <c r="AU124" s="26">
        <v>2.2338474635001642E-3</v>
      </c>
      <c r="AV124" s="26">
        <v>-0.2164476940450577</v>
      </c>
      <c r="AW124" s="26">
        <v>0.23346030401916437</v>
      </c>
      <c r="AX124" s="26">
        <v>92.04386332826752</v>
      </c>
      <c r="AY124" s="26">
        <v>109.84013346171213</v>
      </c>
      <c r="AZ124" s="26">
        <v>1.2761865454851591</v>
      </c>
      <c r="BA124" s="26">
        <v>2.1315789473684212</v>
      </c>
      <c r="BB124" s="26">
        <v>10.635736951526425</v>
      </c>
      <c r="BC124" s="25">
        <v>0.42094455852156054</v>
      </c>
      <c r="BD124" s="25">
        <v>0.41397849462365593</v>
      </c>
      <c r="BE124" s="26">
        <v>11.776466729866801</v>
      </c>
      <c r="BF124" s="25">
        <v>0.29032258064516131</v>
      </c>
      <c r="BG124" s="25">
        <v>0.10752688172043011</v>
      </c>
      <c r="BH124" s="26">
        <v>6.4732809932602358</v>
      </c>
      <c r="BI124" s="26">
        <v>7.2500747124514637</v>
      </c>
      <c r="BJ124" s="26">
        <v>6.5587565587565591</v>
      </c>
      <c r="BK124" s="26">
        <v>3.7649027400125497</v>
      </c>
      <c r="BL124" s="26">
        <v>1.2497765011820021</v>
      </c>
      <c r="BM124" s="26">
        <v>0.62920617775598853</v>
      </c>
      <c r="BN124" s="26">
        <v>10.968921389396709</v>
      </c>
      <c r="BO124" s="27" t="s">
        <v>189</v>
      </c>
      <c r="BP124" s="28"/>
      <c r="BQ124" s="17" t="s">
        <v>253</v>
      </c>
      <c r="BR124" s="35">
        <v>181.5</v>
      </c>
      <c r="BS124" s="35">
        <v>260.7</v>
      </c>
      <c r="BT124" s="35">
        <v>79.2</v>
      </c>
      <c r="BU124" s="35">
        <f t="shared" si="58"/>
        <v>4.7763157894736841</v>
      </c>
      <c r="BV124" s="35">
        <f t="shared" si="59"/>
        <v>6.8605263157894738</v>
      </c>
      <c r="BW124" s="35">
        <f t="shared" si="60"/>
        <v>2.0842105263157897</v>
      </c>
      <c r="BX124" s="36">
        <f t="shared" si="61"/>
        <v>23.831929095086991</v>
      </c>
      <c r="BY124" s="36">
        <f t="shared" si="62"/>
        <v>34.231316336579496</v>
      </c>
      <c r="BZ124" s="36">
        <f t="shared" si="63"/>
        <v>10.399387241492505</v>
      </c>
      <c r="CA124" s="50">
        <v>27</v>
      </c>
      <c r="CB124" s="50">
        <v>11</v>
      </c>
    </row>
    <row r="125" spans="1:80" x14ac:dyDescent="0.4">
      <c r="A125" s="21" t="s">
        <v>231</v>
      </c>
      <c r="B125" s="17" t="s">
        <v>248</v>
      </c>
      <c r="C125" s="17" t="s">
        <v>82</v>
      </c>
      <c r="D125" s="16">
        <v>54</v>
      </c>
      <c r="E125" s="16">
        <v>27</v>
      </c>
      <c r="F125" s="16">
        <v>18</v>
      </c>
      <c r="G125" s="23">
        <v>88452</v>
      </c>
      <c r="H125" s="23">
        <v>1008</v>
      </c>
      <c r="I125" s="24">
        <f t="shared" si="37"/>
        <v>18.666666666666668</v>
      </c>
      <c r="J125" s="22">
        <v>407</v>
      </c>
      <c r="K125" s="22">
        <v>725</v>
      </c>
      <c r="L125" s="24">
        <f t="shared" si="54"/>
        <v>7.5370370370370372</v>
      </c>
      <c r="M125" s="24">
        <f t="shared" si="55"/>
        <v>13.425925925925926</v>
      </c>
      <c r="N125" s="25">
        <f t="shared" si="56"/>
        <v>0.56137931034482758</v>
      </c>
      <c r="O125" s="23">
        <v>403</v>
      </c>
      <c r="P125" s="22">
        <v>712</v>
      </c>
      <c r="Q125" s="24">
        <f t="shared" si="38"/>
        <v>7.4629629629629628</v>
      </c>
      <c r="R125" s="24">
        <f t="shared" si="39"/>
        <v>13.185185185185185</v>
      </c>
      <c r="S125" s="25">
        <f t="shared" si="40"/>
        <v>0.5660112359550562</v>
      </c>
      <c r="T125" s="22">
        <v>4</v>
      </c>
      <c r="U125" s="22">
        <v>13</v>
      </c>
      <c r="V125" s="24">
        <f t="shared" si="41"/>
        <v>7.407407407407407E-2</v>
      </c>
      <c r="W125" s="24">
        <f t="shared" si="42"/>
        <v>0.24074074074074073</v>
      </c>
      <c r="X125" s="25">
        <f t="shared" si="43"/>
        <v>0.30769230769230771</v>
      </c>
      <c r="Y125" s="15">
        <v>190</v>
      </c>
      <c r="Z125" s="15">
        <v>256</v>
      </c>
      <c r="AA125" s="24">
        <f t="shared" si="44"/>
        <v>3.5185185185185186</v>
      </c>
      <c r="AB125" s="24">
        <f t="shared" si="45"/>
        <v>4.7407407407407405</v>
      </c>
      <c r="AC125" s="25">
        <f t="shared" si="46"/>
        <v>0.7421875</v>
      </c>
      <c r="AD125" s="22">
        <v>578</v>
      </c>
      <c r="AE125" s="24">
        <f t="shared" si="47"/>
        <v>10.703703703703704</v>
      </c>
      <c r="AF125" s="22">
        <v>209</v>
      </c>
      <c r="AG125" s="24">
        <f t="shared" si="48"/>
        <v>3.8703703703703702</v>
      </c>
      <c r="AH125" s="22">
        <v>369</v>
      </c>
      <c r="AI125" s="24">
        <f t="shared" si="49"/>
        <v>6.833333333333333</v>
      </c>
      <c r="AJ125" s="22">
        <v>124</v>
      </c>
      <c r="AK125" s="24">
        <f t="shared" si="50"/>
        <v>2.2962962962962963</v>
      </c>
      <c r="AL125" s="13">
        <v>76</v>
      </c>
      <c r="AM125" s="24">
        <f t="shared" si="51"/>
        <v>1.4074074074074074</v>
      </c>
      <c r="AN125" s="12">
        <v>41</v>
      </c>
      <c r="AO125" s="24">
        <f t="shared" si="52"/>
        <v>0.7592592592592593</v>
      </c>
      <c r="AP125" s="22">
        <v>99</v>
      </c>
      <c r="AQ125" s="24">
        <f t="shared" si="64"/>
        <v>1.8333333333333333</v>
      </c>
      <c r="AR125" s="22">
        <v>160</v>
      </c>
      <c r="AS125" s="24">
        <f t="shared" si="53"/>
        <v>2.9629629629629628</v>
      </c>
      <c r="AT125" s="26">
        <v>7.6783943711347638</v>
      </c>
      <c r="AU125" s="26">
        <v>0.20834064227743221</v>
      </c>
      <c r="AV125" s="26">
        <v>5.1595297507065654</v>
      </c>
      <c r="AW125" s="26">
        <v>2.5188646204281984</v>
      </c>
      <c r="AX125" s="26">
        <v>121.30588084427971</v>
      </c>
      <c r="AY125" s="26">
        <v>101.1699153915476</v>
      </c>
      <c r="AZ125" s="26">
        <v>22.348861408170531</v>
      </c>
      <c r="BA125" s="26">
        <v>24.888888888888889</v>
      </c>
      <c r="BB125" s="26">
        <v>36.467236467236468</v>
      </c>
      <c r="BC125" s="25">
        <v>0.60169046368368273</v>
      </c>
      <c r="BD125" s="25">
        <v>0.56413793103448273</v>
      </c>
      <c r="BE125" s="26">
        <v>29.607488357919841</v>
      </c>
      <c r="BF125" s="25">
        <v>1.793103448275862E-2</v>
      </c>
      <c r="BG125" s="25">
        <v>0.35310344827586204</v>
      </c>
      <c r="BH125" s="26">
        <v>15.891391085994098</v>
      </c>
      <c r="BI125" s="26">
        <v>28.057049333645079</v>
      </c>
      <c r="BJ125" s="26">
        <v>21.004128146985291</v>
      </c>
      <c r="BK125" s="26">
        <v>15.61319566859733</v>
      </c>
      <c r="BL125" s="26">
        <v>2.8039413330457719</v>
      </c>
      <c r="BM125" s="26">
        <v>2.5251475440630546</v>
      </c>
      <c r="BN125" s="26">
        <v>10.569695934403827</v>
      </c>
      <c r="BO125" s="27" t="s">
        <v>232</v>
      </c>
      <c r="BP125" s="28"/>
      <c r="BQ125" s="17" t="s">
        <v>255</v>
      </c>
      <c r="BR125" s="35">
        <v>1846.56</v>
      </c>
      <c r="BS125" s="35">
        <v>2364.96</v>
      </c>
      <c r="BT125" s="35">
        <v>518.4</v>
      </c>
      <c r="BU125" s="35"/>
      <c r="BV125" s="35"/>
      <c r="BW125" s="35"/>
      <c r="BX125" s="36"/>
      <c r="BY125" s="36"/>
      <c r="BZ125" s="36"/>
      <c r="CA125" s="48">
        <v>34</v>
      </c>
      <c r="CB125" s="48">
        <v>20</v>
      </c>
    </row>
    <row r="126" spans="1:80" x14ac:dyDescent="0.4">
      <c r="A126" s="21" t="s">
        <v>231</v>
      </c>
      <c r="B126" s="17" t="s">
        <v>248</v>
      </c>
      <c r="C126" s="17" t="s">
        <v>87</v>
      </c>
      <c r="D126" s="22">
        <v>29</v>
      </c>
      <c r="E126" s="22">
        <v>7</v>
      </c>
      <c r="F126" s="22">
        <v>7</v>
      </c>
      <c r="G126" s="23">
        <v>12383</v>
      </c>
      <c r="H126" s="23">
        <v>54</v>
      </c>
      <c r="I126" s="24">
        <f t="shared" si="37"/>
        <v>1.8620689655172413</v>
      </c>
      <c r="J126" s="22">
        <v>20</v>
      </c>
      <c r="K126" s="22">
        <v>48</v>
      </c>
      <c r="L126" s="24">
        <f t="shared" si="54"/>
        <v>0.68965517241379315</v>
      </c>
      <c r="M126" s="24">
        <f t="shared" si="55"/>
        <v>1.6551724137931034</v>
      </c>
      <c r="N126" s="25">
        <f t="shared" si="56"/>
        <v>0.41666666666666669</v>
      </c>
      <c r="O126" s="23">
        <v>10</v>
      </c>
      <c r="P126" s="22">
        <v>19</v>
      </c>
      <c r="Q126" s="24">
        <f t="shared" si="38"/>
        <v>0.34482758620689657</v>
      </c>
      <c r="R126" s="24">
        <f t="shared" si="39"/>
        <v>0.65517241379310343</v>
      </c>
      <c r="S126" s="25">
        <f t="shared" si="40"/>
        <v>0.52631578947368418</v>
      </c>
      <c r="T126" s="22">
        <v>10</v>
      </c>
      <c r="U126" s="22">
        <v>29</v>
      </c>
      <c r="V126" s="24">
        <f t="shared" si="41"/>
        <v>0.34482758620689657</v>
      </c>
      <c r="W126" s="24">
        <f t="shared" si="42"/>
        <v>1</v>
      </c>
      <c r="X126" s="25">
        <f t="shared" si="43"/>
        <v>0.34482758620689657</v>
      </c>
      <c r="Y126" s="22">
        <v>4</v>
      </c>
      <c r="Z126" s="22">
        <v>5</v>
      </c>
      <c r="AA126" s="24">
        <f t="shared" si="44"/>
        <v>0.13793103448275862</v>
      </c>
      <c r="AB126" s="24">
        <f t="shared" si="45"/>
        <v>0.17241379310344829</v>
      </c>
      <c r="AC126" s="25">
        <f t="shared" si="46"/>
        <v>0.8</v>
      </c>
      <c r="AD126" s="22">
        <v>28</v>
      </c>
      <c r="AE126" s="24">
        <f t="shared" si="47"/>
        <v>0.96551724137931039</v>
      </c>
      <c r="AF126" s="22">
        <v>4</v>
      </c>
      <c r="AG126" s="24">
        <f t="shared" si="48"/>
        <v>0.13793103448275862</v>
      </c>
      <c r="AH126" s="22">
        <v>24</v>
      </c>
      <c r="AI126" s="24">
        <f t="shared" si="49"/>
        <v>0.82758620689655171</v>
      </c>
      <c r="AJ126" s="22">
        <v>6</v>
      </c>
      <c r="AK126" s="24">
        <f t="shared" si="50"/>
        <v>0.20689655172413793</v>
      </c>
      <c r="AL126" s="22">
        <v>2</v>
      </c>
      <c r="AM126" s="24">
        <f t="shared" si="51"/>
        <v>6.8965517241379309E-2</v>
      </c>
      <c r="AN126" s="10">
        <v>0</v>
      </c>
      <c r="AO126" s="24">
        <f t="shared" si="52"/>
        <v>0</v>
      </c>
      <c r="AP126" s="22">
        <v>5</v>
      </c>
      <c r="AQ126" s="24">
        <f t="shared" si="64"/>
        <v>0.17241379310344829</v>
      </c>
      <c r="AR126" s="22">
        <v>29</v>
      </c>
      <c r="AS126" s="24">
        <f t="shared" si="53"/>
        <v>1</v>
      </c>
      <c r="AT126" s="26">
        <v>0.20336004215332484</v>
      </c>
      <c r="AU126" s="26">
        <v>3.9414043540981963E-2</v>
      </c>
      <c r="AV126" s="26">
        <v>0.1109593319678918</v>
      </c>
      <c r="AW126" s="26">
        <v>9.2400710185433041E-2</v>
      </c>
      <c r="AX126" s="26">
        <v>108.12261083351888</v>
      </c>
      <c r="AY126" s="26">
        <v>112.73055565644916</v>
      </c>
      <c r="AZ126" s="26">
        <v>1.8722899608467807</v>
      </c>
      <c r="BA126" s="26">
        <v>1.9310344827586208</v>
      </c>
      <c r="BB126" s="26">
        <v>10.8535895986433</v>
      </c>
      <c r="BC126" s="25">
        <v>0.53784860557768921</v>
      </c>
      <c r="BD126" s="25">
        <v>0.52083333333333337</v>
      </c>
      <c r="BE126" s="26">
        <v>6.6935107706510584</v>
      </c>
      <c r="BF126" s="25">
        <v>0.60416666666666663</v>
      </c>
      <c r="BG126" s="25">
        <v>0.10416666666666667</v>
      </c>
      <c r="BH126" s="26">
        <v>1.1667065696517744</v>
      </c>
      <c r="BI126" s="26">
        <v>7.0002394179106471</v>
      </c>
      <c r="BJ126" s="26">
        <v>3.9032006245120998</v>
      </c>
      <c r="BK126" s="26">
        <v>2.0468501250852853</v>
      </c>
      <c r="BL126" s="26">
        <v>0.52706855916762929</v>
      </c>
      <c r="BM126" s="26">
        <v>0</v>
      </c>
      <c r="BN126" s="26">
        <v>9.0579710144927539</v>
      </c>
      <c r="BO126" s="27" t="s">
        <v>189</v>
      </c>
      <c r="BP126" s="28"/>
      <c r="BQ126" s="17" t="s">
        <v>254</v>
      </c>
      <c r="BR126" s="35">
        <v>118.21</v>
      </c>
      <c r="BS126" s="35">
        <v>152.61000000000001</v>
      </c>
      <c r="BT126" s="35">
        <v>34.4</v>
      </c>
      <c r="BU126" s="35">
        <f t="shared" si="58"/>
        <v>4.0762068965517253</v>
      </c>
      <c r="BV126" s="35">
        <f t="shared" si="59"/>
        <v>5.2624137931034491</v>
      </c>
      <c r="BW126" s="35">
        <f t="shared" si="60"/>
        <v>1.1862068965517241</v>
      </c>
      <c r="BX126" s="36">
        <f t="shared" si="61"/>
        <v>22.91076475813616</v>
      </c>
      <c r="BY126" s="36">
        <f t="shared" si="62"/>
        <v>29.57796979730276</v>
      </c>
      <c r="BZ126" s="36">
        <f t="shared" si="63"/>
        <v>6.6672050391665998</v>
      </c>
      <c r="CA126" s="48">
        <v>19</v>
      </c>
      <c r="CB126" s="48">
        <v>10</v>
      </c>
    </row>
    <row r="127" spans="1:80" x14ac:dyDescent="0.4">
      <c r="A127" s="21" t="s">
        <v>231</v>
      </c>
      <c r="B127" s="17" t="s">
        <v>248</v>
      </c>
      <c r="C127" s="17" t="s">
        <v>204</v>
      </c>
      <c r="D127" s="22">
        <v>27</v>
      </c>
      <c r="E127" s="22">
        <v>10</v>
      </c>
      <c r="F127" s="22">
        <v>17</v>
      </c>
      <c r="G127" s="23">
        <v>16659</v>
      </c>
      <c r="H127" s="23">
        <v>71</v>
      </c>
      <c r="I127" s="24">
        <f t="shared" si="37"/>
        <v>2.6296296296296298</v>
      </c>
      <c r="J127" s="22">
        <v>27</v>
      </c>
      <c r="K127" s="22">
        <v>88</v>
      </c>
      <c r="L127" s="24">
        <f t="shared" si="54"/>
        <v>1</v>
      </c>
      <c r="M127" s="24">
        <f t="shared" si="55"/>
        <v>3.2592592592592591</v>
      </c>
      <c r="N127" s="25">
        <f t="shared" si="56"/>
        <v>0.30681818181818182</v>
      </c>
      <c r="O127" s="23">
        <v>18</v>
      </c>
      <c r="P127" s="22">
        <v>62</v>
      </c>
      <c r="Q127" s="24">
        <f t="shared" si="38"/>
        <v>0.66666666666666663</v>
      </c>
      <c r="R127" s="24">
        <f t="shared" si="39"/>
        <v>2.2962962962962963</v>
      </c>
      <c r="S127" s="25">
        <f t="shared" si="40"/>
        <v>0.29032258064516131</v>
      </c>
      <c r="T127" s="22">
        <v>9</v>
      </c>
      <c r="U127" s="22">
        <v>26</v>
      </c>
      <c r="V127" s="24">
        <f t="shared" si="41"/>
        <v>0.33333333333333331</v>
      </c>
      <c r="W127" s="24">
        <f t="shared" si="42"/>
        <v>0.96296296296296291</v>
      </c>
      <c r="X127" s="25">
        <f t="shared" si="43"/>
        <v>0.34615384615384615</v>
      </c>
      <c r="Y127" s="22">
        <v>8</v>
      </c>
      <c r="Z127" s="22">
        <v>17</v>
      </c>
      <c r="AA127" s="24">
        <f t="shared" si="44"/>
        <v>0.29629629629629628</v>
      </c>
      <c r="AB127" s="24">
        <f t="shared" si="45"/>
        <v>0.62962962962962965</v>
      </c>
      <c r="AC127" s="25">
        <f t="shared" si="46"/>
        <v>0.47058823529411764</v>
      </c>
      <c r="AD127" s="22">
        <v>22</v>
      </c>
      <c r="AE127" s="24">
        <f t="shared" si="47"/>
        <v>0.81481481481481477</v>
      </c>
      <c r="AF127" s="22">
        <v>3</v>
      </c>
      <c r="AG127" s="24">
        <f t="shared" si="48"/>
        <v>0.1111111111111111</v>
      </c>
      <c r="AH127" s="22">
        <v>19</v>
      </c>
      <c r="AI127" s="24">
        <f t="shared" si="49"/>
        <v>0.70370370370370372</v>
      </c>
      <c r="AJ127" s="22">
        <v>27</v>
      </c>
      <c r="AK127" s="24">
        <f t="shared" si="50"/>
        <v>1</v>
      </c>
      <c r="AL127" s="22">
        <v>9</v>
      </c>
      <c r="AM127" s="24">
        <f t="shared" si="51"/>
        <v>0.33333333333333331</v>
      </c>
      <c r="AN127" s="10">
        <v>0</v>
      </c>
      <c r="AO127" s="24">
        <f t="shared" si="52"/>
        <v>0</v>
      </c>
      <c r="AP127" s="22">
        <v>18</v>
      </c>
      <c r="AQ127" s="24">
        <f t="shared" si="64"/>
        <v>0.66666666666666663</v>
      </c>
      <c r="AR127" s="22">
        <v>24</v>
      </c>
      <c r="AS127" s="24">
        <f t="shared" si="53"/>
        <v>0.88888888888888884</v>
      </c>
      <c r="AT127" s="26">
        <v>-0.43574346533639002</v>
      </c>
      <c r="AU127" s="26">
        <v>-6.2775935938972099E-2</v>
      </c>
      <c r="AV127" s="26">
        <v>-0.58082758906440646</v>
      </c>
      <c r="AW127" s="26">
        <v>0.14508412372801643</v>
      </c>
      <c r="AX127" s="26">
        <v>78.950172081750978</v>
      </c>
      <c r="AY127" s="26">
        <v>112.04448897956672</v>
      </c>
      <c r="AZ127" s="26">
        <v>0.79720818234413915</v>
      </c>
      <c r="BA127" s="26">
        <v>1.5185185185185186</v>
      </c>
      <c r="BB127" s="26">
        <v>5.9067170898613366</v>
      </c>
      <c r="BC127" s="25">
        <v>0.37180561374109761</v>
      </c>
      <c r="BD127" s="25">
        <v>0.35795454545454547</v>
      </c>
      <c r="BE127" s="26">
        <v>9.5230689099381305</v>
      </c>
      <c r="BF127" s="25">
        <v>0.29545454545454547</v>
      </c>
      <c r="BG127" s="25">
        <v>0.19318181818181818</v>
      </c>
      <c r="BH127" s="26">
        <v>0.60557176488003372</v>
      </c>
      <c r="BI127" s="26">
        <v>3.8352878442402134</v>
      </c>
      <c r="BJ127" s="26">
        <v>2.1224048776723006</v>
      </c>
      <c r="BK127" s="26">
        <v>6.3459730492008779</v>
      </c>
      <c r="BL127" s="26">
        <v>1.7630172793551466</v>
      </c>
      <c r="BM127" s="26">
        <v>0</v>
      </c>
      <c r="BN127" s="26">
        <v>15.861825872400422</v>
      </c>
      <c r="BO127" s="27" t="s">
        <v>189</v>
      </c>
      <c r="BP127" s="28"/>
      <c r="BQ127" s="17" t="s">
        <v>253</v>
      </c>
      <c r="BR127" s="35">
        <v>122.88</v>
      </c>
      <c r="BS127" s="35">
        <v>216.38</v>
      </c>
      <c r="BT127" s="35">
        <v>93.5</v>
      </c>
      <c r="BU127" s="35">
        <f t="shared" si="58"/>
        <v>4.5511111111111111</v>
      </c>
      <c r="BV127" s="35">
        <f t="shared" si="59"/>
        <v>8.0140740740740739</v>
      </c>
      <c r="BW127" s="35">
        <f t="shared" si="60"/>
        <v>3.4629629629629628</v>
      </c>
      <c r="BX127" s="36">
        <f t="shared" si="61"/>
        <v>17.702863317125882</v>
      </c>
      <c r="BY127" s="36">
        <f t="shared" si="62"/>
        <v>31.173059607419415</v>
      </c>
      <c r="BZ127" s="36">
        <f t="shared" si="63"/>
        <v>13.470196290293535</v>
      </c>
      <c r="CA127" s="50">
        <v>15</v>
      </c>
      <c r="CB127" s="50">
        <v>12</v>
      </c>
    </row>
    <row r="128" spans="1:80" x14ac:dyDescent="0.4">
      <c r="A128" s="21" t="s">
        <v>231</v>
      </c>
      <c r="B128" s="17" t="s">
        <v>248</v>
      </c>
      <c r="C128" s="17" t="s">
        <v>103</v>
      </c>
      <c r="D128" s="22">
        <v>50</v>
      </c>
      <c r="E128" s="22">
        <v>16</v>
      </c>
      <c r="F128" s="22">
        <v>15</v>
      </c>
      <c r="G128" s="23">
        <v>48750</v>
      </c>
      <c r="H128" s="23">
        <v>157</v>
      </c>
      <c r="I128" s="24">
        <f t="shared" si="37"/>
        <v>3.14</v>
      </c>
      <c r="J128" s="22">
        <v>57</v>
      </c>
      <c r="K128" s="22">
        <v>164</v>
      </c>
      <c r="L128" s="24">
        <f t="shared" si="54"/>
        <v>1.1399999999999999</v>
      </c>
      <c r="M128" s="24">
        <f t="shared" si="55"/>
        <v>3.28</v>
      </c>
      <c r="N128" s="25">
        <f t="shared" si="56"/>
        <v>0.34756097560975607</v>
      </c>
      <c r="O128" s="23">
        <v>15</v>
      </c>
      <c r="P128" s="22">
        <v>46</v>
      </c>
      <c r="Q128" s="24">
        <f t="shared" si="38"/>
        <v>0.3</v>
      </c>
      <c r="R128" s="24">
        <f t="shared" si="39"/>
        <v>0.92</v>
      </c>
      <c r="S128" s="25">
        <f t="shared" si="40"/>
        <v>0.32608695652173914</v>
      </c>
      <c r="T128" s="22">
        <v>42</v>
      </c>
      <c r="U128" s="22">
        <v>118</v>
      </c>
      <c r="V128" s="24">
        <f t="shared" si="41"/>
        <v>0.84</v>
      </c>
      <c r="W128" s="24">
        <f t="shared" si="42"/>
        <v>2.36</v>
      </c>
      <c r="X128" s="25">
        <f t="shared" si="43"/>
        <v>0.3559322033898305</v>
      </c>
      <c r="Y128" s="22">
        <v>1</v>
      </c>
      <c r="Z128" s="22">
        <v>4</v>
      </c>
      <c r="AA128" s="24">
        <f t="shared" si="44"/>
        <v>0.02</v>
      </c>
      <c r="AB128" s="24">
        <f t="shared" si="45"/>
        <v>0.08</v>
      </c>
      <c r="AC128" s="25">
        <f t="shared" si="46"/>
        <v>0.25</v>
      </c>
      <c r="AD128" s="22">
        <v>67</v>
      </c>
      <c r="AE128" s="24">
        <f t="shared" si="47"/>
        <v>1.34</v>
      </c>
      <c r="AF128" s="22">
        <v>25</v>
      </c>
      <c r="AG128" s="24">
        <f t="shared" si="48"/>
        <v>0.5</v>
      </c>
      <c r="AH128" s="22">
        <v>42</v>
      </c>
      <c r="AI128" s="24">
        <f t="shared" si="49"/>
        <v>0.84</v>
      </c>
      <c r="AJ128" s="22">
        <v>28</v>
      </c>
      <c r="AK128" s="24">
        <f t="shared" si="50"/>
        <v>0.56000000000000005</v>
      </c>
      <c r="AL128" s="22">
        <v>15</v>
      </c>
      <c r="AM128" s="24">
        <f t="shared" si="51"/>
        <v>0.3</v>
      </c>
      <c r="AN128" s="10">
        <v>5</v>
      </c>
      <c r="AO128" s="24">
        <f t="shared" si="52"/>
        <v>0.1</v>
      </c>
      <c r="AP128" s="22">
        <v>17</v>
      </c>
      <c r="AQ128" s="24">
        <f t="shared" si="64"/>
        <v>0.34</v>
      </c>
      <c r="AR128" s="22">
        <v>115</v>
      </c>
      <c r="AS128" s="24">
        <f t="shared" si="53"/>
        <v>2.2999999999999998</v>
      </c>
      <c r="AT128" s="26">
        <v>0.35008741976100177</v>
      </c>
      <c r="AU128" s="26">
        <v>1.7235072972849319E-2</v>
      </c>
      <c r="AV128" s="26">
        <v>8.3917002454957812E-2</v>
      </c>
      <c r="AW128" s="26">
        <v>0.26617041730604396</v>
      </c>
      <c r="AX128" s="26">
        <v>101.42691364497416</v>
      </c>
      <c r="AY128" s="26">
        <v>113.83186486571482</v>
      </c>
      <c r="AZ128" s="26">
        <v>1.6577354262054207</v>
      </c>
      <c r="BA128" s="26">
        <v>2.9</v>
      </c>
      <c r="BB128" s="26">
        <v>7.138461538461538</v>
      </c>
      <c r="BC128" s="25">
        <v>0.47357625482625487</v>
      </c>
      <c r="BD128" s="25">
        <v>0.47560975609756095</v>
      </c>
      <c r="BE128" s="26">
        <v>9.7055309205809728</v>
      </c>
      <c r="BF128" s="25">
        <v>0.71951219512195119</v>
      </c>
      <c r="BG128" s="25">
        <v>2.4390243902439025E-2</v>
      </c>
      <c r="BH128" s="26">
        <v>3.1934852900083825</v>
      </c>
      <c r="BI128" s="26">
        <v>5.3650552872140835</v>
      </c>
      <c r="BJ128" s="26">
        <v>4.09035409035409</v>
      </c>
      <c r="BK128" s="26">
        <v>4.2553191489361701</v>
      </c>
      <c r="BL128" s="26">
        <v>1.0041061489496546</v>
      </c>
      <c r="BM128" s="26">
        <v>0.5173473017104796</v>
      </c>
      <c r="BN128" s="26">
        <v>9.3018165900634724</v>
      </c>
      <c r="BO128" s="27" t="s">
        <v>189</v>
      </c>
      <c r="BP128" s="28"/>
      <c r="BQ128" s="17" t="s">
        <v>255</v>
      </c>
      <c r="BR128" s="35">
        <v>380.34</v>
      </c>
      <c r="BS128" s="35">
        <v>507.64</v>
      </c>
      <c r="BT128" s="35">
        <v>127.3</v>
      </c>
      <c r="BU128" s="35">
        <f t="shared" si="58"/>
        <v>7.6067999999999998</v>
      </c>
      <c r="BV128" s="35">
        <f t="shared" si="59"/>
        <v>10.152799999999999</v>
      </c>
      <c r="BW128" s="35">
        <f t="shared" si="60"/>
        <v>2.5459999999999998</v>
      </c>
      <c r="BX128" s="36">
        <f t="shared" si="61"/>
        <v>18.724430769230771</v>
      </c>
      <c r="BY128" s="36">
        <f t="shared" si="62"/>
        <v>24.991507692307692</v>
      </c>
      <c r="BZ128" s="36">
        <f t="shared" si="63"/>
        <v>6.2670769230769228</v>
      </c>
      <c r="CA128" s="48">
        <v>31</v>
      </c>
      <c r="CB128" s="48">
        <v>19</v>
      </c>
    </row>
    <row r="129" spans="1:80" x14ac:dyDescent="0.4">
      <c r="A129" s="21" t="s">
        <v>231</v>
      </c>
      <c r="B129" s="17" t="s">
        <v>248</v>
      </c>
      <c r="C129" s="17" t="s">
        <v>118</v>
      </c>
      <c r="D129" s="22">
        <v>1</v>
      </c>
      <c r="E129" s="22">
        <v>2</v>
      </c>
      <c r="F129" s="22">
        <v>28</v>
      </c>
      <c r="G129" s="23">
        <v>148</v>
      </c>
      <c r="H129" s="23">
        <v>0</v>
      </c>
      <c r="I129" s="24">
        <f t="shared" si="37"/>
        <v>0</v>
      </c>
      <c r="J129" s="22">
        <v>0</v>
      </c>
      <c r="K129" s="22">
        <v>2</v>
      </c>
      <c r="L129" s="24">
        <f t="shared" si="54"/>
        <v>0</v>
      </c>
      <c r="M129" s="24">
        <f t="shared" si="55"/>
        <v>2</v>
      </c>
      <c r="N129" s="25">
        <f t="shared" si="56"/>
        <v>0</v>
      </c>
      <c r="O129" s="23">
        <v>0</v>
      </c>
      <c r="P129" s="22">
        <v>2</v>
      </c>
      <c r="Q129" s="24">
        <f t="shared" si="38"/>
        <v>0</v>
      </c>
      <c r="R129" s="24">
        <f t="shared" si="39"/>
        <v>2</v>
      </c>
      <c r="S129" s="25">
        <f t="shared" si="40"/>
        <v>0</v>
      </c>
      <c r="T129" s="22">
        <v>0</v>
      </c>
      <c r="U129" s="22">
        <v>0</v>
      </c>
      <c r="V129" s="24">
        <f t="shared" si="41"/>
        <v>0</v>
      </c>
      <c r="W129" s="24">
        <f t="shared" si="42"/>
        <v>0</v>
      </c>
      <c r="X129" s="25" t="e">
        <f t="shared" si="43"/>
        <v>#DIV/0!</v>
      </c>
      <c r="Y129" s="22">
        <v>0</v>
      </c>
      <c r="Z129" s="22">
        <v>0</v>
      </c>
      <c r="AA129" s="24">
        <f t="shared" si="44"/>
        <v>0</v>
      </c>
      <c r="AB129" s="24">
        <f t="shared" si="45"/>
        <v>0</v>
      </c>
      <c r="AC129" s="25" t="e">
        <f t="shared" si="46"/>
        <v>#DIV/0!</v>
      </c>
      <c r="AD129" s="22">
        <v>1</v>
      </c>
      <c r="AE129" s="24">
        <f t="shared" si="47"/>
        <v>1</v>
      </c>
      <c r="AF129" s="22">
        <v>1</v>
      </c>
      <c r="AG129" s="24">
        <f t="shared" si="48"/>
        <v>1</v>
      </c>
      <c r="AH129" s="22">
        <v>0</v>
      </c>
      <c r="AI129" s="24">
        <f t="shared" si="49"/>
        <v>0</v>
      </c>
      <c r="AJ129" s="22">
        <v>0</v>
      </c>
      <c r="AK129" s="24">
        <f t="shared" si="50"/>
        <v>0</v>
      </c>
      <c r="AL129" s="22">
        <v>0</v>
      </c>
      <c r="AM129" s="24">
        <f t="shared" si="51"/>
        <v>0</v>
      </c>
      <c r="AN129" s="10">
        <v>0</v>
      </c>
      <c r="AO129" s="24">
        <f t="shared" si="52"/>
        <v>0</v>
      </c>
      <c r="AP129" s="22">
        <v>0</v>
      </c>
      <c r="AQ129" s="24">
        <f t="shared" si="64"/>
        <v>0</v>
      </c>
      <c r="AR129" s="22">
        <v>0</v>
      </c>
      <c r="AS129" s="24">
        <f t="shared" si="53"/>
        <v>0</v>
      </c>
      <c r="AT129" s="26">
        <v>-3.1667930463037619E-2</v>
      </c>
      <c r="AU129" s="26">
        <v>-0.51353400750871814</v>
      </c>
      <c r="AV129" s="26">
        <v>-3.1151636647970115E-2</v>
      </c>
      <c r="AW129" s="26">
        <v>-5.1629381506750538E-4</v>
      </c>
      <c r="AX129" s="26">
        <v>35.279521566030134</v>
      </c>
      <c r="AY129" s="26">
        <v>118.75442196768958</v>
      </c>
      <c r="AZ129" s="26">
        <v>-0.23333390198759929</v>
      </c>
      <c r="BA129" s="26">
        <v>-1</v>
      </c>
      <c r="BB129" s="26">
        <v>-16.216216216216214</v>
      </c>
      <c r="BC129" s="25">
        <v>0</v>
      </c>
      <c r="BD129" s="25">
        <v>0</v>
      </c>
      <c r="BE129" s="26">
        <v>0.69969866310908768</v>
      </c>
      <c r="BF129" s="25">
        <v>0</v>
      </c>
      <c r="BG129" s="25">
        <v>0</v>
      </c>
      <c r="BH129" s="26">
        <v>0.84152652912383064</v>
      </c>
      <c r="BI129" s="26">
        <v>0</v>
      </c>
      <c r="BJ129" s="26">
        <v>0.40218790218790218</v>
      </c>
      <c r="BK129" s="26">
        <v>0</v>
      </c>
      <c r="BL129" s="26">
        <v>0</v>
      </c>
      <c r="BM129" s="26">
        <v>0</v>
      </c>
      <c r="BN129" s="26">
        <v>0</v>
      </c>
      <c r="BO129" s="27" t="s">
        <v>189</v>
      </c>
      <c r="BP129" s="27"/>
      <c r="BQ129" s="17" t="s">
        <v>255</v>
      </c>
      <c r="BR129" s="35">
        <v>0.12</v>
      </c>
      <c r="BS129" s="35">
        <v>2.12</v>
      </c>
      <c r="BT129" s="35">
        <v>2</v>
      </c>
      <c r="BU129" s="35">
        <f t="shared" si="58"/>
        <v>0.12000000000000011</v>
      </c>
      <c r="BV129" s="35">
        <f t="shared" si="59"/>
        <v>2.12</v>
      </c>
      <c r="BW129" s="35">
        <f t="shared" si="60"/>
        <v>2</v>
      </c>
      <c r="BX129" s="36">
        <f t="shared" si="61"/>
        <v>1.9459459459459438</v>
      </c>
      <c r="BY129" s="36">
        <f t="shared" si="62"/>
        <v>34.378378378378379</v>
      </c>
      <c r="BZ129" s="36">
        <f t="shared" si="63"/>
        <v>32.432432432432435</v>
      </c>
      <c r="CA129" s="48">
        <v>1</v>
      </c>
      <c r="CB129" s="48">
        <v>0</v>
      </c>
    </row>
    <row r="130" spans="1:80" x14ac:dyDescent="0.4">
      <c r="A130" s="21" t="s">
        <v>231</v>
      </c>
      <c r="B130" s="17" t="s">
        <v>248</v>
      </c>
      <c r="C130" s="17" t="s">
        <v>91</v>
      </c>
      <c r="D130" s="22">
        <v>33</v>
      </c>
      <c r="E130" s="22">
        <v>11</v>
      </c>
      <c r="F130" s="22">
        <v>42</v>
      </c>
      <c r="G130" s="23">
        <v>23166</v>
      </c>
      <c r="H130" s="23">
        <v>93</v>
      </c>
      <c r="I130" s="24">
        <f t="shared" ref="I130:I193" si="65">H130/$D130</f>
        <v>2.8181818181818183</v>
      </c>
      <c r="J130" s="22">
        <v>33</v>
      </c>
      <c r="K130" s="22">
        <v>86</v>
      </c>
      <c r="L130" s="24">
        <f t="shared" si="54"/>
        <v>1</v>
      </c>
      <c r="M130" s="24">
        <f t="shared" si="55"/>
        <v>2.606060606060606</v>
      </c>
      <c r="N130" s="25">
        <f t="shared" si="56"/>
        <v>0.38372093023255816</v>
      </c>
      <c r="O130" s="23">
        <v>19</v>
      </c>
      <c r="P130" s="22">
        <v>42</v>
      </c>
      <c r="Q130" s="24">
        <f t="shared" ref="Q130:Q193" si="66">O130/$D130</f>
        <v>0.5757575757575758</v>
      </c>
      <c r="R130" s="24">
        <f t="shared" ref="R130:R193" si="67">P130/$D130</f>
        <v>1.2727272727272727</v>
      </c>
      <c r="S130" s="25">
        <f t="shared" ref="S130:S193" si="68">O130/P130</f>
        <v>0.45238095238095238</v>
      </c>
      <c r="T130" s="22">
        <v>14</v>
      </c>
      <c r="U130" s="22">
        <v>44</v>
      </c>
      <c r="V130" s="24">
        <f t="shared" ref="V130:V193" si="69">T130/$D130</f>
        <v>0.42424242424242425</v>
      </c>
      <c r="W130" s="24">
        <f t="shared" ref="W130:W193" si="70">U130/$D130</f>
        <v>1.3333333333333333</v>
      </c>
      <c r="X130" s="25">
        <f t="shared" ref="X130:X193" si="71">T130/U130</f>
        <v>0.31818181818181818</v>
      </c>
      <c r="Y130" s="22">
        <v>13</v>
      </c>
      <c r="Z130" s="22">
        <v>15</v>
      </c>
      <c r="AA130" s="24">
        <f t="shared" ref="AA130:AA193" si="72">Y130/$D130</f>
        <v>0.39393939393939392</v>
      </c>
      <c r="AB130" s="24">
        <f t="shared" ref="AB130:AB193" si="73">Z130/$D130</f>
        <v>0.45454545454545453</v>
      </c>
      <c r="AC130" s="25">
        <f t="shared" ref="AC130:AC193" si="74">Y130/Z130</f>
        <v>0.8666666666666667</v>
      </c>
      <c r="AD130" s="22">
        <v>41</v>
      </c>
      <c r="AE130" s="24">
        <f t="shared" ref="AE130:AE193" si="75">AD130/$D130</f>
        <v>1.2424242424242424</v>
      </c>
      <c r="AF130" s="22">
        <v>14</v>
      </c>
      <c r="AG130" s="24">
        <f t="shared" ref="AG130:AG193" si="76">AF130/$D130</f>
        <v>0.42424242424242425</v>
      </c>
      <c r="AH130" s="22">
        <v>27</v>
      </c>
      <c r="AI130" s="24">
        <f t="shared" ref="AI130:AI193" si="77">AH130/$D130</f>
        <v>0.81818181818181823</v>
      </c>
      <c r="AJ130" s="22">
        <v>44</v>
      </c>
      <c r="AK130" s="24">
        <f t="shared" ref="AK130:AK193" si="78">AJ130/$D130</f>
        <v>1.3333333333333333</v>
      </c>
      <c r="AL130" s="22">
        <v>15</v>
      </c>
      <c r="AM130" s="24">
        <f t="shared" ref="AM130:AM193" si="79">AL130/$D130</f>
        <v>0.45454545454545453</v>
      </c>
      <c r="AN130" s="9">
        <v>0</v>
      </c>
      <c r="AO130" s="24">
        <f t="shared" ref="AO130:AO193" si="80">AN130/$D130</f>
        <v>0</v>
      </c>
      <c r="AP130" s="22">
        <v>19</v>
      </c>
      <c r="AQ130" s="24">
        <f t="shared" si="64"/>
        <v>0.5757575757575758</v>
      </c>
      <c r="AR130" s="22">
        <v>49</v>
      </c>
      <c r="AS130" s="24">
        <f t="shared" ref="AS130:AS193" si="81">AR130/$D130</f>
        <v>1.4848484848484849</v>
      </c>
      <c r="AT130" s="26">
        <v>0.43328338617848239</v>
      </c>
      <c r="AU130" s="26">
        <v>4.4888203696294468E-2</v>
      </c>
      <c r="AV130" s="26">
        <v>0.19216257852830521</v>
      </c>
      <c r="AW130" s="26">
        <v>0.24112080765017718</v>
      </c>
      <c r="AX130" s="26">
        <v>105.93523580366883</v>
      </c>
      <c r="AY130" s="26">
        <v>111.10967259975408</v>
      </c>
      <c r="AZ130" s="26">
        <v>3.2609398556720128</v>
      </c>
      <c r="BA130" s="26">
        <v>3.606060606060606</v>
      </c>
      <c r="BB130" s="26">
        <v>12.328412328412329</v>
      </c>
      <c r="BC130" s="25">
        <v>0.50215982721382291</v>
      </c>
      <c r="BD130" s="25">
        <v>0.46511627906976744</v>
      </c>
      <c r="BE130" s="26">
        <v>8.2313268367807542</v>
      </c>
      <c r="BF130" s="25">
        <v>0.51162790697674421</v>
      </c>
      <c r="BG130" s="25">
        <v>0.1744186046511628</v>
      </c>
      <c r="BH130" s="26">
        <v>2.4838218922287423</v>
      </c>
      <c r="BI130" s="26">
        <v>4.7902279350125747</v>
      </c>
      <c r="BJ130" s="26">
        <v>3.476461809795143</v>
      </c>
      <c r="BK130" s="26">
        <v>9.1324200913242013</v>
      </c>
      <c r="BL130" s="26">
        <v>2.1130179902139186</v>
      </c>
      <c r="BM130" s="26">
        <v>0</v>
      </c>
      <c r="BN130" s="26">
        <v>17.025089605734767</v>
      </c>
      <c r="BO130" s="27" t="s">
        <v>189</v>
      </c>
      <c r="BP130" s="28"/>
      <c r="BQ130" s="17" t="s">
        <v>255</v>
      </c>
      <c r="BR130" s="35">
        <v>245.91</v>
      </c>
      <c r="BS130" s="35">
        <v>326.01</v>
      </c>
      <c r="BT130" s="35">
        <v>80.099999999999994</v>
      </c>
      <c r="BU130" s="35">
        <f t="shared" si="58"/>
        <v>7.4518181818181812</v>
      </c>
      <c r="BV130" s="35">
        <f t="shared" si="59"/>
        <v>9.8790909090909089</v>
      </c>
      <c r="BW130" s="35">
        <f t="shared" si="60"/>
        <v>2.4272727272727272</v>
      </c>
      <c r="BX130" s="36">
        <f t="shared" si="61"/>
        <v>25.476301476301476</v>
      </c>
      <c r="BY130" s="36">
        <f t="shared" si="62"/>
        <v>33.774669774669775</v>
      </c>
      <c r="BZ130" s="36">
        <f t="shared" si="63"/>
        <v>8.2983682983682989</v>
      </c>
      <c r="CA130" s="50">
        <v>23</v>
      </c>
      <c r="CB130" s="50">
        <v>10</v>
      </c>
    </row>
    <row r="131" spans="1:80" x14ac:dyDescent="0.4">
      <c r="A131" s="21" t="s">
        <v>231</v>
      </c>
      <c r="B131" s="17" t="s">
        <v>248</v>
      </c>
      <c r="C131" s="17" t="s">
        <v>92</v>
      </c>
      <c r="D131" s="22">
        <v>27</v>
      </c>
      <c r="E131" s="22">
        <v>4</v>
      </c>
      <c r="F131" s="22">
        <v>52</v>
      </c>
      <c r="G131" s="23">
        <v>7884</v>
      </c>
      <c r="H131" s="23">
        <v>49</v>
      </c>
      <c r="I131" s="24">
        <f t="shared" si="65"/>
        <v>1.8148148148148149</v>
      </c>
      <c r="J131" s="22">
        <v>17</v>
      </c>
      <c r="K131" s="22">
        <v>35</v>
      </c>
      <c r="L131" s="24">
        <f t="shared" ref="L131:L194" si="82">J131/$D131</f>
        <v>0.62962962962962965</v>
      </c>
      <c r="M131" s="24">
        <f t="shared" ref="M131:M194" si="83">K131/$D131</f>
        <v>1.2962962962962963</v>
      </c>
      <c r="N131" s="25">
        <f t="shared" ref="N131:N194" si="84">J131/K131</f>
        <v>0.48571428571428571</v>
      </c>
      <c r="O131" s="23">
        <v>6</v>
      </c>
      <c r="P131" s="22">
        <v>8</v>
      </c>
      <c r="Q131" s="24">
        <f t="shared" si="66"/>
        <v>0.22222222222222221</v>
      </c>
      <c r="R131" s="24">
        <f t="shared" si="67"/>
        <v>0.29629629629629628</v>
      </c>
      <c r="S131" s="25">
        <f t="shared" si="68"/>
        <v>0.75</v>
      </c>
      <c r="T131" s="22">
        <v>11</v>
      </c>
      <c r="U131" s="22">
        <v>27</v>
      </c>
      <c r="V131" s="24">
        <f t="shared" si="69"/>
        <v>0.40740740740740738</v>
      </c>
      <c r="W131" s="24">
        <f t="shared" si="70"/>
        <v>1</v>
      </c>
      <c r="X131" s="25">
        <f t="shared" si="71"/>
        <v>0.40740740740740738</v>
      </c>
      <c r="Y131" s="22">
        <v>4</v>
      </c>
      <c r="Z131" s="22">
        <v>6</v>
      </c>
      <c r="AA131" s="24">
        <f t="shared" si="72"/>
        <v>0.14814814814814814</v>
      </c>
      <c r="AB131" s="24">
        <f t="shared" si="73"/>
        <v>0.22222222222222221</v>
      </c>
      <c r="AC131" s="25">
        <f t="shared" si="74"/>
        <v>0.66666666666666663</v>
      </c>
      <c r="AD131" s="22">
        <v>21</v>
      </c>
      <c r="AE131" s="24">
        <f t="shared" si="75"/>
        <v>0.77777777777777779</v>
      </c>
      <c r="AF131" s="22">
        <v>8</v>
      </c>
      <c r="AG131" s="24">
        <f t="shared" si="76"/>
        <v>0.29629629629629628</v>
      </c>
      <c r="AH131" s="22">
        <v>13</v>
      </c>
      <c r="AI131" s="24">
        <f t="shared" si="77"/>
        <v>0.48148148148148145</v>
      </c>
      <c r="AJ131" s="22">
        <v>8</v>
      </c>
      <c r="AK131" s="24">
        <f t="shared" si="78"/>
        <v>0.29629629629629628</v>
      </c>
      <c r="AL131" s="22">
        <v>5</v>
      </c>
      <c r="AM131" s="24">
        <f t="shared" si="79"/>
        <v>0.18518518518518517</v>
      </c>
      <c r="AN131" s="10">
        <v>1</v>
      </c>
      <c r="AO131" s="24">
        <f t="shared" si="80"/>
        <v>3.7037037037037035E-2</v>
      </c>
      <c r="AP131" s="22">
        <v>10</v>
      </c>
      <c r="AQ131" s="24">
        <f t="shared" si="64"/>
        <v>0.37037037037037035</v>
      </c>
      <c r="AR131" s="22">
        <v>26</v>
      </c>
      <c r="AS131" s="24">
        <f t="shared" si="81"/>
        <v>0.96296296296296291</v>
      </c>
      <c r="AT131" s="26">
        <v>0.23845093046195723</v>
      </c>
      <c r="AU131" s="26">
        <v>7.2587802271524268E-2</v>
      </c>
      <c r="AV131" s="26">
        <v>0.13270518769075412</v>
      </c>
      <c r="AW131" s="26">
        <v>0.10574574277120311</v>
      </c>
      <c r="AX131" s="26">
        <v>110.46037192712627</v>
      </c>
      <c r="AY131" s="26">
        <v>109.45698331688142</v>
      </c>
      <c r="AZ131" s="26">
        <v>3.443904212090755</v>
      </c>
      <c r="BA131" s="26">
        <v>2</v>
      </c>
      <c r="BB131" s="26">
        <v>16.43835616438356</v>
      </c>
      <c r="BC131" s="25">
        <v>0.6509032943676939</v>
      </c>
      <c r="BD131" s="25">
        <v>0.6428571428571429</v>
      </c>
      <c r="BE131" s="26">
        <v>8.4475673937611422</v>
      </c>
      <c r="BF131" s="25">
        <v>0.77142857142857146</v>
      </c>
      <c r="BG131" s="25">
        <v>0.17142857142857143</v>
      </c>
      <c r="BH131" s="26">
        <v>3.4122171591870392</v>
      </c>
      <c r="BI131" s="26">
        <v>5.5448528836789386</v>
      </c>
      <c r="BJ131" s="26">
        <v>4.2808219178082192</v>
      </c>
      <c r="BK131" s="26">
        <v>4.0581670612106864</v>
      </c>
      <c r="BL131" s="26">
        <v>2.069599812332811</v>
      </c>
      <c r="BM131" s="26">
        <v>0.34548878025186136</v>
      </c>
      <c r="BN131" s="26">
        <v>20.990764063811923</v>
      </c>
      <c r="BO131" s="27" t="s">
        <v>189</v>
      </c>
      <c r="BP131" s="27"/>
      <c r="BQ131" s="17" t="s">
        <v>255</v>
      </c>
      <c r="BR131" s="35">
        <v>91.9</v>
      </c>
      <c r="BS131" s="35">
        <v>124.9</v>
      </c>
      <c r="BT131" s="35">
        <v>33</v>
      </c>
      <c r="BU131" s="35">
        <f t="shared" si="58"/>
        <v>3.4037037037037035</v>
      </c>
      <c r="BV131" s="35">
        <f t="shared" si="59"/>
        <v>4.6259259259259258</v>
      </c>
      <c r="BW131" s="35">
        <f t="shared" si="60"/>
        <v>1.2222222222222223</v>
      </c>
      <c r="BX131" s="36">
        <f t="shared" si="61"/>
        <v>27.975646879756471</v>
      </c>
      <c r="BY131" s="36">
        <f t="shared" si="62"/>
        <v>38.021308980213092</v>
      </c>
      <c r="BZ131" s="36">
        <f t="shared" si="63"/>
        <v>10.045662100456621</v>
      </c>
      <c r="CA131" s="50">
        <v>17</v>
      </c>
      <c r="CB131" s="50">
        <v>10</v>
      </c>
    </row>
    <row r="132" spans="1:80" x14ac:dyDescent="0.4">
      <c r="A132" s="21" t="s">
        <v>231</v>
      </c>
      <c r="B132" s="17" t="s">
        <v>248</v>
      </c>
      <c r="C132" s="51" t="s">
        <v>275</v>
      </c>
      <c r="D132" s="22">
        <v>51</v>
      </c>
      <c r="E132" s="22">
        <v>29</v>
      </c>
      <c r="F132" s="22">
        <v>11</v>
      </c>
      <c r="G132" s="23">
        <v>89301</v>
      </c>
      <c r="H132" s="23">
        <v>692</v>
      </c>
      <c r="I132" s="24">
        <f t="shared" si="65"/>
        <v>13.568627450980392</v>
      </c>
      <c r="J132" s="22">
        <v>235</v>
      </c>
      <c r="K132" s="22">
        <v>601</v>
      </c>
      <c r="L132" s="24">
        <f t="shared" si="82"/>
        <v>4.6078431372549016</v>
      </c>
      <c r="M132" s="24">
        <f t="shared" si="83"/>
        <v>11.784313725490197</v>
      </c>
      <c r="N132" s="25">
        <f t="shared" si="84"/>
        <v>0.39101497504159732</v>
      </c>
      <c r="O132" s="23">
        <v>95</v>
      </c>
      <c r="P132" s="22">
        <v>198</v>
      </c>
      <c r="Q132" s="24">
        <f t="shared" si="66"/>
        <v>1.8627450980392157</v>
      </c>
      <c r="R132" s="24">
        <f t="shared" si="67"/>
        <v>3.8823529411764706</v>
      </c>
      <c r="S132" s="25">
        <f t="shared" si="68"/>
        <v>0.47979797979797978</v>
      </c>
      <c r="T132" s="22">
        <v>140</v>
      </c>
      <c r="U132" s="22">
        <v>403</v>
      </c>
      <c r="V132" s="24">
        <f t="shared" si="69"/>
        <v>2.7450980392156863</v>
      </c>
      <c r="W132" s="24">
        <f t="shared" si="70"/>
        <v>7.9019607843137258</v>
      </c>
      <c r="X132" s="25">
        <f t="shared" si="71"/>
        <v>0.34739454094292804</v>
      </c>
      <c r="Y132" s="22">
        <v>82</v>
      </c>
      <c r="Z132" s="22">
        <v>99</v>
      </c>
      <c r="AA132" s="24">
        <f t="shared" si="72"/>
        <v>1.607843137254902</v>
      </c>
      <c r="AB132" s="24">
        <f t="shared" si="73"/>
        <v>1.9411764705882353</v>
      </c>
      <c r="AC132" s="25">
        <f t="shared" si="74"/>
        <v>0.82828282828282829</v>
      </c>
      <c r="AD132" s="22">
        <v>150</v>
      </c>
      <c r="AE132" s="24">
        <f t="shared" si="75"/>
        <v>2.9411764705882355</v>
      </c>
      <c r="AF132" s="22">
        <v>17</v>
      </c>
      <c r="AG132" s="24">
        <f t="shared" si="76"/>
        <v>0.33333333333333331</v>
      </c>
      <c r="AH132" s="22">
        <v>133</v>
      </c>
      <c r="AI132" s="24">
        <f t="shared" si="77"/>
        <v>2.607843137254902</v>
      </c>
      <c r="AJ132" s="22">
        <v>244</v>
      </c>
      <c r="AK132" s="24">
        <f t="shared" si="78"/>
        <v>4.784313725490196</v>
      </c>
      <c r="AL132" s="22">
        <v>73</v>
      </c>
      <c r="AM132" s="24">
        <f t="shared" si="79"/>
        <v>1.4313725490196079</v>
      </c>
      <c r="AN132" s="10">
        <v>8</v>
      </c>
      <c r="AO132" s="24">
        <f t="shared" si="80"/>
        <v>0.15686274509803921</v>
      </c>
      <c r="AP132" s="22">
        <v>103</v>
      </c>
      <c r="AQ132" s="24">
        <f t="shared" si="64"/>
        <v>2.0196078431372548</v>
      </c>
      <c r="AR132" s="22">
        <v>87</v>
      </c>
      <c r="AS132" s="24">
        <f t="shared" si="81"/>
        <v>1.7058823529411764</v>
      </c>
      <c r="AT132" s="26">
        <v>3.0895302622529162</v>
      </c>
      <c r="AU132" s="26">
        <v>8.3032358309615778E-2</v>
      </c>
      <c r="AV132" s="26">
        <v>1.8266619643830178</v>
      </c>
      <c r="AW132" s="26">
        <v>1.2628682978698982</v>
      </c>
      <c r="AX132" s="26">
        <v>109.20452513003926</v>
      </c>
      <c r="AY132" s="26">
        <v>109.05595495734492</v>
      </c>
      <c r="AZ132" s="26">
        <v>11.353805257021014</v>
      </c>
      <c r="BA132" s="26">
        <v>13.352941176470589</v>
      </c>
      <c r="BB132" s="26">
        <v>18.302146672489673</v>
      </c>
      <c r="BC132" s="25">
        <v>0.53680029787762196</v>
      </c>
      <c r="BD132" s="25">
        <v>0.50748752079866888</v>
      </c>
      <c r="BE132" s="26">
        <v>22.105618624753507</v>
      </c>
      <c r="BF132" s="25">
        <v>0.67054908485856901</v>
      </c>
      <c r="BG132" s="25">
        <v>0.16472545757071547</v>
      </c>
      <c r="BH132" s="26">
        <v>1.2091837505856984</v>
      </c>
      <c r="BI132" s="26">
        <v>9.4600846369351697</v>
      </c>
      <c r="BJ132" s="26">
        <v>5.0991270294525579</v>
      </c>
      <c r="BK132" s="26">
        <v>23.258769700050841</v>
      </c>
      <c r="BL132" s="26">
        <v>2.6676541565974121</v>
      </c>
      <c r="BM132" s="26">
        <v>0.46091478621835991</v>
      </c>
      <c r="BN132" s="26">
        <v>13.778158274921077</v>
      </c>
      <c r="BO132" s="27" t="s">
        <v>233</v>
      </c>
      <c r="BP132" s="27"/>
      <c r="BQ132" s="17" t="s">
        <v>254</v>
      </c>
      <c r="BR132" s="35">
        <v>1167.83</v>
      </c>
      <c r="BS132" s="35">
        <v>1675.63</v>
      </c>
      <c r="BT132" s="35">
        <v>507.8</v>
      </c>
      <c r="BU132" s="35">
        <f t="shared" si="58"/>
        <v>22.898627450980396</v>
      </c>
      <c r="BV132" s="35">
        <f t="shared" si="59"/>
        <v>32.855490196078435</v>
      </c>
      <c r="BW132" s="35">
        <f t="shared" si="60"/>
        <v>9.9568627450980394</v>
      </c>
      <c r="BX132" s="36">
        <f t="shared" si="61"/>
        <v>31.385897134410591</v>
      </c>
      <c r="BY132" s="36">
        <f t="shared" si="62"/>
        <v>45.033224711929321</v>
      </c>
      <c r="BZ132" s="36">
        <f t="shared" si="63"/>
        <v>13.647327577518729</v>
      </c>
      <c r="CA132" s="48">
        <v>33</v>
      </c>
      <c r="CB132" s="48">
        <v>18</v>
      </c>
    </row>
    <row r="133" spans="1:80" x14ac:dyDescent="0.4">
      <c r="A133" s="21" t="s">
        <v>231</v>
      </c>
      <c r="B133" s="17" t="s">
        <v>248</v>
      </c>
      <c r="C133" s="17" t="s">
        <v>205</v>
      </c>
      <c r="D133" s="22">
        <v>1</v>
      </c>
      <c r="E133" s="22">
        <v>1</v>
      </c>
      <c r="F133" s="22">
        <v>46</v>
      </c>
      <c r="G133" s="23">
        <v>106</v>
      </c>
      <c r="H133" s="23">
        <v>0</v>
      </c>
      <c r="I133" s="24">
        <f t="shared" si="65"/>
        <v>0</v>
      </c>
      <c r="J133" s="22">
        <v>0</v>
      </c>
      <c r="K133" s="22">
        <v>0</v>
      </c>
      <c r="L133" s="24">
        <f t="shared" si="82"/>
        <v>0</v>
      </c>
      <c r="M133" s="24">
        <f t="shared" si="83"/>
        <v>0</v>
      </c>
      <c r="N133" s="25" t="e">
        <f t="shared" si="84"/>
        <v>#DIV/0!</v>
      </c>
      <c r="O133" s="23">
        <v>0</v>
      </c>
      <c r="P133" s="22">
        <v>0</v>
      </c>
      <c r="Q133" s="24">
        <f t="shared" si="66"/>
        <v>0</v>
      </c>
      <c r="R133" s="24">
        <f t="shared" si="67"/>
        <v>0</v>
      </c>
      <c r="S133" s="25" t="e">
        <f t="shared" si="68"/>
        <v>#DIV/0!</v>
      </c>
      <c r="T133" s="22">
        <v>0</v>
      </c>
      <c r="U133" s="22">
        <v>0</v>
      </c>
      <c r="V133" s="24">
        <f t="shared" si="69"/>
        <v>0</v>
      </c>
      <c r="W133" s="24">
        <f t="shared" si="70"/>
        <v>0</v>
      </c>
      <c r="X133" s="25" t="e">
        <f t="shared" si="71"/>
        <v>#DIV/0!</v>
      </c>
      <c r="Y133" s="22">
        <v>0</v>
      </c>
      <c r="Z133" s="22">
        <v>0</v>
      </c>
      <c r="AA133" s="24">
        <f t="shared" si="72"/>
        <v>0</v>
      </c>
      <c r="AB133" s="24">
        <f t="shared" si="73"/>
        <v>0</v>
      </c>
      <c r="AC133" s="25" t="e">
        <f t="shared" si="74"/>
        <v>#DIV/0!</v>
      </c>
      <c r="AD133" s="22">
        <v>0</v>
      </c>
      <c r="AE133" s="24">
        <f t="shared" si="75"/>
        <v>0</v>
      </c>
      <c r="AF133" s="22">
        <v>0</v>
      </c>
      <c r="AG133" s="24">
        <f t="shared" si="76"/>
        <v>0</v>
      </c>
      <c r="AH133" s="22">
        <v>0</v>
      </c>
      <c r="AI133" s="24">
        <f t="shared" si="77"/>
        <v>0</v>
      </c>
      <c r="AJ133" s="22">
        <v>0</v>
      </c>
      <c r="AK133" s="24">
        <f t="shared" si="78"/>
        <v>0</v>
      </c>
      <c r="AL133" s="22">
        <v>0</v>
      </c>
      <c r="AM133" s="24">
        <f t="shared" si="79"/>
        <v>0</v>
      </c>
      <c r="AN133" s="10">
        <v>0</v>
      </c>
      <c r="AO133" s="24">
        <f t="shared" si="80"/>
        <v>0</v>
      </c>
      <c r="AP133" s="22">
        <v>0</v>
      </c>
      <c r="AQ133" s="24">
        <f t="shared" si="64"/>
        <v>0</v>
      </c>
      <c r="AR133" s="22">
        <v>0</v>
      </c>
      <c r="AS133" s="24">
        <f t="shared" si="81"/>
        <v>0</v>
      </c>
      <c r="AT133" s="26">
        <v>-3.6977800268348356E-4</v>
      </c>
      <c r="AU133" s="26">
        <v>-8.372332136229817E-3</v>
      </c>
      <c r="AV133" s="26">
        <v>0</v>
      </c>
      <c r="AW133" s="26">
        <v>-3.6977800268348356E-4</v>
      </c>
      <c r="AX133" s="26">
        <v>0</v>
      </c>
      <c r="AY133" s="26">
        <v>118.75442196768958</v>
      </c>
      <c r="AZ133" s="26">
        <v>3.9536010428091142E-4</v>
      </c>
      <c r="BA133" s="26">
        <v>0</v>
      </c>
      <c r="BB133" s="26">
        <v>0</v>
      </c>
      <c r="BC133" s="25">
        <v>0</v>
      </c>
      <c r="BD133" s="25" t="e">
        <v>#DIV/0!</v>
      </c>
      <c r="BE133" s="26">
        <v>0</v>
      </c>
      <c r="BF133" s="25">
        <v>0</v>
      </c>
      <c r="BG133" s="25">
        <v>0</v>
      </c>
      <c r="BH133" s="26">
        <v>0</v>
      </c>
      <c r="BI133" s="26">
        <v>0</v>
      </c>
      <c r="BJ133" s="26">
        <v>0</v>
      </c>
      <c r="BK133" s="26">
        <v>0</v>
      </c>
      <c r="BL133" s="26">
        <v>0</v>
      </c>
      <c r="BM133" s="26">
        <v>0</v>
      </c>
      <c r="BN133" s="26">
        <v>0</v>
      </c>
      <c r="BO133" s="27" t="s">
        <v>189</v>
      </c>
      <c r="BP133" s="28"/>
      <c r="BQ133" s="17" t="s">
        <v>255</v>
      </c>
      <c r="BR133" s="35">
        <v>0.44</v>
      </c>
      <c r="BS133" s="35">
        <v>0.44</v>
      </c>
      <c r="BT133" s="35">
        <v>0</v>
      </c>
      <c r="BU133" s="35">
        <f t="shared" si="58"/>
        <v>0.44</v>
      </c>
      <c r="BV133" s="35">
        <f t="shared" si="59"/>
        <v>0.44</v>
      </c>
      <c r="BW133" s="35">
        <f t="shared" si="60"/>
        <v>0</v>
      </c>
      <c r="BX133" s="36">
        <f t="shared" si="61"/>
        <v>9.9622641509433958</v>
      </c>
      <c r="BY133" s="36">
        <f t="shared" si="62"/>
        <v>9.9622641509433958</v>
      </c>
      <c r="BZ133" s="36">
        <f t="shared" si="63"/>
        <v>0</v>
      </c>
      <c r="CA133" s="50">
        <v>1</v>
      </c>
      <c r="CB133" s="50">
        <v>0</v>
      </c>
    </row>
    <row r="134" spans="1:80" x14ac:dyDescent="0.4">
      <c r="A134" s="21" t="s">
        <v>231</v>
      </c>
      <c r="B134" s="17" t="s">
        <v>248</v>
      </c>
      <c r="C134" s="17" t="s">
        <v>94</v>
      </c>
      <c r="D134" s="22">
        <v>1</v>
      </c>
      <c r="E134" s="22">
        <v>0</v>
      </c>
      <c r="F134" s="22">
        <v>23</v>
      </c>
      <c r="G134" s="23">
        <v>23</v>
      </c>
      <c r="H134" s="23">
        <v>0</v>
      </c>
      <c r="I134" s="24">
        <f t="shared" si="65"/>
        <v>0</v>
      </c>
      <c r="J134" s="22">
        <v>0</v>
      </c>
      <c r="K134" s="22">
        <v>0</v>
      </c>
      <c r="L134" s="24">
        <f t="shared" si="82"/>
        <v>0</v>
      </c>
      <c r="M134" s="24">
        <f t="shared" si="83"/>
        <v>0</v>
      </c>
      <c r="N134" s="25" t="e">
        <f t="shared" si="84"/>
        <v>#DIV/0!</v>
      </c>
      <c r="O134" s="23">
        <v>0</v>
      </c>
      <c r="P134" s="22">
        <v>0</v>
      </c>
      <c r="Q134" s="24">
        <f t="shared" si="66"/>
        <v>0</v>
      </c>
      <c r="R134" s="24">
        <f t="shared" si="67"/>
        <v>0</v>
      </c>
      <c r="S134" s="25" t="e">
        <f t="shared" si="68"/>
        <v>#DIV/0!</v>
      </c>
      <c r="T134" s="22">
        <v>0</v>
      </c>
      <c r="U134" s="22">
        <v>0</v>
      </c>
      <c r="V134" s="24">
        <f t="shared" si="69"/>
        <v>0</v>
      </c>
      <c r="W134" s="24">
        <f t="shared" si="70"/>
        <v>0</v>
      </c>
      <c r="X134" s="25" t="e">
        <f t="shared" si="71"/>
        <v>#DIV/0!</v>
      </c>
      <c r="Y134" s="22">
        <v>0</v>
      </c>
      <c r="Z134" s="22">
        <v>0</v>
      </c>
      <c r="AA134" s="24">
        <f t="shared" si="72"/>
        <v>0</v>
      </c>
      <c r="AB134" s="24">
        <f t="shared" si="73"/>
        <v>0</v>
      </c>
      <c r="AC134" s="25" t="e">
        <f t="shared" si="74"/>
        <v>#DIV/0!</v>
      </c>
      <c r="AD134" s="22">
        <v>0</v>
      </c>
      <c r="AE134" s="24">
        <f t="shared" si="75"/>
        <v>0</v>
      </c>
      <c r="AF134" s="22">
        <v>0</v>
      </c>
      <c r="AG134" s="24">
        <f t="shared" si="76"/>
        <v>0</v>
      </c>
      <c r="AH134" s="22">
        <v>0</v>
      </c>
      <c r="AI134" s="24">
        <f t="shared" si="77"/>
        <v>0</v>
      </c>
      <c r="AJ134" s="22">
        <v>0</v>
      </c>
      <c r="AK134" s="24">
        <f t="shared" si="78"/>
        <v>0</v>
      </c>
      <c r="AL134" s="22">
        <v>0</v>
      </c>
      <c r="AM134" s="24">
        <f t="shared" si="79"/>
        <v>0</v>
      </c>
      <c r="AN134" s="10">
        <v>0</v>
      </c>
      <c r="AO134" s="24">
        <f t="shared" si="80"/>
        <v>0</v>
      </c>
      <c r="AP134" s="22">
        <v>0</v>
      </c>
      <c r="AQ134" s="24">
        <f t="shared" si="64"/>
        <v>0</v>
      </c>
      <c r="AR134" s="22">
        <v>0</v>
      </c>
      <c r="AS134" s="24">
        <f t="shared" si="81"/>
        <v>0</v>
      </c>
      <c r="AT134" s="26">
        <v>-8.0234849638869071E-5</v>
      </c>
      <c r="AU134" s="26">
        <v>-8.3723321362298153E-3</v>
      </c>
      <c r="AV134" s="26">
        <v>0</v>
      </c>
      <c r="AW134" s="26">
        <v>-8.0234849638869071E-5</v>
      </c>
      <c r="AX134" s="26">
        <v>0</v>
      </c>
      <c r="AY134" s="26">
        <v>118.75442196768958</v>
      </c>
      <c r="AZ134" s="26">
        <v>1.8220943936424613E-3</v>
      </c>
      <c r="BA134" s="26">
        <v>0</v>
      </c>
      <c r="BB134" s="26">
        <v>0</v>
      </c>
      <c r="BC134" s="25">
        <v>0</v>
      </c>
      <c r="BD134" s="25" t="e">
        <v>#DIV/0!</v>
      </c>
      <c r="BE134" s="26">
        <v>0</v>
      </c>
      <c r="BF134" s="25">
        <v>0</v>
      </c>
      <c r="BG134" s="25">
        <v>0</v>
      </c>
      <c r="BH134" s="26">
        <v>0</v>
      </c>
      <c r="BI134" s="26">
        <v>0</v>
      </c>
      <c r="BJ134" s="26">
        <v>0</v>
      </c>
      <c r="BK134" s="26">
        <v>0</v>
      </c>
      <c r="BL134" s="26">
        <v>0</v>
      </c>
      <c r="BM134" s="26">
        <v>0</v>
      </c>
      <c r="BN134" s="26">
        <v>0</v>
      </c>
      <c r="BO134" s="27" t="s">
        <v>189</v>
      </c>
      <c r="BP134" s="28"/>
      <c r="BQ134" s="17" t="s">
        <v>255</v>
      </c>
      <c r="BR134" s="35">
        <v>0.1</v>
      </c>
      <c r="BS134" s="35">
        <v>0.1</v>
      </c>
      <c r="BT134" s="35">
        <v>0</v>
      </c>
      <c r="BU134" s="35">
        <f t="shared" si="58"/>
        <v>0.1</v>
      </c>
      <c r="BV134" s="35">
        <f t="shared" si="59"/>
        <v>0.1</v>
      </c>
      <c r="BW134" s="35">
        <f t="shared" si="60"/>
        <v>0</v>
      </c>
      <c r="BX134" s="36">
        <f t="shared" si="61"/>
        <v>10.434782608695652</v>
      </c>
      <c r="BY134" s="36">
        <f t="shared" si="62"/>
        <v>10.434782608695652</v>
      </c>
      <c r="BZ134" s="36">
        <f t="shared" si="63"/>
        <v>0</v>
      </c>
      <c r="CA134" s="48">
        <v>1</v>
      </c>
      <c r="CB134" s="48">
        <v>0</v>
      </c>
    </row>
    <row r="135" spans="1:80" x14ac:dyDescent="0.4">
      <c r="A135" s="21" t="s">
        <v>231</v>
      </c>
      <c r="B135" s="37" t="s">
        <v>248</v>
      </c>
      <c r="C135" s="37" t="s">
        <v>95</v>
      </c>
      <c r="D135" s="22">
        <v>54</v>
      </c>
      <c r="E135" s="22">
        <v>27</v>
      </c>
      <c r="F135" s="22">
        <v>11</v>
      </c>
      <c r="G135" s="23">
        <v>88074</v>
      </c>
      <c r="H135" s="23">
        <v>552</v>
      </c>
      <c r="I135" s="24">
        <f t="shared" si="65"/>
        <v>10.222222222222221</v>
      </c>
      <c r="J135" s="22">
        <v>207</v>
      </c>
      <c r="K135" s="22">
        <v>498</v>
      </c>
      <c r="L135" s="24">
        <f t="shared" si="82"/>
        <v>3.8333333333333335</v>
      </c>
      <c r="M135" s="24">
        <f t="shared" si="83"/>
        <v>9.2222222222222214</v>
      </c>
      <c r="N135" s="25">
        <f t="shared" si="84"/>
        <v>0.41566265060240964</v>
      </c>
      <c r="O135" s="23">
        <v>126</v>
      </c>
      <c r="P135" s="22">
        <v>260</v>
      </c>
      <c r="Q135" s="24">
        <f t="shared" si="66"/>
        <v>2.3333333333333335</v>
      </c>
      <c r="R135" s="24">
        <f t="shared" si="67"/>
        <v>4.8148148148148149</v>
      </c>
      <c r="S135" s="25">
        <f t="shared" si="68"/>
        <v>0.48461538461538461</v>
      </c>
      <c r="T135" s="22">
        <v>81</v>
      </c>
      <c r="U135" s="22">
        <v>238</v>
      </c>
      <c r="V135" s="24">
        <f t="shared" si="69"/>
        <v>1.5</v>
      </c>
      <c r="W135" s="24">
        <f t="shared" si="70"/>
        <v>4.4074074074074074</v>
      </c>
      <c r="X135" s="25">
        <f t="shared" si="71"/>
        <v>0.34033613445378152</v>
      </c>
      <c r="Y135" s="22">
        <v>57</v>
      </c>
      <c r="Z135" s="22">
        <v>80</v>
      </c>
      <c r="AA135" s="24">
        <f t="shared" si="72"/>
        <v>1.0555555555555556</v>
      </c>
      <c r="AB135" s="24">
        <f t="shared" si="73"/>
        <v>1.4814814814814814</v>
      </c>
      <c r="AC135" s="25">
        <f t="shared" si="74"/>
        <v>0.71250000000000002</v>
      </c>
      <c r="AD135" s="22">
        <v>123</v>
      </c>
      <c r="AE135" s="24">
        <f t="shared" si="75"/>
        <v>2.2777777777777777</v>
      </c>
      <c r="AF135" s="22">
        <v>38</v>
      </c>
      <c r="AG135" s="24">
        <f t="shared" si="76"/>
        <v>0.70370370370370372</v>
      </c>
      <c r="AH135" s="22">
        <v>85</v>
      </c>
      <c r="AI135" s="24">
        <f t="shared" si="77"/>
        <v>1.5740740740740742</v>
      </c>
      <c r="AJ135" s="22">
        <v>185</v>
      </c>
      <c r="AK135" s="24">
        <f t="shared" si="78"/>
        <v>3.425925925925926</v>
      </c>
      <c r="AL135" s="22">
        <v>44</v>
      </c>
      <c r="AM135" s="24">
        <f t="shared" si="79"/>
        <v>0.81481481481481477</v>
      </c>
      <c r="AN135" s="10">
        <v>3</v>
      </c>
      <c r="AO135" s="24">
        <f t="shared" si="80"/>
        <v>5.5555555555555552E-2</v>
      </c>
      <c r="AP135" s="22">
        <v>84</v>
      </c>
      <c r="AQ135" s="24">
        <f t="shared" ref="AQ135:AQ166" si="85">AP135/$D135</f>
        <v>1.5555555555555556</v>
      </c>
      <c r="AR135" s="22">
        <v>115</v>
      </c>
      <c r="AS135" s="24">
        <f t="shared" si="81"/>
        <v>2.1296296296296298</v>
      </c>
      <c r="AT135" s="26">
        <v>1.7163314178190037</v>
      </c>
      <c r="AU135" s="26">
        <v>4.6769709593814386E-2</v>
      </c>
      <c r="AV135" s="26">
        <v>1.0456812017231518</v>
      </c>
      <c r="AW135" s="26">
        <v>0.67065021609585196</v>
      </c>
      <c r="AX135" s="26">
        <v>106.2022396033839</v>
      </c>
      <c r="AY135" s="26">
        <v>112.64654247626333</v>
      </c>
      <c r="AZ135" s="26">
        <v>8.3077287491144833</v>
      </c>
      <c r="BA135" s="26">
        <v>9.4259259259259256</v>
      </c>
      <c r="BB135" s="26">
        <v>13.870154642686831</v>
      </c>
      <c r="BC135" s="25">
        <v>0.51762940735183793</v>
      </c>
      <c r="BD135" s="25">
        <v>0.49698795180722893</v>
      </c>
      <c r="BE135" s="26">
        <v>19.593621766062995</v>
      </c>
      <c r="BF135" s="25">
        <v>0.47791164658634538</v>
      </c>
      <c r="BG135" s="25">
        <v>0.1606425702811245</v>
      </c>
      <c r="BH135" s="26">
        <v>2.9017444511296278</v>
      </c>
      <c r="BI135" s="26">
        <v>6.490744167000484</v>
      </c>
      <c r="BJ135" s="26">
        <v>4.4889200315319258</v>
      </c>
      <c r="BK135" s="26">
        <v>18.704502561337289</v>
      </c>
      <c r="BL135" s="26">
        <v>1.6303015566432835</v>
      </c>
      <c r="BM135" s="26">
        <v>0.18555988442711863</v>
      </c>
      <c r="BN135" s="26">
        <v>13.609850939727801</v>
      </c>
      <c r="BO135" s="27" t="s">
        <v>189</v>
      </c>
      <c r="BP135" s="28"/>
      <c r="BQ135" s="17" t="s">
        <v>253</v>
      </c>
      <c r="BR135" s="35">
        <v>967.3</v>
      </c>
      <c r="BS135" s="35">
        <v>1387</v>
      </c>
      <c r="BT135" s="35">
        <v>419.7</v>
      </c>
      <c r="BU135" s="35">
        <f t="shared" si="58"/>
        <v>17.912962962962965</v>
      </c>
      <c r="BV135" s="35">
        <f t="shared" si="59"/>
        <v>25.685185185185187</v>
      </c>
      <c r="BW135" s="35">
        <f t="shared" si="60"/>
        <v>7.7722222222222221</v>
      </c>
      <c r="BX135" s="36">
        <f t="shared" si="61"/>
        <v>26.358743783636491</v>
      </c>
      <c r="BY135" s="36">
        <f t="shared" si="62"/>
        <v>37.795490156005179</v>
      </c>
      <c r="BZ135" s="36">
        <f t="shared" si="63"/>
        <v>11.43674637236869</v>
      </c>
      <c r="CA135" s="50">
        <v>34</v>
      </c>
      <c r="CB135" s="50">
        <v>20</v>
      </c>
    </row>
    <row r="136" spans="1:80" x14ac:dyDescent="0.4">
      <c r="A136" s="21" t="s">
        <v>231</v>
      </c>
      <c r="B136" s="17" t="s">
        <v>248</v>
      </c>
      <c r="C136" s="17" t="s">
        <v>89</v>
      </c>
      <c r="D136" s="22">
        <v>49</v>
      </c>
      <c r="E136" s="22">
        <v>14</v>
      </c>
      <c r="F136" s="22">
        <v>5</v>
      </c>
      <c r="G136" s="23">
        <v>41405</v>
      </c>
      <c r="H136" s="23">
        <v>182</v>
      </c>
      <c r="I136" s="24">
        <f t="shared" si="65"/>
        <v>3.7142857142857144</v>
      </c>
      <c r="J136" s="22">
        <v>66</v>
      </c>
      <c r="K136" s="22">
        <v>187</v>
      </c>
      <c r="L136" s="24">
        <f t="shared" si="82"/>
        <v>1.346938775510204</v>
      </c>
      <c r="M136" s="24">
        <f t="shared" si="83"/>
        <v>3.8163265306122449</v>
      </c>
      <c r="N136" s="25">
        <f t="shared" si="84"/>
        <v>0.35294117647058826</v>
      </c>
      <c r="O136" s="23">
        <v>34</v>
      </c>
      <c r="P136" s="22">
        <v>67</v>
      </c>
      <c r="Q136" s="24">
        <f t="shared" si="66"/>
        <v>0.69387755102040816</v>
      </c>
      <c r="R136" s="24">
        <f t="shared" si="67"/>
        <v>1.3673469387755102</v>
      </c>
      <c r="S136" s="25">
        <f t="shared" si="68"/>
        <v>0.5074626865671642</v>
      </c>
      <c r="T136" s="22">
        <v>32</v>
      </c>
      <c r="U136" s="22">
        <v>120</v>
      </c>
      <c r="V136" s="24">
        <f t="shared" si="69"/>
        <v>0.65306122448979587</v>
      </c>
      <c r="W136" s="24">
        <f t="shared" si="70"/>
        <v>2.4489795918367347</v>
      </c>
      <c r="X136" s="25">
        <f t="shared" si="71"/>
        <v>0.26666666666666666</v>
      </c>
      <c r="Y136" s="22">
        <v>18</v>
      </c>
      <c r="Z136" s="22">
        <v>28</v>
      </c>
      <c r="AA136" s="24">
        <f t="shared" si="72"/>
        <v>0.36734693877551022</v>
      </c>
      <c r="AB136" s="24">
        <f t="shared" si="73"/>
        <v>0.5714285714285714</v>
      </c>
      <c r="AC136" s="25">
        <f t="shared" si="74"/>
        <v>0.6428571428571429</v>
      </c>
      <c r="AD136" s="22">
        <v>131</v>
      </c>
      <c r="AE136" s="24">
        <f t="shared" si="75"/>
        <v>2.6734693877551021</v>
      </c>
      <c r="AF136" s="22">
        <v>39</v>
      </c>
      <c r="AG136" s="24">
        <f t="shared" si="76"/>
        <v>0.79591836734693877</v>
      </c>
      <c r="AH136" s="22">
        <v>92</v>
      </c>
      <c r="AI136" s="24">
        <f t="shared" si="77"/>
        <v>1.8775510204081634</v>
      </c>
      <c r="AJ136" s="22">
        <v>21</v>
      </c>
      <c r="AK136" s="24">
        <f t="shared" si="78"/>
        <v>0.42857142857142855</v>
      </c>
      <c r="AL136" s="22">
        <v>33</v>
      </c>
      <c r="AM136" s="24">
        <f t="shared" si="79"/>
        <v>0.67346938775510201</v>
      </c>
      <c r="AN136" s="10">
        <v>4</v>
      </c>
      <c r="AO136" s="24">
        <f t="shared" si="80"/>
        <v>8.1632653061224483E-2</v>
      </c>
      <c r="AP136" s="22">
        <v>24</v>
      </c>
      <c r="AQ136" s="24">
        <f t="shared" si="85"/>
        <v>0.48979591836734693</v>
      </c>
      <c r="AR136" s="22">
        <v>88</v>
      </c>
      <c r="AS136" s="24">
        <f t="shared" si="81"/>
        <v>1.7959183673469388</v>
      </c>
      <c r="AT136" s="26">
        <v>0.57994217675102011</v>
      </c>
      <c r="AU136" s="26">
        <v>3.3615776457008771E-2</v>
      </c>
      <c r="AV136" s="26">
        <v>-0.13876933553584703</v>
      </c>
      <c r="AW136" s="26">
        <v>0.71871151228686714</v>
      </c>
      <c r="AX136" s="26">
        <v>96.982844883290312</v>
      </c>
      <c r="AY136" s="26">
        <v>107.28660406726475</v>
      </c>
      <c r="AZ136" s="26">
        <v>4.7846673573393774</v>
      </c>
      <c r="BA136" s="26">
        <v>4.408163265306122</v>
      </c>
      <c r="BB136" s="26">
        <v>12.520227025721532</v>
      </c>
      <c r="BC136" s="25">
        <v>0.45655227774433071</v>
      </c>
      <c r="BD136" s="25">
        <v>0.43850267379679142</v>
      </c>
      <c r="BE136" s="26">
        <v>13.684019175110757</v>
      </c>
      <c r="BF136" s="25">
        <v>0.64171122994652408</v>
      </c>
      <c r="BG136" s="25">
        <v>0.1497326203208556</v>
      </c>
      <c r="BH136" s="26">
        <v>5.7482735220150891</v>
      </c>
      <c r="BI136" s="26">
        <v>13.560029846804825</v>
      </c>
      <c r="BJ136" s="26">
        <v>9.2279515356438431</v>
      </c>
      <c r="BK136" s="26">
        <v>3.7928958458759778</v>
      </c>
      <c r="BL136" s="26">
        <v>2.6009028975932957</v>
      </c>
      <c r="BM136" s="26">
        <v>0.477551355425058</v>
      </c>
      <c r="BN136" s="26">
        <v>10.746910263299302</v>
      </c>
      <c r="BO136" s="27" t="s">
        <v>189</v>
      </c>
      <c r="BP136" s="27"/>
      <c r="BQ136" s="17" t="s">
        <v>255</v>
      </c>
      <c r="BR136" s="35">
        <v>418.86</v>
      </c>
      <c r="BS136" s="35">
        <v>575.05999999999995</v>
      </c>
      <c r="BT136" s="35">
        <v>156.19999999999999</v>
      </c>
      <c r="BU136" s="35">
        <f t="shared" si="58"/>
        <v>8.5481632653061226</v>
      </c>
      <c r="BV136" s="35">
        <f t="shared" si="59"/>
        <v>11.735918367346938</v>
      </c>
      <c r="BW136" s="35">
        <f t="shared" si="60"/>
        <v>3.1877551020408159</v>
      </c>
      <c r="BX136" s="36">
        <f t="shared" si="61"/>
        <v>24.278806907378328</v>
      </c>
      <c r="BY136" s="36">
        <f t="shared" si="62"/>
        <v>33.33278589542325</v>
      </c>
      <c r="BZ136" s="36">
        <f t="shared" si="63"/>
        <v>9.0539789880449213</v>
      </c>
      <c r="CA136" s="48">
        <v>31</v>
      </c>
      <c r="CB136" s="48">
        <v>18</v>
      </c>
    </row>
    <row r="137" spans="1:80" x14ac:dyDescent="0.4">
      <c r="A137" s="21" t="s">
        <v>231</v>
      </c>
      <c r="B137" s="17" t="s">
        <v>248</v>
      </c>
      <c r="C137" s="17" t="s">
        <v>85</v>
      </c>
      <c r="D137" s="22">
        <v>44</v>
      </c>
      <c r="E137" s="22">
        <v>26</v>
      </c>
      <c r="F137" s="22">
        <v>45</v>
      </c>
      <c r="G137" s="23">
        <v>70620</v>
      </c>
      <c r="H137" s="23">
        <v>518</v>
      </c>
      <c r="I137" s="24">
        <f t="shared" si="65"/>
        <v>11.772727272727273</v>
      </c>
      <c r="J137" s="22">
        <v>207</v>
      </c>
      <c r="K137" s="22">
        <v>450</v>
      </c>
      <c r="L137" s="24">
        <f t="shared" si="82"/>
        <v>4.7045454545454541</v>
      </c>
      <c r="M137" s="24">
        <f t="shared" si="83"/>
        <v>10.227272727272727</v>
      </c>
      <c r="N137" s="25">
        <f t="shared" si="84"/>
        <v>0.46</v>
      </c>
      <c r="O137" s="23">
        <v>154</v>
      </c>
      <c r="P137" s="22">
        <v>306</v>
      </c>
      <c r="Q137" s="24">
        <f t="shared" si="66"/>
        <v>3.5</v>
      </c>
      <c r="R137" s="24">
        <f t="shared" si="67"/>
        <v>6.9545454545454541</v>
      </c>
      <c r="S137" s="25">
        <f t="shared" si="68"/>
        <v>0.50326797385620914</v>
      </c>
      <c r="T137" s="22">
        <v>53</v>
      </c>
      <c r="U137" s="22">
        <v>144</v>
      </c>
      <c r="V137" s="24">
        <f t="shared" si="69"/>
        <v>1.2045454545454546</v>
      </c>
      <c r="W137" s="24">
        <f t="shared" si="70"/>
        <v>3.2727272727272729</v>
      </c>
      <c r="X137" s="25">
        <f t="shared" si="71"/>
        <v>0.36805555555555558</v>
      </c>
      <c r="Y137" s="22">
        <v>51</v>
      </c>
      <c r="Z137" s="22">
        <v>75</v>
      </c>
      <c r="AA137" s="24">
        <f t="shared" si="72"/>
        <v>1.1590909090909092</v>
      </c>
      <c r="AB137" s="24">
        <f t="shared" si="73"/>
        <v>1.7045454545454546</v>
      </c>
      <c r="AC137" s="25">
        <f t="shared" si="74"/>
        <v>0.68</v>
      </c>
      <c r="AD137" s="22">
        <v>200</v>
      </c>
      <c r="AE137" s="24">
        <f t="shared" si="75"/>
        <v>4.5454545454545459</v>
      </c>
      <c r="AF137" s="22">
        <v>42</v>
      </c>
      <c r="AG137" s="24">
        <f t="shared" si="76"/>
        <v>0.95454545454545459</v>
      </c>
      <c r="AH137" s="22">
        <v>158</v>
      </c>
      <c r="AI137" s="24">
        <f t="shared" si="77"/>
        <v>3.5909090909090908</v>
      </c>
      <c r="AJ137" s="22">
        <v>88</v>
      </c>
      <c r="AK137" s="24">
        <f t="shared" si="78"/>
        <v>2</v>
      </c>
      <c r="AL137" s="22">
        <v>29</v>
      </c>
      <c r="AM137" s="24">
        <f t="shared" si="79"/>
        <v>0.65909090909090906</v>
      </c>
      <c r="AN137" s="10">
        <v>4</v>
      </c>
      <c r="AO137" s="24">
        <f t="shared" si="80"/>
        <v>9.0909090909090912E-2</v>
      </c>
      <c r="AP137" s="22">
        <v>57</v>
      </c>
      <c r="AQ137" s="24">
        <f t="shared" si="85"/>
        <v>1.2954545454545454</v>
      </c>
      <c r="AR137" s="22">
        <v>80</v>
      </c>
      <c r="AS137" s="24">
        <f t="shared" si="81"/>
        <v>1.8181818181818181</v>
      </c>
      <c r="AT137" s="26">
        <v>1.8875482574191271</v>
      </c>
      <c r="AU137" s="26">
        <v>6.4147774253836096E-2</v>
      </c>
      <c r="AV137" s="26">
        <v>1.0479519359174625</v>
      </c>
      <c r="AW137" s="26">
        <v>0.83959632150166474</v>
      </c>
      <c r="AX137" s="26">
        <v>107.56601075832944</v>
      </c>
      <c r="AY137" s="26">
        <v>110.29521893057286</v>
      </c>
      <c r="AZ137" s="26">
        <v>8.4750823042899111</v>
      </c>
      <c r="BA137" s="26">
        <v>11.704545454545455</v>
      </c>
      <c r="BB137" s="26">
        <v>17.502124044180118</v>
      </c>
      <c r="BC137" s="25">
        <v>0.53623188405797106</v>
      </c>
      <c r="BD137" s="25">
        <v>0.51888888888888884</v>
      </c>
      <c r="BE137" s="26">
        <v>17.420534939463643</v>
      </c>
      <c r="BF137" s="25">
        <v>0.32</v>
      </c>
      <c r="BG137" s="25">
        <v>0.16666666666666666</v>
      </c>
      <c r="BH137" s="26">
        <v>3.2591457352235085</v>
      </c>
      <c r="BI137" s="26">
        <v>12.260595861078913</v>
      </c>
      <c r="BJ137" s="26">
        <v>7.4172971369233052</v>
      </c>
      <c r="BK137" s="26">
        <v>9.072164948453608</v>
      </c>
      <c r="BL137" s="26">
        <v>1.3400878580926778</v>
      </c>
      <c r="BM137" s="26">
        <v>0.25142111858827043</v>
      </c>
      <c r="BN137" s="26">
        <v>10.555555555555555</v>
      </c>
      <c r="BO137" s="27" t="s">
        <v>189</v>
      </c>
      <c r="BP137" s="28"/>
      <c r="BQ137" s="17" t="s">
        <v>253</v>
      </c>
      <c r="BR137" s="35">
        <v>861.06</v>
      </c>
      <c r="BS137" s="35">
        <v>1199.6600000000001</v>
      </c>
      <c r="BT137" s="35">
        <v>338.6</v>
      </c>
      <c r="BU137" s="35">
        <f t="shared" ref="BU137:BU200" si="86">BV137-BW137</f>
        <v>19.569545454545455</v>
      </c>
      <c r="BV137" s="35">
        <f t="shared" ref="BV137:BV200" si="87">BS137/$D137</f>
        <v>27.265000000000001</v>
      </c>
      <c r="BW137" s="35">
        <f t="shared" ref="BW137:BW200" si="88">BT137/$D137</f>
        <v>7.6954545454545462</v>
      </c>
      <c r="BX137" s="36">
        <f t="shared" ref="BX137:BX200" si="89">BY137-BZ137</f>
        <v>29.26287170773152</v>
      </c>
      <c r="BY137" s="36">
        <f t="shared" ref="BY137:BY200" si="90">BS137*2400/$G137</f>
        <v>40.770093457943922</v>
      </c>
      <c r="BZ137" s="36">
        <f t="shared" ref="BZ137:BZ200" si="91">BT137*2400/$G137</f>
        <v>11.507221750212404</v>
      </c>
      <c r="CA137" s="50">
        <v>26</v>
      </c>
      <c r="CB137" s="50">
        <v>18</v>
      </c>
    </row>
    <row r="138" spans="1:80" x14ac:dyDescent="0.4">
      <c r="A138" s="21" t="s">
        <v>231</v>
      </c>
      <c r="B138" s="17" t="s">
        <v>248</v>
      </c>
      <c r="C138" s="17" t="s">
        <v>84</v>
      </c>
      <c r="D138" s="16">
        <v>44</v>
      </c>
      <c r="E138" s="16">
        <v>15</v>
      </c>
      <c r="F138" s="16">
        <v>57</v>
      </c>
      <c r="G138" s="23">
        <v>42108</v>
      </c>
      <c r="H138" s="23">
        <v>312</v>
      </c>
      <c r="I138" s="24">
        <f t="shared" si="65"/>
        <v>7.0909090909090908</v>
      </c>
      <c r="J138" s="22">
        <v>134</v>
      </c>
      <c r="K138" s="22">
        <v>246</v>
      </c>
      <c r="L138" s="24">
        <f t="shared" si="82"/>
        <v>3.0454545454545454</v>
      </c>
      <c r="M138" s="24">
        <f t="shared" si="83"/>
        <v>5.5909090909090908</v>
      </c>
      <c r="N138" s="25">
        <f t="shared" si="84"/>
        <v>0.54471544715447151</v>
      </c>
      <c r="O138" s="23">
        <v>134</v>
      </c>
      <c r="P138" s="22">
        <v>245</v>
      </c>
      <c r="Q138" s="24">
        <f t="shared" si="66"/>
        <v>3.0454545454545454</v>
      </c>
      <c r="R138" s="24">
        <f t="shared" si="67"/>
        <v>5.5681818181818183</v>
      </c>
      <c r="S138" s="25">
        <f t="shared" si="68"/>
        <v>0.54693877551020409</v>
      </c>
      <c r="T138" s="22">
        <v>0</v>
      </c>
      <c r="U138" s="22">
        <v>1</v>
      </c>
      <c r="V138" s="24">
        <f t="shared" si="69"/>
        <v>0</v>
      </c>
      <c r="W138" s="24">
        <f t="shared" si="70"/>
        <v>2.2727272727272728E-2</v>
      </c>
      <c r="X138" s="25">
        <f t="shared" si="71"/>
        <v>0</v>
      </c>
      <c r="Y138" s="15">
        <v>44</v>
      </c>
      <c r="Z138" s="15">
        <v>78</v>
      </c>
      <c r="AA138" s="24">
        <f t="shared" si="72"/>
        <v>1</v>
      </c>
      <c r="AB138" s="24">
        <f t="shared" si="73"/>
        <v>1.7727272727272727</v>
      </c>
      <c r="AC138" s="25">
        <f t="shared" si="74"/>
        <v>0.5641025641025641</v>
      </c>
      <c r="AD138" s="22">
        <v>169</v>
      </c>
      <c r="AE138" s="24">
        <f t="shared" si="75"/>
        <v>3.8409090909090908</v>
      </c>
      <c r="AF138" s="22">
        <v>83</v>
      </c>
      <c r="AG138" s="24">
        <f t="shared" si="76"/>
        <v>1.8863636363636365</v>
      </c>
      <c r="AH138" s="22">
        <v>86</v>
      </c>
      <c r="AI138" s="24">
        <f t="shared" si="77"/>
        <v>1.9545454545454546</v>
      </c>
      <c r="AJ138" s="22">
        <v>58</v>
      </c>
      <c r="AK138" s="24">
        <f t="shared" si="78"/>
        <v>1.3181818181818181</v>
      </c>
      <c r="AL138" s="13">
        <v>33</v>
      </c>
      <c r="AM138" s="24">
        <f t="shared" si="79"/>
        <v>0.75</v>
      </c>
      <c r="AN138" s="12">
        <v>21</v>
      </c>
      <c r="AO138" s="24">
        <f t="shared" si="80"/>
        <v>0.47727272727272729</v>
      </c>
      <c r="AP138" s="22">
        <v>47</v>
      </c>
      <c r="AQ138" s="24">
        <f t="shared" si="85"/>
        <v>1.0681818181818181</v>
      </c>
      <c r="AR138" s="22">
        <v>103</v>
      </c>
      <c r="AS138" s="24">
        <f t="shared" si="81"/>
        <v>2.3409090909090908</v>
      </c>
      <c r="AT138" s="26">
        <v>1.7452628079912094</v>
      </c>
      <c r="AU138" s="26">
        <v>9.9473514277070935E-2</v>
      </c>
      <c r="AV138" s="26">
        <v>0.94568714255621422</v>
      </c>
      <c r="AW138" s="26">
        <v>0.79957566543499503</v>
      </c>
      <c r="AX138" s="26">
        <v>110.5445888724938</v>
      </c>
      <c r="AY138" s="26">
        <v>106.38959957631127</v>
      </c>
      <c r="AZ138" s="26">
        <v>10.384687227203813</v>
      </c>
      <c r="BA138" s="26">
        <v>9.0909090909090917</v>
      </c>
      <c r="BB138" s="26">
        <v>22.79851809632374</v>
      </c>
      <c r="BC138" s="25">
        <v>0.55650684931506855</v>
      </c>
      <c r="BD138" s="25">
        <v>0.54471544715447151</v>
      </c>
      <c r="BE138" s="26">
        <v>17.709380474666801</v>
      </c>
      <c r="BF138" s="25">
        <v>4.0650406504065045E-3</v>
      </c>
      <c r="BG138" s="25">
        <v>0.31707317073170732</v>
      </c>
      <c r="BH138" s="26">
        <v>10.801788802254061</v>
      </c>
      <c r="BI138" s="26">
        <v>11.192214903540352</v>
      </c>
      <c r="BJ138" s="26">
        <v>10.511519132208788</v>
      </c>
      <c r="BK138" s="26">
        <v>10.214864388869321</v>
      </c>
      <c r="BL138" s="26">
        <v>2.5574803950520195</v>
      </c>
      <c r="BM138" s="26">
        <v>2.2137274822407669</v>
      </c>
      <c r="BN138" s="26">
        <v>14.359037027984847</v>
      </c>
      <c r="BO138" s="27" t="s">
        <v>189</v>
      </c>
      <c r="BP138" s="28"/>
      <c r="BQ138" s="17" t="s">
        <v>253</v>
      </c>
      <c r="BR138" s="35">
        <v>629.29999999999995</v>
      </c>
      <c r="BS138" s="35">
        <v>838.9</v>
      </c>
      <c r="BT138" s="35">
        <v>209.6</v>
      </c>
      <c r="BU138" s="35">
        <f t="shared" si="86"/>
        <v>14.302272727272728</v>
      </c>
      <c r="BV138" s="35">
        <f t="shared" si="87"/>
        <v>19.065909090909091</v>
      </c>
      <c r="BW138" s="35">
        <f t="shared" si="88"/>
        <v>4.7636363636363637</v>
      </c>
      <c r="BX138" s="36">
        <f t="shared" si="89"/>
        <v>35.867768595041319</v>
      </c>
      <c r="BY138" s="36">
        <f t="shared" si="90"/>
        <v>47.81419207751496</v>
      </c>
      <c r="BZ138" s="36">
        <f t="shared" si="91"/>
        <v>11.946423482473639</v>
      </c>
      <c r="CA138" s="48">
        <v>26</v>
      </c>
      <c r="CB138" s="48">
        <v>18</v>
      </c>
    </row>
    <row r="139" spans="1:80" x14ac:dyDescent="0.4">
      <c r="A139" s="21" t="s">
        <v>231</v>
      </c>
      <c r="B139" s="17" t="s">
        <v>248</v>
      </c>
      <c r="C139" s="17" t="s">
        <v>206</v>
      </c>
      <c r="D139" s="22">
        <v>20</v>
      </c>
      <c r="E139" s="22">
        <v>18</v>
      </c>
      <c r="F139" s="22">
        <v>18</v>
      </c>
      <c r="G139" s="23">
        <v>21960</v>
      </c>
      <c r="H139" s="23">
        <v>194</v>
      </c>
      <c r="I139" s="24">
        <f t="shared" si="65"/>
        <v>9.6999999999999993</v>
      </c>
      <c r="J139" s="22">
        <v>80</v>
      </c>
      <c r="K139" s="22">
        <v>151</v>
      </c>
      <c r="L139" s="24">
        <f t="shared" si="82"/>
        <v>4</v>
      </c>
      <c r="M139" s="24">
        <f t="shared" si="83"/>
        <v>7.55</v>
      </c>
      <c r="N139" s="25">
        <f t="shared" si="84"/>
        <v>0.5298013245033113</v>
      </c>
      <c r="O139" s="23">
        <v>77</v>
      </c>
      <c r="P139" s="22">
        <v>135</v>
      </c>
      <c r="Q139" s="24">
        <f t="shared" si="66"/>
        <v>3.85</v>
      </c>
      <c r="R139" s="24">
        <f t="shared" si="67"/>
        <v>6.75</v>
      </c>
      <c r="S139" s="25">
        <f t="shared" si="68"/>
        <v>0.57037037037037042</v>
      </c>
      <c r="T139" s="22">
        <v>3</v>
      </c>
      <c r="U139" s="22">
        <v>16</v>
      </c>
      <c r="V139" s="24">
        <f t="shared" si="69"/>
        <v>0.15</v>
      </c>
      <c r="W139" s="24">
        <f t="shared" si="70"/>
        <v>0.8</v>
      </c>
      <c r="X139" s="25">
        <f t="shared" si="71"/>
        <v>0.1875</v>
      </c>
      <c r="Y139" s="22">
        <v>31</v>
      </c>
      <c r="Z139" s="22">
        <v>42</v>
      </c>
      <c r="AA139" s="24">
        <f t="shared" si="72"/>
        <v>1.55</v>
      </c>
      <c r="AB139" s="24">
        <f t="shared" si="73"/>
        <v>2.1</v>
      </c>
      <c r="AC139" s="25">
        <f t="shared" si="74"/>
        <v>0.73809523809523814</v>
      </c>
      <c r="AD139" s="22">
        <v>140</v>
      </c>
      <c r="AE139" s="24">
        <f t="shared" si="75"/>
        <v>7</v>
      </c>
      <c r="AF139" s="22">
        <v>49</v>
      </c>
      <c r="AG139" s="24">
        <f t="shared" si="76"/>
        <v>2.4500000000000002</v>
      </c>
      <c r="AH139" s="22">
        <v>91</v>
      </c>
      <c r="AI139" s="24">
        <f t="shared" si="77"/>
        <v>4.55</v>
      </c>
      <c r="AJ139" s="22">
        <v>24</v>
      </c>
      <c r="AK139" s="24">
        <f t="shared" si="78"/>
        <v>1.2</v>
      </c>
      <c r="AL139" s="22">
        <v>10</v>
      </c>
      <c r="AM139" s="24">
        <f t="shared" si="79"/>
        <v>0.5</v>
      </c>
      <c r="AN139" s="10">
        <v>6</v>
      </c>
      <c r="AO139" s="24">
        <f t="shared" si="80"/>
        <v>0.3</v>
      </c>
      <c r="AP139" s="22">
        <v>35</v>
      </c>
      <c r="AQ139" s="24">
        <f t="shared" si="85"/>
        <v>1.75</v>
      </c>
      <c r="AR139" s="22">
        <v>45</v>
      </c>
      <c r="AS139" s="24">
        <f t="shared" si="81"/>
        <v>2.25</v>
      </c>
      <c r="AT139" s="26">
        <v>0.88064460545029943</v>
      </c>
      <c r="AU139" s="26">
        <v>9.6245312071070982E-2</v>
      </c>
      <c r="AV139" s="26">
        <v>0.39590517592735863</v>
      </c>
      <c r="AW139" s="26">
        <v>0.48473942952294086</v>
      </c>
      <c r="AX139" s="26">
        <v>107.06699190443993</v>
      </c>
      <c r="AY139" s="26">
        <v>104.69249107632243</v>
      </c>
      <c r="AZ139" s="26">
        <v>5.3808813685947632</v>
      </c>
      <c r="BA139" s="26">
        <v>12.85</v>
      </c>
      <c r="BB139" s="26">
        <v>28.087431693989071</v>
      </c>
      <c r="BC139" s="25">
        <v>0.57233891904649514</v>
      </c>
      <c r="BD139" s="25">
        <v>0.53973509933774833</v>
      </c>
      <c r="BE139" s="26">
        <v>9.6425358058364505</v>
      </c>
      <c r="BF139" s="25">
        <v>0.10596026490066225</v>
      </c>
      <c r="BG139" s="25">
        <v>0.27814569536423839</v>
      </c>
      <c r="BH139" s="26">
        <v>5.5580604637577595</v>
      </c>
      <c r="BI139" s="26">
        <v>10.32211228983584</v>
      </c>
      <c r="BJ139" s="26">
        <v>7.5895567698846387</v>
      </c>
      <c r="BK139" s="26">
        <v>3.3094318808604521</v>
      </c>
      <c r="BL139" s="26">
        <v>1.4860405209865102</v>
      </c>
      <c r="BM139" s="26">
        <v>0.55127171493739613</v>
      </c>
      <c r="BN139" s="26">
        <v>17.116588419405321</v>
      </c>
      <c r="BO139" s="27" t="s">
        <v>232</v>
      </c>
      <c r="BP139" s="28"/>
      <c r="BQ139" s="17" t="s">
        <v>254</v>
      </c>
      <c r="BR139" s="35">
        <v>371</v>
      </c>
      <c r="BS139" s="35">
        <v>502</v>
      </c>
      <c r="BT139" s="35">
        <v>131</v>
      </c>
      <c r="BU139" s="35">
        <f t="shared" si="86"/>
        <v>18.55</v>
      </c>
      <c r="BV139" s="35">
        <f t="shared" si="87"/>
        <v>25.1</v>
      </c>
      <c r="BW139" s="35">
        <f t="shared" si="88"/>
        <v>6.55</v>
      </c>
      <c r="BX139" s="36">
        <f t="shared" si="89"/>
        <v>40.546448087431699</v>
      </c>
      <c r="BY139" s="36">
        <f t="shared" si="90"/>
        <v>54.863387978142079</v>
      </c>
      <c r="BZ139" s="36">
        <f t="shared" si="91"/>
        <v>14.316939890710383</v>
      </c>
      <c r="CA139" s="48">
        <v>13</v>
      </c>
      <c r="CB139" s="48">
        <v>7</v>
      </c>
    </row>
    <row r="140" spans="1:80" x14ac:dyDescent="0.4">
      <c r="A140" s="21" t="s">
        <v>231</v>
      </c>
      <c r="B140" s="17" t="s">
        <v>248</v>
      </c>
      <c r="C140" s="17" t="s">
        <v>207</v>
      </c>
      <c r="D140" s="22">
        <v>4</v>
      </c>
      <c r="E140" s="22">
        <v>1</v>
      </c>
      <c r="F140" s="22">
        <v>36</v>
      </c>
      <c r="G140" s="23">
        <v>384</v>
      </c>
      <c r="H140" s="23">
        <v>2</v>
      </c>
      <c r="I140" s="24">
        <f t="shared" si="65"/>
        <v>0.5</v>
      </c>
      <c r="J140" s="22">
        <v>0</v>
      </c>
      <c r="K140" s="22">
        <v>6</v>
      </c>
      <c r="L140" s="24">
        <f t="shared" si="82"/>
        <v>0</v>
      </c>
      <c r="M140" s="24">
        <f t="shared" si="83"/>
        <v>1.5</v>
      </c>
      <c r="N140" s="25">
        <f t="shared" si="84"/>
        <v>0</v>
      </c>
      <c r="O140" s="23">
        <v>0</v>
      </c>
      <c r="P140" s="22">
        <v>2</v>
      </c>
      <c r="Q140" s="24">
        <f t="shared" si="66"/>
        <v>0</v>
      </c>
      <c r="R140" s="24">
        <f t="shared" si="67"/>
        <v>0.5</v>
      </c>
      <c r="S140" s="25">
        <f t="shared" si="68"/>
        <v>0</v>
      </c>
      <c r="T140" s="22">
        <v>0</v>
      </c>
      <c r="U140" s="22">
        <v>4</v>
      </c>
      <c r="V140" s="24">
        <f t="shared" si="69"/>
        <v>0</v>
      </c>
      <c r="W140" s="24">
        <f t="shared" si="70"/>
        <v>1</v>
      </c>
      <c r="X140" s="25">
        <f t="shared" si="71"/>
        <v>0</v>
      </c>
      <c r="Y140" s="22">
        <v>2</v>
      </c>
      <c r="Z140" s="22">
        <v>2</v>
      </c>
      <c r="AA140" s="24">
        <f t="shared" si="72"/>
        <v>0.5</v>
      </c>
      <c r="AB140" s="24">
        <f t="shared" si="73"/>
        <v>0.5</v>
      </c>
      <c r="AC140" s="25">
        <f t="shared" si="74"/>
        <v>1</v>
      </c>
      <c r="AD140" s="22">
        <v>3</v>
      </c>
      <c r="AE140" s="24">
        <f t="shared" si="75"/>
        <v>0.75</v>
      </c>
      <c r="AF140" s="22">
        <v>2</v>
      </c>
      <c r="AG140" s="24">
        <f t="shared" si="76"/>
        <v>0.5</v>
      </c>
      <c r="AH140" s="22">
        <v>1</v>
      </c>
      <c r="AI140" s="24">
        <f t="shared" si="77"/>
        <v>0.25</v>
      </c>
      <c r="AJ140" s="22">
        <v>0</v>
      </c>
      <c r="AK140" s="24">
        <f t="shared" si="78"/>
        <v>0</v>
      </c>
      <c r="AL140" s="22">
        <v>0</v>
      </c>
      <c r="AM140" s="24">
        <f t="shared" si="79"/>
        <v>0</v>
      </c>
      <c r="AN140" s="10">
        <v>0</v>
      </c>
      <c r="AO140" s="24">
        <f t="shared" si="80"/>
        <v>0</v>
      </c>
      <c r="AP140" s="22">
        <v>0</v>
      </c>
      <c r="AQ140" s="24">
        <f t="shared" si="85"/>
        <v>0</v>
      </c>
      <c r="AR140" s="22">
        <v>0</v>
      </c>
      <c r="AS140" s="24">
        <f t="shared" si="81"/>
        <v>0</v>
      </c>
      <c r="AT140" s="26">
        <v>-6.6827849202340445E-2</v>
      </c>
      <c r="AU140" s="26">
        <v>-0.41767405751462772</v>
      </c>
      <c r="AV140" s="26">
        <v>-6.9682919360825171E-2</v>
      </c>
      <c r="AW140" s="26">
        <v>2.85507015848473E-3</v>
      </c>
      <c r="AX140" s="26">
        <v>55.655196019523665</v>
      </c>
      <c r="AY140" s="26">
        <v>112.74531041667395</v>
      </c>
      <c r="AZ140" s="26">
        <v>-0.62196550550482244</v>
      </c>
      <c r="BA140" s="26">
        <v>-0.25</v>
      </c>
      <c r="BB140" s="26">
        <v>-6.25</v>
      </c>
      <c r="BC140" s="25">
        <v>0.14534883720930233</v>
      </c>
      <c r="BD140" s="25">
        <v>0</v>
      </c>
      <c r="BE140" s="26">
        <v>3.7107352433551952</v>
      </c>
      <c r="BF140" s="25">
        <v>0.66666666666666663</v>
      </c>
      <c r="BG140" s="25">
        <v>0.33333333333333331</v>
      </c>
      <c r="BH140" s="26">
        <v>2.5947067981318113</v>
      </c>
      <c r="BI140" s="26">
        <v>1.2973533990659056</v>
      </c>
      <c r="BJ140" s="26">
        <v>1.8601190476190477</v>
      </c>
      <c r="BK140" s="26">
        <v>0</v>
      </c>
      <c r="BL140" s="26">
        <v>0</v>
      </c>
      <c r="BM140" s="26">
        <v>0</v>
      </c>
      <c r="BN140" s="26">
        <v>0</v>
      </c>
      <c r="BO140" s="27" t="s">
        <v>189</v>
      </c>
      <c r="BP140" s="28"/>
      <c r="BQ140" s="17" t="s">
        <v>253</v>
      </c>
      <c r="BR140" s="35">
        <v>1.99</v>
      </c>
      <c r="BS140" s="35">
        <v>7.59</v>
      </c>
      <c r="BT140" s="35">
        <v>5.6</v>
      </c>
      <c r="BU140" s="35">
        <f t="shared" si="86"/>
        <v>0.49750000000000005</v>
      </c>
      <c r="BV140" s="35">
        <f t="shared" si="87"/>
        <v>1.8975</v>
      </c>
      <c r="BW140" s="35">
        <f t="shared" si="88"/>
        <v>1.4</v>
      </c>
      <c r="BX140" s="36">
        <f t="shared" si="89"/>
        <v>12.4375</v>
      </c>
      <c r="BY140" s="36">
        <f t="shared" si="90"/>
        <v>47.4375</v>
      </c>
      <c r="BZ140" s="36">
        <f t="shared" si="91"/>
        <v>35</v>
      </c>
      <c r="CA140" s="50">
        <v>3</v>
      </c>
      <c r="CB140" s="50">
        <v>1</v>
      </c>
    </row>
    <row r="141" spans="1:80" x14ac:dyDescent="0.4">
      <c r="A141" s="21" t="s">
        <v>231</v>
      </c>
      <c r="B141" s="37" t="s">
        <v>248</v>
      </c>
      <c r="C141" s="37" t="s">
        <v>88</v>
      </c>
      <c r="D141" s="22">
        <v>21</v>
      </c>
      <c r="E141" s="22">
        <v>17</v>
      </c>
      <c r="F141" s="22">
        <v>55</v>
      </c>
      <c r="G141" s="23">
        <v>22575</v>
      </c>
      <c r="H141" s="23">
        <v>134</v>
      </c>
      <c r="I141" s="24">
        <f t="shared" si="65"/>
        <v>6.3809523809523814</v>
      </c>
      <c r="J141" s="22">
        <v>51</v>
      </c>
      <c r="K141" s="22">
        <v>110</v>
      </c>
      <c r="L141" s="24">
        <f t="shared" si="82"/>
        <v>2.4285714285714284</v>
      </c>
      <c r="M141" s="24">
        <f t="shared" si="83"/>
        <v>5.2380952380952381</v>
      </c>
      <c r="N141" s="25">
        <f t="shared" si="84"/>
        <v>0.46363636363636362</v>
      </c>
      <c r="O141" s="23">
        <v>39</v>
      </c>
      <c r="P141" s="22">
        <v>68</v>
      </c>
      <c r="Q141" s="24">
        <f t="shared" si="66"/>
        <v>1.8571428571428572</v>
      </c>
      <c r="R141" s="24">
        <f t="shared" si="67"/>
        <v>3.2380952380952381</v>
      </c>
      <c r="S141" s="25">
        <f t="shared" si="68"/>
        <v>0.57352941176470584</v>
      </c>
      <c r="T141" s="22">
        <v>12</v>
      </c>
      <c r="U141" s="22">
        <v>42</v>
      </c>
      <c r="V141" s="24">
        <f t="shared" si="69"/>
        <v>0.5714285714285714</v>
      </c>
      <c r="W141" s="24">
        <f t="shared" si="70"/>
        <v>2</v>
      </c>
      <c r="X141" s="25">
        <f t="shared" si="71"/>
        <v>0.2857142857142857</v>
      </c>
      <c r="Y141" s="22">
        <v>20</v>
      </c>
      <c r="Z141" s="22">
        <v>28</v>
      </c>
      <c r="AA141" s="24">
        <f t="shared" si="72"/>
        <v>0.95238095238095233</v>
      </c>
      <c r="AB141" s="24">
        <f t="shared" si="73"/>
        <v>1.3333333333333333</v>
      </c>
      <c r="AC141" s="25">
        <f t="shared" si="74"/>
        <v>0.7142857142857143</v>
      </c>
      <c r="AD141" s="22">
        <v>55</v>
      </c>
      <c r="AE141" s="24">
        <f t="shared" si="75"/>
        <v>2.6190476190476191</v>
      </c>
      <c r="AF141" s="22">
        <v>8</v>
      </c>
      <c r="AG141" s="24">
        <f t="shared" si="76"/>
        <v>0.38095238095238093</v>
      </c>
      <c r="AH141" s="22">
        <v>47</v>
      </c>
      <c r="AI141" s="24">
        <f t="shared" si="77"/>
        <v>2.2380952380952381</v>
      </c>
      <c r="AJ141" s="22">
        <v>26</v>
      </c>
      <c r="AK141" s="24">
        <f t="shared" si="78"/>
        <v>1.2380952380952381</v>
      </c>
      <c r="AL141" s="22">
        <v>8</v>
      </c>
      <c r="AM141" s="24">
        <f t="shared" si="79"/>
        <v>0.38095238095238093</v>
      </c>
      <c r="AN141" s="10">
        <v>8</v>
      </c>
      <c r="AO141" s="24">
        <f t="shared" si="80"/>
        <v>0.38095238095238093</v>
      </c>
      <c r="AP141" s="22">
        <v>6</v>
      </c>
      <c r="AQ141" s="24">
        <f t="shared" si="85"/>
        <v>0.2857142857142857</v>
      </c>
      <c r="AR141" s="22">
        <v>47</v>
      </c>
      <c r="AS141" s="24">
        <f t="shared" si="81"/>
        <v>2.2380952380952381</v>
      </c>
      <c r="AT141" s="26">
        <v>0.8953502547885448</v>
      </c>
      <c r="AU141" s="26">
        <v>9.5186738050609412E-2</v>
      </c>
      <c r="AV141" s="26">
        <v>0.6102416047663054</v>
      </c>
      <c r="AW141" s="26">
        <v>0.28510865002223945</v>
      </c>
      <c r="AX141" s="26">
        <v>119.38574164638121</v>
      </c>
      <c r="AY141" s="26">
        <v>109.88788387326673</v>
      </c>
      <c r="AZ141" s="26">
        <v>3.363625088976411</v>
      </c>
      <c r="BA141" s="26">
        <v>7.5238095238095237</v>
      </c>
      <c r="BB141" s="26">
        <v>16.79734219269103</v>
      </c>
      <c r="BC141" s="25">
        <v>0.54774362328319171</v>
      </c>
      <c r="BD141" s="25">
        <v>0.51818181818181819</v>
      </c>
      <c r="BE141" s="26">
        <v>6.1805717221504199</v>
      </c>
      <c r="BF141" s="25">
        <v>0.38181818181818183</v>
      </c>
      <c r="BG141" s="25">
        <v>0.25454545454545452</v>
      </c>
      <c r="BH141" s="26">
        <v>0.92685340510010739</v>
      </c>
      <c r="BI141" s="26">
        <v>5.4452637549631309</v>
      </c>
      <c r="BJ141" s="26">
        <v>3.0454042081949058</v>
      </c>
      <c r="BK141" s="26">
        <v>3.5262206148282096</v>
      </c>
      <c r="BL141" s="26">
        <v>1.156445620052758</v>
      </c>
      <c r="BM141" s="26">
        <v>0.75075515411009119</v>
      </c>
      <c r="BN141" s="26">
        <v>4.6758104738154618</v>
      </c>
      <c r="BO141" s="27" t="s">
        <v>189</v>
      </c>
      <c r="BP141" s="28"/>
      <c r="BQ141" s="17" t="s">
        <v>254</v>
      </c>
      <c r="BR141" s="35">
        <v>270.64999999999998</v>
      </c>
      <c r="BS141" s="35">
        <v>342.05</v>
      </c>
      <c r="BT141" s="35">
        <v>71.400000000000006</v>
      </c>
      <c r="BU141" s="35">
        <f t="shared" si="86"/>
        <v>12.888095238095238</v>
      </c>
      <c r="BV141" s="35">
        <f t="shared" si="87"/>
        <v>16.288095238095238</v>
      </c>
      <c r="BW141" s="35">
        <f t="shared" si="88"/>
        <v>3.4000000000000004</v>
      </c>
      <c r="BX141" s="36">
        <f t="shared" si="89"/>
        <v>28.773421926910295</v>
      </c>
      <c r="BY141" s="36">
        <f t="shared" si="90"/>
        <v>36.364119601328902</v>
      </c>
      <c r="BZ141" s="36">
        <f t="shared" si="91"/>
        <v>7.590697674418605</v>
      </c>
      <c r="CA141" s="50">
        <v>15</v>
      </c>
      <c r="CB141" s="50">
        <v>6</v>
      </c>
    </row>
    <row r="142" spans="1:80" x14ac:dyDescent="0.4">
      <c r="A142" s="21" t="s">
        <v>231</v>
      </c>
      <c r="B142" s="37" t="s">
        <v>248</v>
      </c>
      <c r="C142" s="17" t="s">
        <v>83</v>
      </c>
      <c r="D142" s="16">
        <v>47</v>
      </c>
      <c r="E142" s="16">
        <v>20</v>
      </c>
      <c r="F142" s="16">
        <v>41</v>
      </c>
      <c r="G142" s="23">
        <v>58327</v>
      </c>
      <c r="H142" s="23">
        <v>337</v>
      </c>
      <c r="I142" s="24">
        <f t="shared" si="65"/>
        <v>7.1702127659574471</v>
      </c>
      <c r="J142" s="22">
        <v>122</v>
      </c>
      <c r="K142" s="22">
        <v>233</v>
      </c>
      <c r="L142" s="24">
        <f t="shared" si="82"/>
        <v>2.5957446808510638</v>
      </c>
      <c r="M142" s="24">
        <f t="shared" si="83"/>
        <v>4.957446808510638</v>
      </c>
      <c r="N142" s="25">
        <f t="shared" si="84"/>
        <v>0.52360515021459231</v>
      </c>
      <c r="O142" s="23">
        <v>112</v>
      </c>
      <c r="P142" s="22">
        <v>199</v>
      </c>
      <c r="Q142" s="24">
        <f t="shared" si="66"/>
        <v>2.3829787234042552</v>
      </c>
      <c r="R142" s="24">
        <f t="shared" si="67"/>
        <v>4.2340425531914896</v>
      </c>
      <c r="S142" s="25">
        <f t="shared" si="68"/>
        <v>0.56281407035175879</v>
      </c>
      <c r="T142" s="22">
        <v>10</v>
      </c>
      <c r="U142" s="22">
        <v>34</v>
      </c>
      <c r="V142" s="24">
        <f t="shared" si="69"/>
        <v>0.21276595744680851</v>
      </c>
      <c r="W142" s="24">
        <f t="shared" si="70"/>
        <v>0.72340425531914898</v>
      </c>
      <c r="X142" s="25">
        <f t="shared" si="71"/>
        <v>0.29411764705882354</v>
      </c>
      <c r="Y142" s="15">
        <v>83</v>
      </c>
      <c r="Z142" s="15">
        <v>107</v>
      </c>
      <c r="AA142" s="24">
        <f t="shared" si="72"/>
        <v>1.7659574468085106</v>
      </c>
      <c r="AB142" s="24">
        <f t="shared" si="73"/>
        <v>2.2765957446808511</v>
      </c>
      <c r="AC142" s="25">
        <f t="shared" si="74"/>
        <v>0.77570093457943923</v>
      </c>
      <c r="AD142" s="22">
        <v>173</v>
      </c>
      <c r="AE142" s="24">
        <f t="shared" si="75"/>
        <v>3.6808510638297873</v>
      </c>
      <c r="AF142" s="22">
        <v>73</v>
      </c>
      <c r="AG142" s="24">
        <f t="shared" si="76"/>
        <v>1.553191489361702</v>
      </c>
      <c r="AH142" s="22">
        <v>100</v>
      </c>
      <c r="AI142" s="24">
        <f t="shared" si="77"/>
        <v>2.1276595744680851</v>
      </c>
      <c r="AJ142" s="22">
        <v>143</v>
      </c>
      <c r="AK142" s="24">
        <f t="shared" si="78"/>
        <v>3.0425531914893615</v>
      </c>
      <c r="AL142" s="13">
        <v>15</v>
      </c>
      <c r="AM142" s="24">
        <f t="shared" si="79"/>
        <v>0.31914893617021278</v>
      </c>
      <c r="AN142" s="8">
        <v>6</v>
      </c>
      <c r="AO142" s="24">
        <f t="shared" si="80"/>
        <v>0.1276595744680851</v>
      </c>
      <c r="AP142" s="22">
        <v>37</v>
      </c>
      <c r="AQ142" s="24">
        <f t="shared" si="85"/>
        <v>0.78723404255319152</v>
      </c>
      <c r="AR142" s="22">
        <v>63</v>
      </c>
      <c r="AS142" s="24">
        <f t="shared" si="81"/>
        <v>1.3404255319148937</v>
      </c>
      <c r="AT142" s="26">
        <v>3.2041568814025108</v>
      </c>
      <c r="AU142" s="26">
        <v>0.13184248316158942</v>
      </c>
      <c r="AV142" s="26">
        <v>2.738444185665271</v>
      </c>
      <c r="AW142" s="26">
        <v>0.46571269573723983</v>
      </c>
      <c r="AX142" s="26">
        <v>130.2457225920565</v>
      </c>
      <c r="AY142" s="26">
        <v>112.44306311505436</v>
      </c>
      <c r="AZ142" s="26">
        <v>10.976933087067765</v>
      </c>
      <c r="BA142" s="26">
        <v>10.680851063829786</v>
      </c>
      <c r="BB142" s="26">
        <v>20.655956932466953</v>
      </c>
      <c r="BC142" s="25">
        <v>0.60161382462153679</v>
      </c>
      <c r="BD142" s="25">
        <v>0.54506437768240346</v>
      </c>
      <c r="BE142" s="26">
        <v>13.229390374938424</v>
      </c>
      <c r="BF142" s="25">
        <v>0.14592274678111589</v>
      </c>
      <c r="BG142" s="25">
        <v>0.45922746781115881</v>
      </c>
      <c r="BH142" s="26">
        <v>7.3262309594309958</v>
      </c>
      <c r="BI142" s="26">
        <v>10.035932821138351</v>
      </c>
      <c r="BJ142" s="26">
        <v>8.2978396838187329</v>
      </c>
      <c r="BK142" s="26">
        <v>18.145672954910751</v>
      </c>
      <c r="BL142" s="26">
        <v>0.83923697020754795</v>
      </c>
      <c r="BM142" s="26">
        <v>0.48774886623792185</v>
      </c>
      <c r="BN142" s="26">
        <v>11.668979437365966</v>
      </c>
      <c r="BO142" s="27" t="s">
        <v>189</v>
      </c>
      <c r="BP142" s="28"/>
      <c r="BQ142" s="17" t="s">
        <v>253</v>
      </c>
      <c r="BR142" s="35">
        <v>843.17</v>
      </c>
      <c r="BS142" s="35">
        <v>1026.47</v>
      </c>
      <c r="BT142" s="35">
        <v>183.3</v>
      </c>
      <c r="BU142" s="35">
        <f t="shared" si="86"/>
        <v>17.939787234042555</v>
      </c>
      <c r="BV142" s="35">
        <f t="shared" si="87"/>
        <v>21.839787234042554</v>
      </c>
      <c r="BW142" s="35">
        <f t="shared" si="88"/>
        <v>3.9000000000000004</v>
      </c>
      <c r="BX142" s="36">
        <f t="shared" si="89"/>
        <v>34.694189654876816</v>
      </c>
      <c r="BY142" s="36">
        <f t="shared" si="90"/>
        <v>42.236494247946922</v>
      </c>
      <c r="BZ142" s="36">
        <f t="shared" si="91"/>
        <v>7.5423045930701047</v>
      </c>
      <c r="CA142" s="50">
        <v>28</v>
      </c>
      <c r="CB142" s="50">
        <v>19</v>
      </c>
    </row>
    <row r="143" spans="1:80" x14ac:dyDescent="0.4">
      <c r="A143" s="21" t="s">
        <v>231</v>
      </c>
      <c r="B143" s="37" t="s">
        <v>248</v>
      </c>
      <c r="C143" s="49" t="s">
        <v>293</v>
      </c>
      <c r="D143" s="16">
        <v>31</v>
      </c>
      <c r="E143" s="16">
        <v>9</v>
      </c>
      <c r="F143" s="16">
        <v>15</v>
      </c>
      <c r="G143" s="23">
        <v>17205</v>
      </c>
      <c r="H143" s="23">
        <v>115</v>
      </c>
      <c r="I143" s="24">
        <f t="shared" si="65"/>
        <v>3.7096774193548385</v>
      </c>
      <c r="J143" s="22">
        <v>47</v>
      </c>
      <c r="K143" s="22">
        <v>99</v>
      </c>
      <c r="L143" s="24">
        <f t="shared" si="82"/>
        <v>1.5161290322580645</v>
      </c>
      <c r="M143" s="24">
        <f t="shared" si="83"/>
        <v>3.193548387096774</v>
      </c>
      <c r="N143" s="25">
        <f t="shared" si="84"/>
        <v>0.47474747474747475</v>
      </c>
      <c r="O143" s="23">
        <v>45</v>
      </c>
      <c r="P143" s="22">
        <v>90</v>
      </c>
      <c r="Q143" s="24">
        <f t="shared" si="66"/>
        <v>1.4516129032258065</v>
      </c>
      <c r="R143" s="24">
        <f t="shared" si="67"/>
        <v>2.903225806451613</v>
      </c>
      <c r="S143" s="25">
        <f t="shared" si="68"/>
        <v>0.5</v>
      </c>
      <c r="T143" s="22">
        <v>2</v>
      </c>
      <c r="U143" s="22">
        <v>9</v>
      </c>
      <c r="V143" s="24">
        <f t="shared" si="69"/>
        <v>6.4516129032258063E-2</v>
      </c>
      <c r="W143" s="24">
        <f t="shared" si="70"/>
        <v>0.29032258064516131</v>
      </c>
      <c r="X143" s="25">
        <f t="shared" si="71"/>
        <v>0.22222222222222221</v>
      </c>
      <c r="Y143" s="15">
        <v>19</v>
      </c>
      <c r="Z143" s="15">
        <v>27</v>
      </c>
      <c r="AA143" s="24">
        <f t="shared" si="72"/>
        <v>0.61290322580645162</v>
      </c>
      <c r="AB143" s="24">
        <f t="shared" si="73"/>
        <v>0.87096774193548387</v>
      </c>
      <c r="AC143" s="25">
        <f t="shared" si="74"/>
        <v>0.70370370370370372</v>
      </c>
      <c r="AD143" s="22">
        <v>116</v>
      </c>
      <c r="AE143" s="24">
        <f t="shared" si="75"/>
        <v>3.7419354838709675</v>
      </c>
      <c r="AF143" s="22">
        <v>36</v>
      </c>
      <c r="AG143" s="24">
        <f t="shared" si="76"/>
        <v>1.1612903225806452</v>
      </c>
      <c r="AH143" s="22">
        <v>80</v>
      </c>
      <c r="AI143" s="24">
        <f t="shared" si="77"/>
        <v>2.5806451612903225</v>
      </c>
      <c r="AJ143" s="22">
        <v>9</v>
      </c>
      <c r="AK143" s="24">
        <f t="shared" si="78"/>
        <v>0.29032258064516131</v>
      </c>
      <c r="AL143" s="13">
        <v>4</v>
      </c>
      <c r="AM143" s="24">
        <f t="shared" si="79"/>
        <v>0.12903225806451613</v>
      </c>
      <c r="AN143" s="12">
        <v>9</v>
      </c>
      <c r="AO143" s="24">
        <f t="shared" si="80"/>
        <v>0.29032258064516131</v>
      </c>
      <c r="AP143" s="22">
        <v>18</v>
      </c>
      <c r="AQ143" s="24">
        <f t="shared" si="85"/>
        <v>0.58064516129032262</v>
      </c>
      <c r="AR143" s="22">
        <v>41</v>
      </c>
      <c r="AS143" s="24">
        <f t="shared" si="81"/>
        <v>1.3225806451612903</v>
      </c>
      <c r="AT143" s="26">
        <v>0.54485602516110454</v>
      </c>
      <c r="AU143" s="26">
        <v>7.6004327834155824E-2</v>
      </c>
      <c r="AV143" s="26">
        <v>0.14990220727593517</v>
      </c>
      <c r="AW143" s="26">
        <v>0.39495381788516942</v>
      </c>
      <c r="AX143" s="26">
        <v>104.08029750814391</v>
      </c>
      <c r="AY143" s="26">
        <v>104.20729003603735</v>
      </c>
      <c r="AZ143" s="26">
        <v>6.1702595986812012</v>
      </c>
      <c r="BA143" s="26">
        <v>5.645161290322581</v>
      </c>
      <c r="BB143" s="26">
        <v>24.411508282476024</v>
      </c>
      <c r="BC143" s="25">
        <v>0.51857864357864358</v>
      </c>
      <c r="BD143" s="25">
        <v>0.48484848484848486</v>
      </c>
      <c r="BE143" s="26">
        <v>12.023621826866563</v>
      </c>
      <c r="BF143" s="25">
        <v>9.0909090909090912E-2</v>
      </c>
      <c r="BG143" s="25">
        <v>0.27272727272727271</v>
      </c>
      <c r="BH143" s="26">
        <v>8.0786546795887748</v>
      </c>
      <c r="BI143" s="26">
        <v>17.95256595464172</v>
      </c>
      <c r="BJ143" s="26">
        <v>12.441012441012441</v>
      </c>
      <c r="BK143" s="26">
        <v>2.5</v>
      </c>
      <c r="BL143" s="26">
        <v>0.75869688673905877</v>
      </c>
      <c r="BM143" s="26">
        <v>1.6359360621655703</v>
      </c>
      <c r="BN143" s="26">
        <v>13.966480446927374</v>
      </c>
      <c r="BO143" s="27" t="s">
        <v>232</v>
      </c>
      <c r="BP143" s="28"/>
      <c r="BQ143" s="17" t="s">
        <v>253</v>
      </c>
      <c r="BR143" s="35">
        <v>262.52</v>
      </c>
      <c r="BS143" s="35">
        <v>347.22</v>
      </c>
      <c r="BT143" s="35">
        <v>84.7</v>
      </c>
      <c r="BU143" s="35">
        <f t="shared" si="86"/>
        <v>8.4683870967741939</v>
      </c>
      <c r="BV143" s="35">
        <f t="shared" si="87"/>
        <v>11.200645161290323</v>
      </c>
      <c r="BW143" s="35">
        <f t="shared" si="88"/>
        <v>2.7322580645161292</v>
      </c>
      <c r="BX143" s="36">
        <f t="shared" si="89"/>
        <v>36.620052310374895</v>
      </c>
      <c r="BY143" s="36">
        <f t="shared" si="90"/>
        <v>48.435222319093292</v>
      </c>
      <c r="BZ143" s="36">
        <f t="shared" si="91"/>
        <v>11.815170008718395</v>
      </c>
      <c r="CA143" s="48">
        <v>18</v>
      </c>
      <c r="CB143" s="48">
        <v>13</v>
      </c>
    </row>
    <row r="144" spans="1:80" x14ac:dyDescent="0.4">
      <c r="A144" s="21" t="s">
        <v>231</v>
      </c>
      <c r="B144" s="37" t="s">
        <v>196</v>
      </c>
      <c r="C144" s="17" t="s">
        <v>98</v>
      </c>
      <c r="D144" s="22">
        <v>40</v>
      </c>
      <c r="E144" s="22">
        <v>27</v>
      </c>
      <c r="F144" s="22">
        <v>24</v>
      </c>
      <c r="G144" s="23">
        <v>65760</v>
      </c>
      <c r="H144" s="23">
        <v>418</v>
      </c>
      <c r="I144" s="24">
        <f t="shared" si="65"/>
        <v>10.45</v>
      </c>
      <c r="J144" s="22">
        <v>167</v>
      </c>
      <c r="K144" s="22">
        <v>382</v>
      </c>
      <c r="L144" s="24">
        <f t="shared" si="82"/>
        <v>4.1749999999999998</v>
      </c>
      <c r="M144" s="24">
        <f t="shared" si="83"/>
        <v>9.5500000000000007</v>
      </c>
      <c r="N144" s="25">
        <f t="shared" si="84"/>
        <v>0.43717277486910994</v>
      </c>
      <c r="O144" s="23">
        <v>127</v>
      </c>
      <c r="P144" s="22">
        <v>259</v>
      </c>
      <c r="Q144" s="24">
        <f t="shared" si="66"/>
        <v>3.1749999999999998</v>
      </c>
      <c r="R144" s="24">
        <f t="shared" si="67"/>
        <v>6.4749999999999996</v>
      </c>
      <c r="S144" s="25">
        <f t="shared" si="68"/>
        <v>0.49034749034749037</v>
      </c>
      <c r="T144" s="22">
        <v>40</v>
      </c>
      <c r="U144" s="22">
        <v>123</v>
      </c>
      <c r="V144" s="24">
        <f t="shared" si="69"/>
        <v>1</v>
      </c>
      <c r="W144" s="24">
        <f t="shared" si="70"/>
        <v>3.0750000000000002</v>
      </c>
      <c r="X144" s="25">
        <f t="shared" si="71"/>
        <v>0.32520325203252032</v>
      </c>
      <c r="Y144" s="22">
        <v>44</v>
      </c>
      <c r="Z144" s="22">
        <v>56</v>
      </c>
      <c r="AA144" s="24">
        <f t="shared" si="72"/>
        <v>1.1000000000000001</v>
      </c>
      <c r="AB144" s="24">
        <f t="shared" si="73"/>
        <v>1.4</v>
      </c>
      <c r="AC144" s="25">
        <f t="shared" si="74"/>
        <v>0.7857142857142857</v>
      </c>
      <c r="AD144" s="22">
        <v>202</v>
      </c>
      <c r="AE144" s="24">
        <f t="shared" si="75"/>
        <v>5.05</v>
      </c>
      <c r="AF144" s="22">
        <v>57</v>
      </c>
      <c r="AG144" s="24">
        <f t="shared" si="76"/>
        <v>1.425</v>
      </c>
      <c r="AH144" s="22">
        <v>145</v>
      </c>
      <c r="AI144" s="24">
        <f t="shared" si="77"/>
        <v>3.625</v>
      </c>
      <c r="AJ144" s="22">
        <v>94</v>
      </c>
      <c r="AK144" s="24">
        <f t="shared" si="78"/>
        <v>2.35</v>
      </c>
      <c r="AL144" s="22">
        <v>27</v>
      </c>
      <c r="AM144" s="24">
        <f t="shared" si="79"/>
        <v>0.67500000000000004</v>
      </c>
      <c r="AN144" s="10">
        <v>15</v>
      </c>
      <c r="AO144" s="24">
        <f t="shared" si="80"/>
        <v>0.375</v>
      </c>
      <c r="AP144" s="22">
        <v>66</v>
      </c>
      <c r="AQ144" s="24">
        <f t="shared" si="85"/>
        <v>1.65</v>
      </c>
      <c r="AR144" s="22">
        <v>60</v>
      </c>
      <c r="AS144" s="24">
        <f t="shared" si="81"/>
        <v>1.5</v>
      </c>
      <c r="AT144" s="26">
        <v>0.87744057413169729</v>
      </c>
      <c r="AU144" s="26">
        <v>3.2023378617945158E-2</v>
      </c>
      <c r="AV144" s="26">
        <v>0.30736720946764789</v>
      </c>
      <c r="AW144" s="26">
        <v>0.57007336466404934</v>
      </c>
      <c r="AX144" s="26">
        <v>101.72483983723868</v>
      </c>
      <c r="AY144" s="26">
        <v>112.71294966117114</v>
      </c>
      <c r="AZ144" s="26">
        <v>8.4829874606783395</v>
      </c>
      <c r="BA144" s="26">
        <v>11.574999999999999</v>
      </c>
      <c r="BB144" s="26">
        <v>16.897810218978101</v>
      </c>
      <c r="BC144" s="25">
        <v>0.51396812905764311</v>
      </c>
      <c r="BD144" s="25">
        <v>0.48952879581151831</v>
      </c>
      <c r="BE144" s="26">
        <v>14.885774108125949</v>
      </c>
      <c r="BF144" s="25">
        <v>0.3219895287958115</v>
      </c>
      <c r="BG144" s="25">
        <v>0.14659685863874344</v>
      </c>
      <c r="BH144" s="26">
        <v>4.3181981749930864</v>
      </c>
      <c r="BI144" s="26">
        <v>10.98489009428066</v>
      </c>
      <c r="BJ144" s="26">
        <v>7.3137527517089564</v>
      </c>
      <c r="BK144" s="26">
        <v>9.0506450991719607</v>
      </c>
      <c r="BL144" s="26">
        <v>1.3398770463858298</v>
      </c>
      <c r="BM144" s="26">
        <v>0.92046280870021446</v>
      </c>
      <c r="BN144" s="26">
        <v>13.964116452268112</v>
      </c>
      <c r="BO144" s="27" t="s">
        <v>189</v>
      </c>
      <c r="BP144" s="28"/>
      <c r="BQ144" s="17" t="s">
        <v>254</v>
      </c>
      <c r="BR144" s="35">
        <v>791.75</v>
      </c>
      <c r="BS144" s="35">
        <v>1107.05</v>
      </c>
      <c r="BT144" s="35">
        <v>315.3</v>
      </c>
      <c r="BU144" s="35">
        <f t="shared" si="86"/>
        <v>19.793749999999999</v>
      </c>
      <c r="BV144" s="35">
        <f t="shared" si="87"/>
        <v>27.67625</v>
      </c>
      <c r="BW144" s="35">
        <f t="shared" si="88"/>
        <v>7.8825000000000003</v>
      </c>
      <c r="BX144" s="36">
        <f t="shared" si="89"/>
        <v>28.895985401459853</v>
      </c>
      <c r="BY144" s="36">
        <f t="shared" si="90"/>
        <v>40.403284671532845</v>
      </c>
      <c r="BZ144" s="36">
        <f t="shared" si="91"/>
        <v>11.507299270072993</v>
      </c>
      <c r="CA144" s="50">
        <v>19</v>
      </c>
      <c r="CB144" s="50">
        <v>21</v>
      </c>
    </row>
    <row r="145" spans="1:80" x14ac:dyDescent="0.4">
      <c r="A145" s="21" t="s">
        <v>231</v>
      </c>
      <c r="B145" s="17" t="s">
        <v>196</v>
      </c>
      <c r="C145" s="17" t="s">
        <v>96</v>
      </c>
      <c r="D145" s="22">
        <v>49</v>
      </c>
      <c r="E145" s="22">
        <v>23</v>
      </c>
      <c r="F145" s="22">
        <v>47</v>
      </c>
      <c r="G145" s="23">
        <v>69923</v>
      </c>
      <c r="H145" s="23">
        <v>541</v>
      </c>
      <c r="I145" s="24">
        <f t="shared" si="65"/>
        <v>11.040816326530612</v>
      </c>
      <c r="J145" s="22">
        <v>230</v>
      </c>
      <c r="K145" s="22">
        <v>420</v>
      </c>
      <c r="L145" s="24">
        <f t="shared" si="82"/>
        <v>4.6938775510204085</v>
      </c>
      <c r="M145" s="24">
        <f t="shared" si="83"/>
        <v>8.5714285714285712</v>
      </c>
      <c r="N145" s="25">
        <f t="shared" si="84"/>
        <v>0.54761904761904767</v>
      </c>
      <c r="O145" s="23">
        <v>218</v>
      </c>
      <c r="P145" s="22">
        <v>378</v>
      </c>
      <c r="Q145" s="24">
        <f t="shared" si="66"/>
        <v>4.4489795918367347</v>
      </c>
      <c r="R145" s="24">
        <f t="shared" si="67"/>
        <v>7.7142857142857144</v>
      </c>
      <c r="S145" s="25">
        <f t="shared" si="68"/>
        <v>0.57671957671957674</v>
      </c>
      <c r="T145" s="22">
        <v>12</v>
      </c>
      <c r="U145" s="22">
        <v>42</v>
      </c>
      <c r="V145" s="24">
        <f t="shared" si="69"/>
        <v>0.24489795918367346</v>
      </c>
      <c r="W145" s="24">
        <f t="shared" si="70"/>
        <v>0.8571428571428571</v>
      </c>
      <c r="X145" s="25">
        <f t="shared" si="71"/>
        <v>0.2857142857142857</v>
      </c>
      <c r="Y145" s="22">
        <v>69</v>
      </c>
      <c r="Z145" s="22">
        <v>96</v>
      </c>
      <c r="AA145" s="24">
        <f t="shared" si="72"/>
        <v>1.4081632653061225</v>
      </c>
      <c r="AB145" s="24">
        <f t="shared" si="73"/>
        <v>1.9591836734693877</v>
      </c>
      <c r="AC145" s="25">
        <f t="shared" si="74"/>
        <v>0.71875</v>
      </c>
      <c r="AD145" s="22">
        <v>276</v>
      </c>
      <c r="AE145" s="24">
        <f t="shared" si="75"/>
        <v>5.6326530612244898</v>
      </c>
      <c r="AF145" s="22">
        <v>76</v>
      </c>
      <c r="AG145" s="24">
        <f t="shared" si="76"/>
        <v>1.5510204081632653</v>
      </c>
      <c r="AH145" s="22">
        <v>200</v>
      </c>
      <c r="AI145" s="24">
        <f t="shared" si="77"/>
        <v>4.0816326530612246</v>
      </c>
      <c r="AJ145" s="22">
        <v>70</v>
      </c>
      <c r="AK145" s="24">
        <f t="shared" si="78"/>
        <v>1.4285714285714286</v>
      </c>
      <c r="AL145" s="22">
        <v>20</v>
      </c>
      <c r="AM145" s="24">
        <f t="shared" si="79"/>
        <v>0.40816326530612246</v>
      </c>
      <c r="AN145" s="10">
        <v>43</v>
      </c>
      <c r="AO145" s="24">
        <f t="shared" si="80"/>
        <v>0.87755102040816324</v>
      </c>
      <c r="AP145" s="22">
        <v>56</v>
      </c>
      <c r="AQ145" s="24">
        <f t="shared" si="85"/>
        <v>1.1428571428571428</v>
      </c>
      <c r="AR145" s="22">
        <v>128</v>
      </c>
      <c r="AS145" s="24">
        <f t="shared" si="81"/>
        <v>2.6122448979591835</v>
      </c>
      <c r="AT145" s="26">
        <v>3.0982832910550364</v>
      </c>
      <c r="AU145" s="26">
        <v>0.10634383391061721</v>
      </c>
      <c r="AV145" s="26">
        <v>2.1780321831698717</v>
      </c>
      <c r="AW145" s="26">
        <v>0.92025110788516462</v>
      </c>
      <c r="AX145" s="26">
        <v>114.07775641625217</v>
      </c>
      <c r="AY145" s="26">
        <v>110.57686752219411</v>
      </c>
      <c r="AZ145" s="26">
        <v>13.671338015940586</v>
      </c>
      <c r="BA145" s="26">
        <v>13.816326530612244</v>
      </c>
      <c r="BB145" s="26">
        <v>23.236989259614145</v>
      </c>
      <c r="BC145" s="25">
        <v>0.5851938386985116</v>
      </c>
      <c r="BD145" s="25">
        <v>0.56190476190476191</v>
      </c>
      <c r="BE145" s="26">
        <v>18.803977436968726</v>
      </c>
      <c r="BF145" s="25">
        <v>0.1</v>
      </c>
      <c r="BG145" s="25">
        <v>0.22857142857142856</v>
      </c>
      <c r="BH145" s="26">
        <v>6.6331397334161508</v>
      </c>
      <c r="BI145" s="26">
        <v>17.455630877410922</v>
      </c>
      <c r="BJ145" s="26">
        <v>11.512663930323356</v>
      </c>
      <c r="BK145" s="26">
        <v>8.573528210990446</v>
      </c>
      <c r="BL145" s="26">
        <v>0.93341103330417063</v>
      </c>
      <c r="BM145" s="26">
        <v>3.0399138926715983</v>
      </c>
      <c r="BN145" s="26">
        <v>10.80580426057425</v>
      </c>
      <c r="BO145" s="27" t="s">
        <v>189</v>
      </c>
      <c r="BP145" s="28"/>
      <c r="BQ145" s="17" t="s">
        <v>253</v>
      </c>
      <c r="BR145" s="35">
        <v>1027.77</v>
      </c>
      <c r="BS145" s="35">
        <v>1320.37</v>
      </c>
      <c r="BT145" s="35">
        <v>292.60000000000002</v>
      </c>
      <c r="BU145" s="35">
        <f t="shared" si="86"/>
        <v>20.974897959183672</v>
      </c>
      <c r="BV145" s="35">
        <f t="shared" si="87"/>
        <v>26.946326530612243</v>
      </c>
      <c r="BW145" s="35">
        <f t="shared" si="88"/>
        <v>5.9714285714285715</v>
      </c>
      <c r="BX145" s="36">
        <f t="shared" si="89"/>
        <v>35.276632867582904</v>
      </c>
      <c r="BY145" s="36">
        <f t="shared" si="90"/>
        <v>45.319680219670204</v>
      </c>
      <c r="BZ145" s="36">
        <f t="shared" si="91"/>
        <v>10.043047352087296</v>
      </c>
      <c r="CA145" s="48">
        <v>20</v>
      </c>
      <c r="CB145" s="48">
        <v>29</v>
      </c>
    </row>
    <row r="146" spans="1:80" x14ac:dyDescent="0.4">
      <c r="A146" s="21" t="s">
        <v>231</v>
      </c>
      <c r="B146" s="17" t="s">
        <v>196</v>
      </c>
      <c r="C146" s="17" t="s">
        <v>109</v>
      </c>
      <c r="D146" s="22">
        <v>45</v>
      </c>
      <c r="E146" s="22">
        <v>17</v>
      </c>
      <c r="F146" s="22">
        <v>27</v>
      </c>
      <c r="G146" s="23">
        <v>47115</v>
      </c>
      <c r="H146" s="23">
        <v>232</v>
      </c>
      <c r="I146" s="24">
        <f t="shared" si="65"/>
        <v>5.1555555555555559</v>
      </c>
      <c r="J146" s="22">
        <v>88</v>
      </c>
      <c r="K146" s="22">
        <v>216</v>
      </c>
      <c r="L146" s="24">
        <f t="shared" si="82"/>
        <v>1.9555555555555555</v>
      </c>
      <c r="M146" s="24">
        <f t="shared" si="83"/>
        <v>4.8</v>
      </c>
      <c r="N146" s="25">
        <f t="shared" si="84"/>
        <v>0.40740740740740738</v>
      </c>
      <c r="O146" s="23">
        <v>55</v>
      </c>
      <c r="P146" s="22">
        <v>110</v>
      </c>
      <c r="Q146" s="24">
        <f t="shared" si="66"/>
        <v>1.2222222222222223</v>
      </c>
      <c r="R146" s="24">
        <f t="shared" si="67"/>
        <v>2.4444444444444446</v>
      </c>
      <c r="S146" s="25">
        <f t="shared" si="68"/>
        <v>0.5</v>
      </c>
      <c r="T146" s="22">
        <v>33</v>
      </c>
      <c r="U146" s="22">
        <v>106</v>
      </c>
      <c r="V146" s="24">
        <f t="shared" si="69"/>
        <v>0.73333333333333328</v>
      </c>
      <c r="W146" s="24">
        <f t="shared" si="70"/>
        <v>2.3555555555555556</v>
      </c>
      <c r="X146" s="25">
        <f t="shared" si="71"/>
        <v>0.31132075471698112</v>
      </c>
      <c r="Y146" s="22">
        <v>23</v>
      </c>
      <c r="Z146" s="22">
        <v>26</v>
      </c>
      <c r="AA146" s="24">
        <f t="shared" si="72"/>
        <v>0.51111111111111107</v>
      </c>
      <c r="AB146" s="24">
        <f t="shared" si="73"/>
        <v>0.57777777777777772</v>
      </c>
      <c r="AC146" s="25">
        <f t="shared" si="74"/>
        <v>0.88461538461538458</v>
      </c>
      <c r="AD146" s="22">
        <v>85</v>
      </c>
      <c r="AE146" s="24">
        <f t="shared" si="75"/>
        <v>1.8888888888888888</v>
      </c>
      <c r="AF146" s="22">
        <v>22</v>
      </c>
      <c r="AG146" s="24">
        <f t="shared" si="76"/>
        <v>0.48888888888888887</v>
      </c>
      <c r="AH146" s="22">
        <v>63</v>
      </c>
      <c r="AI146" s="24">
        <f t="shared" si="77"/>
        <v>1.4</v>
      </c>
      <c r="AJ146" s="22">
        <v>72</v>
      </c>
      <c r="AK146" s="24">
        <f t="shared" si="78"/>
        <v>1.6</v>
      </c>
      <c r="AL146" s="22">
        <v>24</v>
      </c>
      <c r="AM146" s="24">
        <f t="shared" si="79"/>
        <v>0.53333333333333333</v>
      </c>
      <c r="AN146" s="10">
        <v>4</v>
      </c>
      <c r="AO146" s="24">
        <f t="shared" si="80"/>
        <v>8.8888888888888892E-2</v>
      </c>
      <c r="AP146" s="22">
        <v>49</v>
      </c>
      <c r="AQ146" s="24">
        <f t="shared" si="85"/>
        <v>1.0888888888888888</v>
      </c>
      <c r="AR146" s="22">
        <v>104</v>
      </c>
      <c r="AS146" s="24">
        <f t="shared" si="81"/>
        <v>2.3111111111111109</v>
      </c>
      <c r="AT146" s="26">
        <v>7.2435220256062471E-2</v>
      </c>
      <c r="AU146" s="26">
        <v>3.6897915444030552E-3</v>
      </c>
      <c r="AV146" s="26">
        <v>-0.15970542205613256</v>
      </c>
      <c r="AW146" s="26">
        <v>0.23214064231219503</v>
      </c>
      <c r="AX146" s="26">
        <v>97.599929518474966</v>
      </c>
      <c r="AY146" s="26">
        <v>114.49236336093465</v>
      </c>
      <c r="AZ146" s="26">
        <v>4.6990634754458336</v>
      </c>
      <c r="BA146" s="26">
        <v>5.2666666666666666</v>
      </c>
      <c r="BB146" s="26">
        <v>12.07258834765998</v>
      </c>
      <c r="BC146" s="25">
        <v>0.51002462187829756</v>
      </c>
      <c r="BD146" s="25">
        <v>0.48379629629629628</v>
      </c>
      <c r="BE146" s="26">
        <v>13.670895591032323</v>
      </c>
      <c r="BF146" s="25">
        <v>0.49074074074074076</v>
      </c>
      <c r="BG146" s="25">
        <v>0.12037037037037036</v>
      </c>
      <c r="BH146" s="26">
        <v>2.6170108680297921</v>
      </c>
      <c r="BI146" s="26">
        <v>7.494167485721678</v>
      </c>
      <c r="BJ146" s="26">
        <v>4.8324009642061219</v>
      </c>
      <c r="BK146" s="26">
        <v>10.591350397175638</v>
      </c>
      <c r="BL146" s="26">
        <v>1.662321545539065</v>
      </c>
      <c r="BM146" s="26">
        <v>0.38541632792184727</v>
      </c>
      <c r="BN146" s="26">
        <v>17.725365359571697</v>
      </c>
      <c r="BO146" s="27" t="s">
        <v>189</v>
      </c>
      <c r="BP146" s="28"/>
      <c r="BQ146" s="17" t="s">
        <v>254</v>
      </c>
      <c r="BR146" s="35">
        <v>472.77</v>
      </c>
      <c r="BS146" s="35">
        <v>669.37</v>
      </c>
      <c r="BT146" s="35">
        <v>196.6</v>
      </c>
      <c r="BU146" s="35">
        <f t="shared" si="86"/>
        <v>10.506</v>
      </c>
      <c r="BV146" s="35">
        <f t="shared" si="87"/>
        <v>14.874888888888888</v>
      </c>
      <c r="BW146" s="35">
        <f t="shared" si="88"/>
        <v>4.3688888888888888</v>
      </c>
      <c r="BX146" s="36">
        <f t="shared" si="89"/>
        <v>24.082521489971349</v>
      </c>
      <c r="BY146" s="36">
        <f t="shared" si="90"/>
        <v>34.097166507481695</v>
      </c>
      <c r="BZ146" s="36">
        <f t="shared" si="91"/>
        <v>10.014645017510347</v>
      </c>
      <c r="CA146" s="50">
        <v>18</v>
      </c>
      <c r="CB146" s="50">
        <v>27</v>
      </c>
    </row>
    <row r="147" spans="1:80" x14ac:dyDescent="0.4">
      <c r="A147" s="21" t="s">
        <v>231</v>
      </c>
      <c r="B147" s="17" t="s">
        <v>196</v>
      </c>
      <c r="C147" s="17" t="s">
        <v>106</v>
      </c>
      <c r="D147" s="22">
        <v>2</v>
      </c>
      <c r="E147" s="22">
        <v>2</v>
      </c>
      <c r="F147" s="22">
        <v>16</v>
      </c>
      <c r="G147" s="23">
        <v>272</v>
      </c>
      <c r="H147" s="23">
        <v>0</v>
      </c>
      <c r="I147" s="24">
        <f t="shared" si="65"/>
        <v>0</v>
      </c>
      <c r="J147" s="22">
        <v>0</v>
      </c>
      <c r="K147" s="22">
        <v>1</v>
      </c>
      <c r="L147" s="24">
        <f t="shared" si="82"/>
        <v>0</v>
      </c>
      <c r="M147" s="24">
        <f t="shared" si="83"/>
        <v>0.5</v>
      </c>
      <c r="N147" s="25">
        <f t="shared" si="84"/>
        <v>0</v>
      </c>
      <c r="O147" s="23">
        <v>0</v>
      </c>
      <c r="P147" s="22">
        <v>0</v>
      </c>
      <c r="Q147" s="24">
        <f t="shared" si="66"/>
        <v>0</v>
      </c>
      <c r="R147" s="24">
        <f t="shared" si="67"/>
        <v>0</v>
      </c>
      <c r="S147" s="25" t="e">
        <f t="shared" si="68"/>
        <v>#DIV/0!</v>
      </c>
      <c r="T147" s="22">
        <v>0</v>
      </c>
      <c r="U147" s="22">
        <v>1</v>
      </c>
      <c r="V147" s="24">
        <f t="shared" si="69"/>
        <v>0</v>
      </c>
      <c r="W147" s="24">
        <f t="shared" si="70"/>
        <v>0.5</v>
      </c>
      <c r="X147" s="25">
        <f t="shared" si="71"/>
        <v>0</v>
      </c>
      <c r="Y147" s="22">
        <v>0</v>
      </c>
      <c r="Z147" s="22">
        <v>0</v>
      </c>
      <c r="AA147" s="24">
        <f t="shared" si="72"/>
        <v>0</v>
      </c>
      <c r="AB147" s="24">
        <f t="shared" si="73"/>
        <v>0</v>
      </c>
      <c r="AC147" s="25" t="e">
        <f t="shared" si="74"/>
        <v>#DIV/0!</v>
      </c>
      <c r="AD147" s="22">
        <v>1</v>
      </c>
      <c r="AE147" s="24">
        <f t="shared" si="75"/>
        <v>0.5</v>
      </c>
      <c r="AF147" s="22">
        <v>0</v>
      </c>
      <c r="AG147" s="24">
        <f t="shared" si="76"/>
        <v>0</v>
      </c>
      <c r="AH147" s="22">
        <v>1</v>
      </c>
      <c r="AI147" s="24">
        <f t="shared" si="77"/>
        <v>0.5</v>
      </c>
      <c r="AJ147" s="22">
        <v>0</v>
      </c>
      <c r="AK147" s="24">
        <f t="shared" si="78"/>
        <v>0</v>
      </c>
      <c r="AL147" s="22">
        <v>0</v>
      </c>
      <c r="AM147" s="24">
        <f t="shared" si="79"/>
        <v>0</v>
      </c>
      <c r="AN147" s="10">
        <v>0</v>
      </c>
      <c r="AO147" s="24">
        <f t="shared" si="80"/>
        <v>0</v>
      </c>
      <c r="AP147" s="22">
        <v>0</v>
      </c>
      <c r="AQ147" s="24">
        <f t="shared" si="85"/>
        <v>0</v>
      </c>
      <c r="AR147" s="22">
        <v>0</v>
      </c>
      <c r="AS147" s="24">
        <f t="shared" si="81"/>
        <v>0</v>
      </c>
      <c r="AT147" s="26">
        <v>-2.1717164707392333E-2</v>
      </c>
      <c r="AU147" s="26">
        <v>-0.19162204153581469</v>
      </c>
      <c r="AV147" s="26">
        <v>-2.4075321328051704E-2</v>
      </c>
      <c r="AW147" s="26">
        <v>2.35815662065937E-3</v>
      </c>
      <c r="AX147" s="26">
        <v>0</v>
      </c>
      <c r="AY147" s="26">
        <v>112.71261935025829</v>
      </c>
      <c r="AZ147" s="26">
        <v>-0.17406235405225973</v>
      </c>
      <c r="BA147" s="26">
        <v>0</v>
      </c>
      <c r="BB147" s="26">
        <v>0</v>
      </c>
      <c r="BC147" s="25">
        <v>0</v>
      </c>
      <c r="BD147" s="25">
        <v>0</v>
      </c>
      <c r="BE147" s="26">
        <v>0.38071839022112131</v>
      </c>
      <c r="BF147" s="25">
        <v>1</v>
      </c>
      <c r="BG147" s="25">
        <v>0</v>
      </c>
      <c r="BH147" s="26">
        <v>0</v>
      </c>
      <c r="BI147" s="26">
        <v>0.91577886992887447</v>
      </c>
      <c r="BJ147" s="26">
        <v>0.4376750700280112</v>
      </c>
      <c r="BK147" s="26">
        <v>0</v>
      </c>
      <c r="BL147" s="26">
        <v>0</v>
      </c>
      <c r="BM147" s="26">
        <v>0</v>
      </c>
      <c r="BN147" s="26">
        <v>0</v>
      </c>
      <c r="BO147" s="27" t="s">
        <v>189</v>
      </c>
      <c r="BP147" s="27"/>
      <c r="BQ147" s="17" t="s">
        <v>255</v>
      </c>
      <c r="BR147" s="35">
        <v>1.23</v>
      </c>
      <c r="BS147" s="35">
        <v>2.13</v>
      </c>
      <c r="BT147" s="35">
        <v>0.9</v>
      </c>
      <c r="BU147" s="35">
        <f t="shared" si="86"/>
        <v>0.61499999999999999</v>
      </c>
      <c r="BV147" s="35">
        <f t="shared" si="87"/>
        <v>1.0649999999999999</v>
      </c>
      <c r="BW147" s="35">
        <f t="shared" si="88"/>
        <v>0.45</v>
      </c>
      <c r="BX147" s="36">
        <f t="shared" si="89"/>
        <v>10.852941176470587</v>
      </c>
      <c r="BY147" s="36">
        <f t="shared" si="90"/>
        <v>18.794117647058822</v>
      </c>
      <c r="BZ147" s="36">
        <f t="shared" si="91"/>
        <v>7.9411764705882355</v>
      </c>
      <c r="CA147" s="48">
        <v>1</v>
      </c>
      <c r="CB147" s="48">
        <v>1</v>
      </c>
    </row>
    <row r="148" spans="1:80" x14ac:dyDescent="0.4">
      <c r="A148" s="21" t="s">
        <v>231</v>
      </c>
      <c r="B148" s="17" t="s">
        <v>196</v>
      </c>
      <c r="C148" s="17" t="s">
        <v>104</v>
      </c>
      <c r="D148" s="22">
        <v>25</v>
      </c>
      <c r="E148" s="22">
        <v>24</v>
      </c>
      <c r="F148" s="22">
        <v>8</v>
      </c>
      <c r="G148" s="23">
        <v>36200</v>
      </c>
      <c r="H148" s="23">
        <v>365</v>
      </c>
      <c r="I148" s="24">
        <f t="shared" si="65"/>
        <v>14.6</v>
      </c>
      <c r="J148" s="22">
        <v>120</v>
      </c>
      <c r="K148" s="22">
        <v>295</v>
      </c>
      <c r="L148" s="24">
        <f t="shared" si="82"/>
        <v>4.8</v>
      </c>
      <c r="M148" s="24">
        <f t="shared" si="83"/>
        <v>11.8</v>
      </c>
      <c r="N148" s="25">
        <f t="shared" si="84"/>
        <v>0.40677966101694918</v>
      </c>
      <c r="O148" s="23">
        <v>57</v>
      </c>
      <c r="P148" s="22">
        <v>125</v>
      </c>
      <c r="Q148" s="24">
        <f t="shared" si="66"/>
        <v>2.2799999999999998</v>
      </c>
      <c r="R148" s="24">
        <f t="shared" si="67"/>
        <v>5</v>
      </c>
      <c r="S148" s="25">
        <f t="shared" si="68"/>
        <v>0.45600000000000002</v>
      </c>
      <c r="T148" s="22">
        <v>63</v>
      </c>
      <c r="U148" s="22">
        <v>170</v>
      </c>
      <c r="V148" s="24">
        <f t="shared" si="69"/>
        <v>2.52</v>
      </c>
      <c r="W148" s="24">
        <f t="shared" si="70"/>
        <v>6.8</v>
      </c>
      <c r="X148" s="25">
        <f t="shared" si="71"/>
        <v>0.37058823529411766</v>
      </c>
      <c r="Y148" s="22">
        <v>62</v>
      </c>
      <c r="Z148" s="22">
        <v>70</v>
      </c>
      <c r="AA148" s="24">
        <f t="shared" si="72"/>
        <v>2.48</v>
      </c>
      <c r="AB148" s="24">
        <f t="shared" si="73"/>
        <v>2.8</v>
      </c>
      <c r="AC148" s="25">
        <f t="shared" si="74"/>
        <v>0.88571428571428568</v>
      </c>
      <c r="AD148" s="22">
        <v>52</v>
      </c>
      <c r="AE148" s="24">
        <f t="shared" si="75"/>
        <v>2.08</v>
      </c>
      <c r="AF148" s="22">
        <v>12</v>
      </c>
      <c r="AG148" s="24">
        <f t="shared" si="76"/>
        <v>0.48</v>
      </c>
      <c r="AH148" s="22">
        <v>40</v>
      </c>
      <c r="AI148" s="24">
        <f t="shared" si="77"/>
        <v>1.6</v>
      </c>
      <c r="AJ148" s="22">
        <v>68</v>
      </c>
      <c r="AK148" s="24">
        <f t="shared" si="78"/>
        <v>2.72</v>
      </c>
      <c r="AL148" s="22">
        <v>25</v>
      </c>
      <c r="AM148" s="24">
        <f t="shared" si="79"/>
        <v>1</v>
      </c>
      <c r="AN148" s="10">
        <v>2</v>
      </c>
      <c r="AO148" s="24">
        <f t="shared" si="80"/>
        <v>0.08</v>
      </c>
      <c r="AP148" s="22">
        <v>45</v>
      </c>
      <c r="AQ148" s="24">
        <f t="shared" si="85"/>
        <v>1.8</v>
      </c>
      <c r="AR148" s="22">
        <v>57</v>
      </c>
      <c r="AS148" s="24">
        <f t="shared" si="81"/>
        <v>2.2799999999999998</v>
      </c>
      <c r="AT148" s="26">
        <v>1.1997688554338244</v>
      </c>
      <c r="AU148" s="26">
        <v>7.9542686548098859E-2</v>
      </c>
      <c r="AV148" s="26">
        <v>0.9815346077004401</v>
      </c>
      <c r="AW148" s="26">
        <v>0.21823424773338435</v>
      </c>
      <c r="AX148" s="26">
        <v>108.84719147220268</v>
      </c>
      <c r="AY148" s="26">
        <v>113.96857507155291</v>
      </c>
      <c r="AZ148" s="26">
        <v>6.6113044288738436</v>
      </c>
      <c r="BA148" s="26">
        <v>11.36</v>
      </c>
      <c r="BB148" s="26">
        <v>18.828729281767956</v>
      </c>
      <c r="BC148" s="25">
        <v>0.56015960712093305</v>
      </c>
      <c r="BD148" s="25">
        <v>0.51355932203389831</v>
      </c>
      <c r="BE148" s="26">
        <v>13.259096378993702</v>
      </c>
      <c r="BF148" s="25">
        <v>0.57627118644067798</v>
      </c>
      <c r="BG148" s="25">
        <v>0.23728813559322035</v>
      </c>
      <c r="BH148" s="26">
        <v>1.0321485605828198</v>
      </c>
      <c r="BI148" s="26">
        <v>3.4404952019427331</v>
      </c>
      <c r="BJ148" s="26">
        <v>2.1375953696395684</v>
      </c>
      <c r="BK148" s="26">
        <v>7.219705549263872</v>
      </c>
      <c r="BL148" s="26">
        <v>2.2536912873524702</v>
      </c>
      <c r="BM148" s="26">
        <v>0.1393407787756126</v>
      </c>
      <c r="BN148" s="26">
        <v>12.135922330097086</v>
      </c>
      <c r="BO148" s="27" t="s">
        <v>189</v>
      </c>
      <c r="BP148" s="28"/>
      <c r="BQ148" s="17" t="s">
        <v>253</v>
      </c>
      <c r="BR148" s="35">
        <v>469.11</v>
      </c>
      <c r="BS148" s="35">
        <v>707.31</v>
      </c>
      <c r="BT148" s="35">
        <v>238.2</v>
      </c>
      <c r="BU148" s="35">
        <f t="shared" si="86"/>
        <v>18.764399999999998</v>
      </c>
      <c r="BV148" s="35">
        <f t="shared" si="87"/>
        <v>28.292399999999997</v>
      </c>
      <c r="BW148" s="35">
        <f t="shared" si="88"/>
        <v>9.5279999999999987</v>
      </c>
      <c r="BX148" s="36">
        <f t="shared" si="89"/>
        <v>31.101215469613255</v>
      </c>
      <c r="BY148" s="36">
        <f t="shared" si="90"/>
        <v>46.893480662983421</v>
      </c>
      <c r="BZ148" s="36">
        <f t="shared" si="91"/>
        <v>15.792265193370167</v>
      </c>
      <c r="CA148" s="50">
        <v>10</v>
      </c>
      <c r="CB148" s="50">
        <v>15</v>
      </c>
    </row>
    <row r="149" spans="1:80" x14ac:dyDescent="0.4">
      <c r="A149" s="21" t="s">
        <v>231</v>
      </c>
      <c r="B149" s="51" t="s">
        <v>196</v>
      </c>
      <c r="C149" s="51" t="s">
        <v>272</v>
      </c>
      <c r="D149" s="22">
        <v>29</v>
      </c>
      <c r="E149" s="22">
        <v>20</v>
      </c>
      <c r="F149" s="22">
        <v>37</v>
      </c>
      <c r="G149" s="23">
        <v>35873</v>
      </c>
      <c r="H149" s="23">
        <v>424</v>
      </c>
      <c r="I149" s="24">
        <f t="shared" si="65"/>
        <v>14.620689655172415</v>
      </c>
      <c r="J149" s="22">
        <v>177</v>
      </c>
      <c r="K149" s="22">
        <v>334</v>
      </c>
      <c r="L149" s="24">
        <f t="shared" si="82"/>
        <v>6.1034482758620694</v>
      </c>
      <c r="M149" s="24">
        <f t="shared" si="83"/>
        <v>11.517241379310345</v>
      </c>
      <c r="N149" s="25">
        <f t="shared" si="84"/>
        <v>0.52994011976047906</v>
      </c>
      <c r="O149" s="23">
        <v>172</v>
      </c>
      <c r="P149" s="22">
        <v>317</v>
      </c>
      <c r="Q149" s="24">
        <f t="shared" si="66"/>
        <v>5.931034482758621</v>
      </c>
      <c r="R149" s="24">
        <f t="shared" si="67"/>
        <v>10.931034482758621</v>
      </c>
      <c r="S149" s="25">
        <f t="shared" si="68"/>
        <v>0.54258675078864349</v>
      </c>
      <c r="T149" s="22">
        <v>5</v>
      </c>
      <c r="U149" s="22">
        <v>17</v>
      </c>
      <c r="V149" s="24">
        <f t="shared" si="69"/>
        <v>0.17241379310344829</v>
      </c>
      <c r="W149" s="24">
        <f t="shared" si="70"/>
        <v>0.58620689655172409</v>
      </c>
      <c r="X149" s="25">
        <f t="shared" si="71"/>
        <v>0.29411764705882354</v>
      </c>
      <c r="Y149" s="22">
        <v>65</v>
      </c>
      <c r="Z149" s="22">
        <v>101</v>
      </c>
      <c r="AA149" s="24">
        <f t="shared" si="72"/>
        <v>2.2413793103448274</v>
      </c>
      <c r="AB149" s="24">
        <f t="shared" si="73"/>
        <v>3.4827586206896552</v>
      </c>
      <c r="AC149" s="25">
        <f t="shared" si="74"/>
        <v>0.64356435643564358</v>
      </c>
      <c r="AD149" s="22">
        <v>186</v>
      </c>
      <c r="AE149" s="24">
        <f t="shared" si="75"/>
        <v>6.4137931034482758</v>
      </c>
      <c r="AF149" s="22">
        <v>48</v>
      </c>
      <c r="AG149" s="24">
        <f t="shared" si="76"/>
        <v>1.6551724137931034</v>
      </c>
      <c r="AH149" s="22">
        <v>138</v>
      </c>
      <c r="AI149" s="24">
        <f t="shared" si="77"/>
        <v>4.7586206896551726</v>
      </c>
      <c r="AJ149" s="22">
        <v>34</v>
      </c>
      <c r="AK149" s="24">
        <f t="shared" si="78"/>
        <v>1.1724137931034482</v>
      </c>
      <c r="AL149" s="22">
        <v>9</v>
      </c>
      <c r="AM149" s="24">
        <f t="shared" si="79"/>
        <v>0.31034482758620691</v>
      </c>
      <c r="AN149" s="41">
        <v>21</v>
      </c>
      <c r="AO149" s="24">
        <f t="shared" si="80"/>
        <v>0.72413793103448276</v>
      </c>
      <c r="AP149" s="22">
        <v>59</v>
      </c>
      <c r="AQ149" s="24">
        <f t="shared" si="85"/>
        <v>2.0344827586206895</v>
      </c>
      <c r="AR149" s="22">
        <v>49</v>
      </c>
      <c r="AS149" s="24">
        <f t="shared" si="81"/>
        <v>1.6896551724137931</v>
      </c>
      <c r="AT149" s="26">
        <v>0.98010572497544834</v>
      </c>
      <c r="AU149" s="26">
        <v>6.5571704065483127E-2</v>
      </c>
      <c r="AV149" s="26">
        <v>0.34560966348926897</v>
      </c>
      <c r="AW149" s="26">
        <v>0.63449606148617943</v>
      </c>
      <c r="AX149" s="26">
        <v>102.34083490510399</v>
      </c>
      <c r="AY149" s="26">
        <v>108.42440619796531</v>
      </c>
      <c r="AZ149" s="26">
        <v>10.464991136175543</v>
      </c>
      <c r="BA149" s="26">
        <v>14.551724137931034</v>
      </c>
      <c r="BB149" s="26">
        <v>28.232932846430465</v>
      </c>
      <c r="BC149" s="25">
        <v>0.56019448261283167</v>
      </c>
      <c r="BD149" s="25">
        <v>0.53742514970059885</v>
      </c>
      <c r="BE149" s="26">
        <v>18.310135453591357</v>
      </c>
      <c r="BF149" s="25">
        <v>5.089820359281437E-2</v>
      </c>
      <c r="BG149" s="25">
        <v>0.30239520958083832</v>
      </c>
      <c r="BH149" s="26">
        <v>4.832824949794416</v>
      </c>
      <c r="BI149" s="26">
        <v>13.894371730658946</v>
      </c>
      <c r="BJ149" s="26">
        <v>8.9502251992146906</v>
      </c>
      <c r="BK149" s="26">
        <v>4.6566837107377648</v>
      </c>
      <c r="BL149" s="26">
        <v>0.8187245242042035</v>
      </c>
      <c r="BM149" s="26">
        <v>1.7126412291870765</v>
      </c>
      <c r="BN149" s="26">
        <v>13.487564008778346</v>
      </c>
      <c r="BO149" s="27" t="s">
        <v>232</v>
      </c>
      <c r="BP149" s="28"/>
      <c r="BQ149" s="17" t="s">
        <v>255</v>
      </c>
      <c r="BR149" s="35">
        <v>594.35</v>
      </c>
      <c r="BS149" s="35">
        <v>867.45</v>
      </c>
      <c r="BT149" s="35">
        <v>273.10000000000002</v>
      </c>
      <c r="BU149" s="35">
        <f t="shared" si="86"/>
        <v>20.494827586206895</v>
      </c>
      <c r="BV149" s="35">
        <f t="shared" si="87"/>
        <v>29.912068965517243</v>
      </c>
      <c r="BW149" s="35">
        <f t="shared" si="88"/>
        <v>9.4172413793103456</v>
      </c>
      <c r="BX149" s="36">
        <f t="shared" si="89"/>
        <v>39.763610514871914</v>
      </c>
      <c r="BY149" s="36">
        <f t="shared" si="90"/>
        <v>58.034733643687453</v>
      </c>
      <c r="BZ149" s="36">
        <f t="shared" si="91"/>
        <v>18.271123128815542</v>
      </c>
      <c r="CA149" s="48">
        <v>14</v>
      </c>
      <c r="CB149" s="48">
        <v>15</v>
      </c>
    </row>
    <row r="150" spans="1:80" x14ac:dyDescent="0.4">
      <c r="A150" s="21" t="s">
        <v>231</v>
      </c>
      <c r="B150" s="37" t="s">
        <v>196</v>
      </c>
      <c r="C150" s="37" t="s">
        <v>208</v>
      </c>
      <c r="D150" s="22">
        <v>12</v>
      </c>
      <c r="E150" s="22">
        <v>13</v>
      </c>
      <c r="F150" s="22">
        <v>57</v>
      </c>
      <c r="G150" s="23">
        <v>10044</v>
      </c>
      <c r="H150" s="23">
        <v>110</v>
      </c>
      <c r="I150" s="24">
        <f t="shared" si="65"/>
        <v>9.1666666666666661</v>
      </c>
      <c r="J150" s="22">
        <v>46</v>
      </c>
      <c r="K150" s="22">
        <v>90</v>
      </c>
      <c r="L150" s="24">
        <f t="shared" si="82"/>
        <v>3.8333333333333335</v>
      </c>
      <c r="M150" s="24">
        <f t="shared" si="83"/>
        <v>7.5</v>
      </c>
      <c r="N150" s="25">
        <f t="shared" si="84"/>
        <v>0.51111111111111107</v>
      </c>
      <c r="O150" s="23">
        <v>34</v>
      </c>
      <c r="P150" s="22">
        <v>51</v>
      </c>
      <c r="Q150" s="24">
        <f t="shared" si="66"/>
        <v>2.8333333333333335</v>
      </c>
      <c r="R150" s="24">
        <f t="shared" si="67"/>
        <v>4.25</v>
      </c>
      <c r="S150" s="25">
        <f t="shared" si="68"/>
        <v>0.66666666666666663</v>
      </c>
      <c r="T150" s="22">
        <v>12</v>
      </c>
      <c r="U150" s="22">
        <v>39</v>
      </c>
      <c r="V150" s="24">
        <f t="shared" si="69"/>
        <v>1</v>
      </c>
      <c r="W150" s="24">
        <f t="shared" si="70"/>
        <v>3.25</v>
      </c>
      <c r="X150" s="25">
        <f t="shared" si="71"/>
        <v>0.30769230769230771</v>
      </c>
      <c r="Y150" s="22">
        <v>6</v>
      </c>
      <c r="Z150" s="22">
        <v>9</v>
      </c>
      <c r="AA150" s="24">
        <f t="shared" si="72"/>
        <v>0.5</v>
      </c>
      <c r="AB150" s="24">
        <f t="shared" si="73"/>
        <v>0.75</v>
      </c>
      <c r="AC150" s="25">
        <f t="shared" si="74"/>
        <v>0.66666666666666663</v>
      </c>
      <c r="AD150" s="22">
        <v>49</v>
      </c>
      <c r="AE150" s="24">
        <f t="shared" si="75"/>
        <v>4.083333333333333</v>
      </c>
      <c r="AF150" s="22">
        <v>16</v>
      </c>
      <c r="AG150" s="24">
        <f t="shared" si="76"/>
        <v>1.3333333333333333</v>
      </c>
      <c r="AH150" s="22">
        <v>33</v>
      </c>
      <c r="AI150" s="24">
        <f t="shared" si="77"/>
        <v>2.75</v>
      </c>
      <c r="AJ150" s="22">
        <v>4</v>
      </c>
      <c r="AK150" s="24">
        <f t="shared" si="78"/>
        <v>0.33333333333333331</v>
      </c>
      <c r="AL150" s="22">
        <v>3</v>
      </c>
      <c r="AM150" s="24">
        <f t="shared" si="79"/>
        <v>0.25</v>
      </c>
      <c r="AN150" s="41">
        <v>1</v>
      </c>
      <c r="AO150" s="24">
        <f t="shared" si="80"/>
        <v>8.3333333333333329E-2</v>
      </c>
      <c r="AP150" s="22">
        <v>11</v>
      </c>
      <c r="AQ150" s="24">
        <f t="shared" si="85"/>
        <v>0.91666666666666663</v>
      </c>
      <c r="AR150" s="22">
        <v>23</v>
      </c>
      <c r="AS150" s="24">
        <f t="shared" si="81"/>
        <v>1.9166666666666667</v>
      </c>
      <c r="AT150" s="26">
        <v>0.35528582904649503</v>
      </c>
      <c r="AU150" s="26">
        <v>8.4895060704060929E-2</v>
      </c>
      <c r="AV150" s="26">
        <v>0.22968321988055934</v>
      </c>
      <c r="AW150" s="26">
        <v>0.12560260916593569</v>
      </c>
      <c r="AX150" s="26">
        <v>107.60167018518199</v>
      </c>
      <c r="AY150" s="26">
        <v>110.88867029368788</v>
      </c>
      <c r="AZ150" s="26">
        <v>3.8467946007710943</v>
      </c>
      <c r="BA150" s="26">
        <v>9.0833333333333339</v>
      </c>
      <c r="BB150" s="26">
        <v>26.045400238948627</v>
      </c>
      <c r="BC150" s="25">
        <v>0.58535547041294167</v>
      </c>
      <c r="BD150" s="25">
        <v>0.57777777777777772</v>
      </c>
      <c r="BE150" s="26">
        <v>6.49293608639762</v>
      </c>
      <c r="BF150" s="25">
        <v>0.43333333333333335</v>
      </c>
      <c r="BG150" s="25">
        <v>0.1</v>
      </c>
      <c r="BH150" s="26">
        <v>2.3808062377123429</v>
      </c>
      <c r="BI150" s="26">
        <v>4.9104128652817067</v>
      </c>
      <c r="BJ150" s="26">
        <v>3.4846674631620869</v>
      </c>
      <c r="BK150" s="26">
        <v>0.70447340612891873</v>
      </c>
      <c r="BL150" s="26">
        <v>0.97471475032448518</v>
      </c>
      <c r="BM150" s="26">
        <v>0.12052894125871387</v>
      </c>
      <c r="BN150" s="26">
        <v>10.480182926829269</v>
      </c>
      <c r="BO150" s="27" t="s">
        <v>232</v>
      </c>
      <c r="BP150" s="28"/>
      <c r="BQ150" s="17" t="s">
        <v>254</v>
      </c>
      <c r="BR150" s="35">
        <v>158.66999999999999</v>
      </c>
      <c r="BS150" s="35">
        <v>218.87</v>
      </c>
      <c r="BT150" s="35">
        <v>60.2</v>
      </c>
      <c r="BU150" s="35">
        <f t="shared" si="86"/>
        <v>13.2225</v>
      </c>
      <c r="BV150" s="35">
        <f t="shared" si="87"/>
        <v>18.239166666666666</v>
      </c>
      <c r="BW150" s="35">
        <f t="shared" si="88"/>
        <v>5.0166666666666666</v>
      </c>
      <c r="BX150" s="36">
        <f t="shared" si="89"/>
        <v>37.913978494623656</v>
      </c>
      <c r="BY150" s="36">
        <f t="shared" si="90"/>
        <v>52.298685782556753</v>
      </c>
      <c r="BZ150" s="36">
        <f t="shared" si="91"/>
        <v>14.384707287933095</v>
      </c>
      <c r="CA150" s="48">
        <v>6</v>
      </c>
      <c r="CB150" s="48">
        <v>6</v>
      </c>
    </row>
    <row r="151" spans="1:80" x14ac:dyDescent="0.4">
      <c r="A151" s="21" t="s">
        <v>231</v>
      </c>
      <c r="B151" s="17" t="s">
        <v>196</v>
      </c>
      <c r="C151" s="17" t="s">
        <v>209</v>
      </c>
      <c r="D151" s="22">
        <v>53</v>
      </c>
      <c r="E151" s="22">
        <v>22</v>
      </c>
      <c r="F151" s="22">
        <v>44</v>
      </c>
      <c r="G151" s="23">
        <v>72292</v>
      </c>
      <c r="H151" s="23">
        <v>488</v>
      </c>
      <c r="I151" s="24">
        <f t="shared" si="65"/>
        <v>9.2075471698113205</v>
      </c>
      <c r="J151" s="22">
        <v>209</v>
      </c>
      <c r="K151" s="22">
        <v>365</v>
      </c>
      <c r="L151" s="24">
        <f t="shared" si="82"/>
        <v>3.9433962264150941</v>
      </c>
      <c r="M151" s="24">
        <f t="shared" si="83"/>
        <v>6.8867924528301883</v>
      </c>
      <c r="N151" s="25">
        <f t="shared" si="84"/>
        <v>0.57260273972602738</v>
      </c>
      <c r="O151" s="23">
        <v>208</v>
      </c>
      <c r="P151" s="22">
        <v>363</v>
      </c>
      <c r="Q151" s="24">
        <f t="shared" si="66"/>
        <v>3.9245283018867925</v>
      </c>
      <c r="R151" s="24">
        <f t="shared" si="67"/>
        <v>6.8490566037735849</v>
      </c>
      <c r="S151" s="25">
        <f t="shared" si="68"/>
        <v>0.57300275482093666</v>
      </c>
      <c r="T151" s="22">
        <v>1</v>
      </c>
      <c r="U151" s="22">
        <v>2</v>
      </c>
      <c r="V151" s="24">
        <f t="shared" si="69"/>
        <v>1.8867924528301886E-2</v>
      </c>
      <c r="W151" s="24">
        <f t="shared" si="70"/>
        <v>3.7735849056603772E-2</v>
      </c>
      <c r="X151" s="25">
        <f t="shared" si="71"/>
        <v>0.5</v>
      </c>
      <c r="Y151" s="22">
        <v>69</v>
      </c>
      <c r="Z151" s="22">
        <v>122</v>
      </c>
      <c r="AA151" s="24">
        <f t="shared" si="72"/>
        <v>1.3018867924528301</v>
      </c>
      <c r="AB151" s="24">
        <f t="shared" si="73"/>
        <v>2.3018867924528301</v>
      </c>
      <c r="AC151" s="25">
        <f t="shared" si="74"/>
        <v>0.56557377049180324</v>
      </c>
      <c r="AD151" s="22">
        <v>426</v>
      </c>
      <c r="AE151" s="24">
        <f t="shared" si="75"/>
        <v>8.0377358490566042</v>
      </c>
      <c r="AF151" s="22">
        <v>146</v>
      </c>
      <c r="AG151" s="24">
        <f t="shared" si="76"/>
        <v>2.7547169811320753</v>
      </c>
      <c r="AH151" s="22">
        <v>280</v>
      </c>
      <c r="AI151" s="24">
        <f t="shared" si="77"/>
        <v>5.283018867924528</v>
      </c>
      <c r="AJ151" s="22">
        <v>62</v>
      </c>
      <c r="AK151" s="24">
        <f t="shared" si="78"/>
        <v>1.1698113207547169</v>
      </c>
      <c r="AL151" s="22">
        <v>54</v>
      </c>
      <c r="AM151" s="24">
        <f t="shared" si="79"/>
        <v>1.0188679245283019</v>
      </c>
      <c r="AN151" s="10">
        <v>12</v>
      </c>
      <c r="AO151" s="24">
        <f t="shared" si="80"/>
        <v>0.22641509433962265</v>
      </c>
      <c r="AP151" s="22">
        <v>61</v>
      </c>
      <c r="AQ151" s="24">
        <f t="shared" si="85"/>
        <v>1.1509433962264151</v>
      </c>
      <c r="AR151" s="22">
        <v>96</v>
      </c>
      <c r="AS151" s="24">
        <f t="shared" si="81"/>
        <v>1.8113207547169812</v>
      </c>
      <c r="AT151" s="26">
        <v>3.8908007151882562</v>
      </c>
      <c r="AU151" s="26">
        <v>0.1291695030771291</v>
      </c>
      <c r="AV151" s="26">
        <v>2.2493400275762183</v>
      </c>
      <c r="AW151" s="26">
        <v>1.6414606876120379</v>
      </c>
      <c r="AX151" s="26">
        <v>114.82265909505396</v>
      </c>
      <c r="AY151" s="26">
        <v>106.03782475012791</v>
      </c>
      <c r="AZ151" s="26">
        <v>17.064320079663066</v>
      </c>
      <c r="BA151" s="26">
        <v>14.566037735849056</v>
      </c>
      <c r="BB151" s="26">
        <v>25.62939191058485</v>
      </c>
      <c r="BC151" s="25">
        <v>0.58278398777109008</v>
      </c>
      <c r="BD151" s="25">
        <v>0.57397260273972606</v>
      </c>
      <c r="BE151" s="26">
        <v>18.208744610918163</v>
      </c>
      <c r="BF151" s="25">
        <v>5.4794520547945206E-3</v>
      </c>
      <c r="BG151" s="25">
        <v>0.33424657534246577</v>
      </c>
      <c r="BH151" s="26">
        <v>13.331162200372237</v>
      </c>
      <c r="BI151" s="26">
        <v>25.566612439070045</v>
      </c>
      <c r="BJ151" s="26">
        <v>18.590280687054882</v>
      </c>
      <c r="BK151" s="26">
        <v>7.8355379560198841</v>
      </c>
      <c r="BL151" s="26">
        <v>2.4376228232814738</v>
      </c>
      <c r="BM151" s="26">
        <v>0.88753129472325643</v>
      </c>
      <c r="BN151" s="26">
        <v>12.716811207471647</v>
      </c>
      <c r="BO151" s="27" t="s">
        <v>232</v>
      </c>
      <c r="BP151" s="27"/>
      <c r="BQ151" s="17" t="s">
        <v>253</v>
      </c>
      <c r="BR151" s="35">
        <v>1158.8599999999999</v>
      </c>
      <c r="BS151" s="35">
        <v>1448.66</v>
      </c>
      <c r="BT151" s="35">
        <v>289.8</v>
      </c>
      <c r="BU151" s="35">
        <f t="shared" si="86"/>
        <v>21.865283018867927</v>
      </c>
      <c r="BV151" s="35">
        <f t="shared" si="87"/>
        <v>27.333207547169813</v>
      </c>
      <c r="BW151" s="35">
        <f t="shared" si="88"/>
        <v>5.4679245283018867</v>
      </c>
      <c r="BX151" s="36">
        <f t="shared" si="89"/>
        <v>38.472638742876114</v>
      </c>
      <c r="BY151" s="36">
        <f t="shared" si="90"/>
        <v>48.093620317600838</v>
      </c>
      <c r="BZ151" s="36">
        <f t="shared" si="91"/>
        <v>9.6209815747247269</v>
      </c>
      <c r="CA151" s="48">
        <v>21</v>
      </c>
      <c r="CB151" s="48">
        <v>32</v>
      </c>
    </row>
    <row r="152" spans="1:80" x14ac:dyDescent="0.4">
      <c r="A152" s="21" t="s">
        <v>231</v>
      </c>
      <c r="B152" s="51" t="s">
        <v>196</v>
      </c>
      <c r="C152" s="51" t="s">
        <v>277</v>
      </c>
      <c r="D152" s="22">
        <v>6</v>
      </c>
      <c r="E152" s="22">
        <v>13</v>
      </c>
      <c r="F152" s="22">
        <v>45</v>
      </c>
      <c r="G152" s="23">
        <v>4950</v>
      </c>
      <c r="H152" s="23">
        <v>21</v>
      </c>
      <c r="I152" s="24">
        <f t="shared" si="65"/>
        <v>3.5</v>
      </c>
      <c r="J152" s="22">
        <v>8</v>
      </c>
      <c r="K152" s="22">
        <v>19</v>
      </c>
      <c r="L152" s="24">
        <f t="shared" si="82"/>
        <v>1.3333333333333333</v>
      </c>
      <c r="M152" s="24">
        <f t="shared" si="83"/>
        <v>3.1666666666666665</v>
      </c>
      <c r="N152" s="25">
        <f t="shared" si="84"/>
        <v>0.42105263157894735</v>
      </c>
      <c r="O152" s="23">
        <v>8</v>
      </c>
      <c r="P152" s="22">
        <v>16</v>
      </c>
      <c r="Q152" s="24">
        <f t="shared" si="66"/>
        <v>1.3333333333333333</v>
      </c>
      <c r="R152" s="24">
        <f t="shared" si="67"/>
        <v>2.6666666666666665</v>
      </c>
      <c r="S152" s="25">
        <f t="shared" si="68"/>
        <v>0.5</v>
      </c>
      <c r="T152" s="22">
        <v>0</v>
      </c>
      <c r="U152" s="22">
        <v>3</v>
      </c>
      <c r="V152" s="24">
        <f t="shared" si="69"/>
        <v>0</v>
      </c>
      <c r="W152" s="24">
        <f t="shared" si="70"/>
        <v>0.5</v>
      </c>
      <c r="X152" s="25">
        <f t="shared" si="71"/>
        <v>0</v>
      </c>
      <c r="Y152" s="22">
        <v>5</v>
      </c>
      <c r="Z152" s="22">
        <v>9</v>
      </c>
      <c r="AA152" s="24">
        <f t="shared" si="72"/>
        <v>0.83333333333333337</v>
      </c>
      <c r="AB152" s="24">
        <f t="shared" si="73"/>
        <v>1.5</v>
      </c>
      <c r="AC152" s="25">
        <f t="shared" si="74"/>
        <v>0.55555555555555558</v>
      </c>
      <c r="AD152" s="22">
        <v>25</v>
      </c>
      <c r="AE152" s="24">
        <f t="shared" si="75"/>
        <v>4.166666666666667</v>
      </c>
      <c r="AF152" s="22">
        <v>4</v>
      </c>
      <c r="AG152" s="24">
        <f t="shared" si="76"/>
        <v>0.66666666666666663</v>
      </c>
      <c r="AH152" s="22">
        <v>21</v>
      </c>
      <c r="AI152" s="24">
        <f t="shared" si="77"/>
        <v>3.5</v>
      </c>
      <c r="AJ152" s="22">
        <v>8</v>
      </c>
      <c r="AK152" s="24">
        <f t="shared" si="78"/>
        <v>1.3333333333333333</v>
      </c>
      <c r="AL152" s="22">
        <v>2</v>
      </c>
      <c r="AM152" s="24">
        <f t="shared" si="79"/>
        <v>0.33333333333333331</v>
      </c>
      <c r="AN152" s="10">
        <v>3</v>
      </c>
      <c r="AO152" s="24">
        <f t="shared" si="80"/>
        <v>0.5</v>
      </c>
      <c r="AP152" s="22">
        <v>2</v>
      </c>
      <c r="AQ152" s="24">
        <f t="shared" si="85"/>
        <v>0.33333333333333331</v>
      </c>
      <c r="AR152" s="22">
        <v>12</v>
      </c>
      <c r="AS152" s="24">
        <f t="shared" si="81"/>
        <v>2</v>
      </c>
      <c r="AT152" s="26">
        <v>0.16275469138389373</v>
      </c>
      <c r="AU152" s="26">
        <v>7.8911365519463622E-2</v>
      </c>
      <c r="AV152" s="26">
        <v>5.0453930479648995E-2</v>
      </c>
      <c r="AW152" s="26">
        <v>0.11230076090424473</v>
      </c>
      <c r="AX152" s="26">
        <v>106.02330022605817</v>
      </c>
      <c r="AY152" s="26">
        <v>106.04683969455807</v>
      </c>
      <c r="AZ152" s="26">
        <v>1.080071670599436</v>
      </c>
      <c r="BA152" s="26">
        <v>7</v>
      </c>
      <c r="BB152" s="26">
        <v>20.36363636363636</v>
      </c>
      <c r="BC152" s="25">
        <v>0.45731707317073167</v>
      </c>
      <c r="BD152" s="25">
        <v>0.42105263157894735</v>
      </c>
      <c r="BE152" s="26">
        <v>1.566510810556375</v>
      </c>
      <c r="BF152" s="25">
        <v>0.15789473684210525</v>
      </c>
      <c r="BG152" s="25">
        <v>0.47368421052631576</v>
      </c>
      <c r="BH152" s="26">
        <v>0.6038590366561305</v>
      </c>
      <c r="BI152" s="26">
        <v>3.1702599424446856</v>
      </c>
      <c r="BJ152" s="26">
        <v>1.8037518037518037</v>
      </c>
      <c r="BK152" s="26">
        <v>1.340033500837521</v>
      </c>
      <c r="BL152" s="26">
        <v>1.3185232258934854</v>
      </c>
      <c r="BM152" s="26">
        <v>0.36684626848561275</v>
      </c>
      <c r="BN152" s="26">
        <v>8.0128205128205128</v>
      </c>
      <c r="BO152" s="27" t="s">
        <v>232</v>
      </c>
      <c r="BP152" s="28"/>
      <c r="BQ152" s="17" t="s">
        <v>254</v>
      </c>
      <c r="BR152" s="35">
        <v>68.72</v>
      </c>
      <c r="BS152" s="35">
        <v>85.62</v>
      </c>
      <c r="BT152" s="35">
        <v>16.899999999999999</v>
      </c>
      <c r="BU152" s="35">
        <f t="shared" si="86"/>
        <v>11.453333333333335</v>
      </c>
      <c r="BV152" s="35">
        <f t="shared" si="87"/>
        <v>14.270000000000001</v>
      </c>
      <c r="BW152" s="35">
        <f t="shared" si="88"/>
        <v>2.8166666666666664</v>
      </c>
      <c r="BX152" s="36">
        <f t="shared" si="89"/>
        <v>33.31878787878788</v>
      </c>
      <c r="BY152" s="36">
        <f t="shared" si="90"/>
        <v>41.512727272727275</v>
      </c>
      <c r="BZ152" s="36">
        <f t="shared" si="91"/>
        <v>8.1939393939393934</v>
      </c>
      <c r="CA152" s="48">
        <v>0</v>
      </c>
      <c r="CB152" s="48">
        <v>6</v>
      </c>
    </row>
    <row r="153" spans="1:80" x14ac:dyDescent="0.4">
      <c r="A153" s="21" t="s">
        <v>231</v>
      </c>
      <c r="B153" s="48" t="s">
        <v>196</v>
      </c>
      <c r="C153" s="37" t="s">
        <v>281</v>
      </c>
      <c r="D153" s="22">
        <v>2</v>
      </c>
      <c r="E153" s="22">
        <v>4</v>
      </c>
      <c r="F153" s="22">
        <v>32</v>
      </c>
      <c r="G153" s="23">
        <v>544</v>
      </c>
      <c r="H153" s="23">
        <v>2</v>
      </c>
      <c r="I153" s="24">
        <f t="shared" si="65"/>
        <v>1</v>
      </c>
      <c r="J153" s="22">
        <v>1</v>
      </c>
      <c r="K153" s="22">
        <v>2</v>
      </c>
      <c r="L153" s="24">
        <f t="shared" si="82"/>
        <v>0.5</v>
      </c>
      <c r="M153" s="24">
        <f t="shared" si="83"/>
        <v>1</v>
      </c>
      <c r="N153" s="25">
        <f t="shared" si="84"/>
        <v>0.5</v>
      </c>
      <c r="O153" s="23">
        <v>1</v>
      </c>
      <c r="P153" s="22">
        <v>1</v>
      </c>
      <c r="Q153" s="24">
        <f t="shared" si="66"/>
        <v>0.5</v>
      </c>
      <c r="R153" s="24">
        <f t="shared" si="67"/>
        <v>0.5</v>
      </c>
      <c r="S153" s="25">
        <f t="shared" si="68"/>
        <v>1</v>
      </c>
      <c r="T153" s="22">
        <v>0</v>
      </c>
      <c r="U153" s="22">
        <v>1</v>
      </c>
      <c r="V153" s="24">
        <f t="shared" si="69"/>
        <v>0</v>
      </c>
      <c r="W153" s="24">
        <f t="shared" si="70"/>
        <v>0.5</v>
      </c>
      <c r="X153" s="25">
        <f t="shared" si="71"/>
        <v>0</v>
      </c>
      <c r="Y153" s="22">
        <v>0</v>
      </c>
      <c r="Z153" s="22">
        <v>0</v>
      </c>
      <c r="AA153" s="24">
        <f t="shared" si="72"/>
        <v>0</v>
      </c>
      <c r="AB153" s="24">
        <f t="shared" si="73"/>
        <v>0</v>
      </c>
      <c r="AC153" s="25" t="e">
        <f t="shared" si="74"/>
        <v>#DIV/0!</v>
      </c>
      <c r="AD153" s="22">
        <v>0</v>
      </c>
      <c r="AE153" s="24">
        <f t="shared" si="75"/>
        <v>0</v>
      </c>
      <c r="AF153" s="22">
        <v>0</v>
      </c>
      <c r="AG153" s="24">
        <f t="shared" si="76"/>
        <v>0</v>
      </c>
      <c r="AH153" s="22">
        <v>0</v>
      </c>
      <c r="AI153" s="24">
        <f t="shared" si="77"/>
        <v>0</v>
      </c>
      <c r="AJ153" s="22">
        <v>0</v>
      </c>
      <c r="AK153" s="24">
        <f t="shared" si="78"/>
        <v>0</v>
      </c>
      <c r="AL153" s="22">
        <v>0</v>
      </c>
      <c r="AM153" s="24">
        <f t="shared" si="79"/>
        <v>0</v>
      </c>
      <c r="AN153" s="10">
        <v>0</v>
      </c>
      <c r="AO153" s="24">
        <f t="shared" si="80"/>
        <v>0</v>
      </c>
      <c r="AP153" s="22">
        <v>0</v>
      </c>
      <c r="AQ153" s="24">
        <f t="shared" si="85"/>
        <v>0</v>
      </c>
      <c r="AR153" s="22">
        <v>1</v>
      </c>
      <c r="AS153" s="24">
        <f t="shared" si="81"/>
        <v>0.5</v>
      </c>
      <c r="AT153" s="26">
        <v>-3.6213630828690977E-3</v>
      </c>
      <c r="AU153" s="26">
        <v>-1.5976601836187196E-2</v>
      </c>
      <c r="AV153" s="26">
        <v>2.2976691363680891E-3</v>
      </c>
      <c r="AW153" s="26">
        <v>-5.9190322192371869E-3</v>
      </c>
      <c r="AX153" s="26">
        <v>104.08182730229179</v>
      </c>
      <c r="AY153" s="26">
        <v>122.00952428365517</v>
      </c>
      <c r="AZ153" s="26">
        <v>4.9850074620099466E-2</v>
      </c>
      <c r="BA153" s="26">
        <v>0.5</v>
      </c>
      <c r="BB153" s="26">
        <v>4.4117647058823533</v>
      </c>
      <c r="BC153" s="25">
        <v>0.5</v>
      </c>
      <c r="BD153" s="25">
        <v>0.5</v>
      </c>
      <c r="BE153" s="26">
        <v>0.38071839022112131</v>
      </c>
      <c r="BF153" s="25">
        <v>0.5</v>
      </c>
      <c r="BG153" s="25">
        <v>0</v>
      </c>
      <c r="BH153" s="26">
        <v>0</v>
      </c>
      <c r="BI153" s="26">
        <v>0</v>
      </c>
      <c r="BJ153" s="26">
        <v>0</v>
      </c>
      <c r="BK153" s="26">
        <v>0</v>
      </c>
      <c r="BL153" s="26">
        <v>0</v>
      </c>
      <c r="BM153" s="26">
        <v>0</v>
      </c>
      <c r="BN153" s="26">
        <v>0</v>
      </c>
      <c r="BO153" s="27" t="s">
        <v>189</v>
      </c>
      <c r="BP153" s="28"/>
      <c r="BQ153" s="17" t="s">
        <v>253</v>
      </c>
      <c r="BR153" s="35">
        <v>3.36</v>
      </c>
      <c r="BS153" s="35">
        <v>4.26</v>
      </c>
      <c r="BT153" s="35">
        <v>0.9</v>
      </c>
      <c r="BU153" s="35">
        <f t="shared" si="86"/>
        <v>1.68</v>
      </c>
      <c r="BV153" s="35">
        <f t="shared" si="87"/>
        <v>2.13</v>
      </c>
      <c r="BW153" s="35">
        <f t="shared" si="88"/>
        <v>0.45</v>
      </c>
      <c r="BX153" s="36">
        <f t="shared" si="89"/>
        <v>14.823529411764705</v>
      </c>
      <c r="BY153" s="36">
        <f t="shared" si="90"/>
        <v>18.794117647058822</v>
      </c>
      <c r="BZ153" s="36">
        <f t="shared" si="91"/>
        <v>3.9705882352941178</v>
      </c>
      <c r="CA153" s="50">
        <v>0</v>
      </c>
      <c r="CB153" s="50">
        <v>2</v>
      </c>
    </row>
    <row r="154" spans="1:80" x14ac:dyDescent="0.4">
      <c r="A154" s="21" t="s">
        <v>231</v>
      </c>
      <c r="B154" s="37" t="s">
        <v>196</v>
      </c>
      <c r="C154" s="37" t="s">
        <v>99</v>
      </c>
      <c r="D154" s="22">
        <v>33</v>
      </c>
      <c r="E154" s="22">
        <v>16</v>
      </c>
      <c r="F154" s="22">
        <v>13</v>
      </c>
      <c r="G154" s="23">
        <v>32109</v>
      </c>
      <c r="H154" s="23">
        <v>130</v>
      </c>
      <c r="I154" s="24">
        <f t="shared" si="65"/>
        <v>3.9393939393939394</v>
      </c>
      <c r="J154" s="22">
        <v>47</v>
      </c>
      <c r="K154" s="22">
        <v>108</v>
      </c>
      <c r="L154" s="24">
        <f t="shared" si="82"/>
        <v>1.4242424242424243</v>
      </c>
      <c r="M154" s="24">
        <f t="shared" si="83"/>
        <v>3.2727272727272729</v>
      </c>
      <c r="N154" s="25">
        <f t="shared" si="84"/>
        <v>0.43518518518518517</v>
      </c>
      <c r="O154" s="23">
        <v>32</v>
      </c>
      <c r="P154" s="22">
        <v>63</v>
      </c>
      <c r="Q154" s="24">
        <f t="shared" si="66"/>
        <v>0.96969696969696972</v>
      </c>
      <c r="R154" s="24">
        <f t="shared" si="67"/>
        <v>1.9090909090909092</v>
      </c>
      <c r="S154" s="25">
        <f t="shared" si="68"/>
        <v>0.50793650793650791</v>
      </c>
      <c r="T154" s="22">
        <v>15</v>
      </c>
      <c r="U154" s="22">
        <v>45</v>
      </c>
      <c r="V154" s="24">
        <f t="shared" si="69"/>
        <v>0.45454545454545453</v>
      </c>
      <c r="W154" s="24">
        <f t="shared" si="70"/>
        <v>1.3636363636363635</v>
      </c>
      <c r="X154" s="25">
        <f t="shared" si="71"/>
        <v>0.33333333333333331</v>
      </c>
      <c r="Y154" s="22">
        <v>21</v>
      </c>
      <c r="Z154" s="22">
        <v>32</v>
      </c>
      <c r="AA154" s="24">
        <f t="shared" si="72"/>
        <v>0.63636363636363635</v>
      </c>
      <c r="AB154" s="24">
        <f t="shared" si="73"/>
        <v>0.96969696969696972</v>
      </c>
      <c r="AC154" s="25">
        <f t="shared" si="74"/>
        <v>0.65625</v>
      </c>
      <c r="AD154" s="22">
        <v>72</v>
      </c>
      <c r="AE154" s="24">
        <f t="shared" si="75"/>
        <v>2.1818181818181817</v>
      </c>
      <c r="AF154" s="22">
        <v>31</v>
      </c>
      <c r="AG154" s="24">
        <f t="shared" si="76"/>
        <v>0.93939393939393945</v>
      </c>
      <c r="AH154" s="22">
        <v>41</v>
      </c>
      <c r="AI154" s="24">
        <f t="shared" si="77"/>
        <v>1.2424242424242424</v>
      </c>
      <c r="AJ154" s="22">
        <v>16</v>
      </c>
      <c r="AK154" s="24">
        <f t="shared" si="78"/>
        <v>0.48484848484848486</v>
      </c>
      <c r="AL154" s="22">
        <v>10</v>
      </c>
      <c r="AM154" s="24">
        <f t="shared" si="79"/>
        <v>0.30303030303030304</v>
      </c>
      <c r="AN154" s="10">
        <v>0</v>
      </c>
      <c r="AO154" s="24">
        <f t="shared" si="80"/>
        <v>0</v>
      </c>
      <c r="AP154" s="22">
        <v>23</v>
      </c>
      <c r="AQ154" s="24">
        <f t="shared" si="85"/>
        <v>0.69696969696969702</v>
      </c>
      <c r="AR154" s="22">
        <v>43</v>
      </c>
      <c r="AS154" s="24">
        <f t="shared" si="81"/>
        <v>1.303030303030303</v>
      </c>
      <c r="AT154" s="26">
        <v>0.13764770239823676</v>
      </c>
      <c r="AU154" s="26">
        <v>1.0288532366494386E-2</v>
      </c>
      <c r="AV154" s="26">
        <v>0.11430306406600918</v>
      </c>
      <c r="AW154" s="26">
        <v>2.3344638332227573E-2</v>
      </c>
      <c r="AX154" s="26">
        <v>102.15413940181146</v>
      </c>
      <c r="AY154" s="26">
        <v>116.48965526050314</v>
      </c>
      <c r="AZ154" s="26">
        <v>3.456320454789279</v>
      </c>
      <c r="BA154" s="26">
        <v>4.0303030303030303</v>
      </c>
      <c r="BB154" s="26">
        <v>9.9411379986919552</v>
      </c>
      <c r="BC154" s="25">
        <v>0.53243774574049807</v>
      </c>
      <c r="BD154" s="25">
        <v>0.50462962962962965</v>
      </c>
      <c r="BE154" s="26">
        <v>7.7203585521542815</v>
      </c>
      <c r="BF154" s="25">
        <v>0.41666666666666669</v>
      </c>
      <c r="BG154" s="25">
        <v>0.29629629629629628</v>
      </c>
      <c r="BH154" s="26">
        <v>3.9680613726825644</v>
      </c>
      <c r="BI154" s="26">
        <v>5.2480811703221013</v>
      </c>
      <c r="BJ154" s="26">
        <v>4.4046395536631922</v>
      </c>
      <c r="BK154" s="26">
        <v>2.4004800960192041</v>
      </c>
      <c r="BL154" s="26">
        <v>1.0163334218089559</v>
      </c>
      <c r="BM154" s="26">
        <v>0</v>
      </c>
      <c r="BN154" s="26">
        <v>15.85332230493521</v>
      </c>
      <c r="BO154" s="27" t="s">
        <v>189</v>
      </c>
      <c r="BP154" s="28"/>
      <c r="BQ154" s="17" t="s">
        <v>253</v>
      </c>
      <c r="BR154" s="35">
        <v>288.47000000000003</v>
      </c>
      <c r="BS154" s="35">
        <v>389.77</v>
      </c>
      <c r="BT154" s="35">
        <v>101.3</v>
      </c>
      <c r="BU154" s="35">
        <f t="shared" si="86"/>
        <v>8.7415151515151504</v>
      </c>
      <c r="BV154" s="35">
        <f t="shared" si="87"/>
        <v>11.811212121212121</v>
      </c>
      <c r="BW154" s="35">
        <f t="shared" si="88"/>
        <v>3.0696969696969698</v>
      </c>
      <c r="BX154" s="36">
        <f t="shared" si="89"/>
        <v>21.561805101373444</v>
      </c>
      <c r="BY154" s="36">
        <f t="shared" si="90"/>
        <v>29.133513968046341</v>
      </c>
      <c r="BZ154" s="36">
        <f t="shared" si="91"/>
        <v>7.5717088666728953</v>
      </c>
      <c r="CA154" s="48">
        <v>13</v>
      </c>
      <c r="CB154" s="48">
        <v>20</v>
      </c>
    </row>
    <row r="155" spans="1:80" x14ac:dyDescent="0.4">
      <c r="A155" s="21" t="s">
        <v>231</v>
      </c>
      <c r="B155" s="17" t="s">
        <v>196</v>
      </c>
      <c r="C155" s="17" t="s">
        <v>107</v>
      </c>
      <c r="D155" s="22">
        <v>34</v>
      </c>
      <c r="E155" s="22">
        <v>12</v>
      </c>
      <c r="F155" s="22">
        <v>6</v>
      </c>
      <c r="G155" s="23">
        <v>24684</v>
      </c>
      <c r="H155" s="23">
        <v>88</v>
      </c>
      <c r="I155" s="24">
        <f t="shared" si="65"/>
        <v>2.5882352941176472</v>
      </c>
      <c r="J155" s="22">
        <v>34</v>
      </c>
      <c r="K155" s="22">
        <v>119</v>
      </c>
      <c r="L155" s="24">
        <f t="shared" si="82"/>
        <v>1</v>
      </c>
      <c r="M155" s="24">
        <f t="shared" si="83"/>
        <v>3.5</v>
      </c>
      <c r="N155" s="25">
        <f t="shared" si="84"/>
        <v>0.2857142857142857</v>
      </c>
      <c r="O155" s="23">
        <v>22</v>
      </c>
      <c r="P155" s="22">
        <v>66</v>
      </c>
      <c r="Q155" s="24">
        <f t="shared" si="66"/>
        <v>0.6470588235294118</v>
      </c>
      <c r="R155" s="24">
        <f t="shared" si="67"/>
        <v>1.9411764705882353</v>
      </c>
      <c r="S155" s="25">
        <f t="shared" si="68"/>
        <v>0.33333333333333331</v>
      </c>
      <c r="T155" s="22">
        <v>12</v>
      </c>
      <c r="U155" s="22">
        <v>53</v>
      </c>
      <c r="V155" s="24">
        <f t="shared" si="69"/>
        <v>0.35294117647058826</v>
      </c>
      <c r="W155" s="24">
        <f t="shared" si="70"/>
        <v>1.5588235294117647</v>
      </c>
      <c r="X155" s="25">
        <f t="shared" si="71"/>
        <v>0.22641509433962265</v>
      </c>
      <c r="Y155" s="22">
        <v>8</v>
      </c>
      <c r="Z155" s="22">
        <v>18</v>
      </c>
      <c r="AA155" s="24">
        <f t="shared" si="72"/>
        <v>0.23529411764705882</v>
      </c>
      <c r="AB155" s="24">
        <f t="shared" si="73"/>
        <v>0.52941176470588236</v>
      </c>
      <c r="AC155" s="25">
        <f t="shared" si="74"/>
        <v>0.44444444444444442</v>
      </c>
      <c r="AD155" s="22">
        <v>72</v>
      </c>
      <c r="AE155" s="24">
        <f t="shared" si="75"/>
        <v>2.1176470588235294</v>
      </c>
      <c r="AF155" s="22">
        <v>16</v>
      </c>
      <c r="AG155" s="24">
        <f t="shared" si="76"/>
        <v>0.47058823529411764</v>
      </c>
      <c r="AH155" s="22">
        <v>56</v>
      </c>
      <c r="AI155" s="24">
        <f t="shared" si="77"/>
        <v>1.6470588235294117</v>
      </c>
      <c r="AJ155" s="22">
        <v>93</v>
      </c>
      <c r="AK155" s="24">
        <f t="shared" si="78"/>
        <v>2.7352941176470589</v>
      </c>
      <c r="AL155" s="22">
        <v>18</v>
      </c>
      <c r="AM155" s="24">
        <f t="shared" si="79"/>
        <v>0.52941176470588236</v>
      </c>
      <c r="AN155" s="10">
        <v>1</v>
      </c>
      <c r="AO155" s="24">
        <f t="shared" si="80"/>
        <v>2.9411764705882353E-2</v>
      </c>
      <c r="AP155" s="22">
        <v>31</v>
      </c>
      <c r="AQ155" s="24">
        <f t="shared" si="85"/>
        <v>0.91176470588235292</v>
      </c>
      <c r="AR155" s="22">
        <v>55</v>
      </c>
      <c r="AS155" s="24">
        <f t="shared" si="81"/>
        <v>1.6176470588235294</v>
      </c>
      <c r="AT155" s="26">
        <v>-0.3553156277981116</v>
      </c>
      <c r="AU155" s="26">
        <v>-3.4546974020234482E-2</v>
      </c>
      <c r="AV155" s="26">
        <v>-0.67923383817942007</v>
      </c>
      <c r="AW155" s="26">
        <v>0.32391821038130847</v>
      </c>
      <c r="AX155" s="26">
        <v>86.604587350569219</v>
      </c>
      <c r="AY155" s="26">
        <v>110.59509175421891</v>
      </c>
      <c r="AZ155" s="26">
        <v>3.6722142232236865</v>
      </c>
      <c r="BA155" s="26">
        <v>4.2941176470588234</v>
      </c>
      <c r="BB155" s="26">
        <v>14.195430238210989</v>
      </c>
      <c r="BC155" s="25">
        <v>0.34667507091080996</v>
      </c>
      <c r="BD155" s="25">
        <v>0.33613445378151263</v>
      </c>
      <c r="BE155" s="26">
        <v>11.262719769952961</v>
      </c>
      <c r="BF155" s="25">
        <v>0.44537815126050423</v>
      </c>
      <c r="BG155" s="25">
        <v>0.15126050420168066</v>
      </c>
      <c r="BH155" s="26">
        <v>2.7448138029824114</v>
      </c>
      <c r="BI155" s="26">
        <v>9.6068483104384406</v>
      </c>
      <c r="BJ155" s="26">
        <v>5.9031877213695392</v>
      </c>
      <c r="BK155" s="26">
        <v>18.659711075441415</v>
      </c>
      <c r="BL155" s="26">
        <v>2.3796876403157823</v>
      </c>
      <c r="BM155" s="26">
        <v>0.13895691988091394</v>
      </c>
      <c r="BN155" s="26">
        <v>19.630192502532925</v>
      </c>
      <c r="BO155" s="27" t="s">
        <v>189</v>
      </c>
      <c r="BP155" s="28"/>
      <c r="BQ155" s="17" t="s">
        <v>253</v>
      </c>
      <c r="BR155" s="35">
        <v>293.89999999999998</v>
      </c>
      <c r="BS155" s="35">
        <v>429.3</v>
      </c>
      <c r="BT155" s="35">
        <v>135.4</v>
      </c>
      <c r="BU155" s="35">
        <f t="shared" si="86"/>
        <v>8.6441176470588239</v>
      </c>
      <c r="BV155" s="35">
        <f t="shared" si="87"/>
        <v>12.626470588235295</v>
      </c>
      <c r="BW155" s="35">
        <f t="shared" si="88"/>
        <v>3.9823529411764707</v>
      </c>
      <c r="BX155" s="36">
        <f t="shared" si="89"/>
        <v>28.575595527467186</v>
      </c>
      <c r="BY155" s="36">
        <f t="shared" si="90"/>
        <v>41.74039863879436</v>
      </c>
      <c r="BZ155" s="36">
        <f t="shared" si="91"/>
        <v>13.164803111327176</v>
      </c>
      <c r="CA155" s="48">
        <v>16</v>
      </c>
      <c r="CB155" s="48">
        <v>18</v>
      </c>
    </row>
    <row r="156" spans="1:80" x14ac:dyDescent="0.4">
      <c r="A156" s="21" t="s">
        <v>231</v>
      </c>
      <c r="B156" s="49" t="s">
        <v>196</v>
      </c>
      <c r="C156" s="49" t="s">
        <v>283</v>
      </c>
      <c r="D156" s="22">
        <v>7</v>
      </c>
      <c r="E156" s="22">
        <v>9</v>
      </c>
      <c r="F156" s="22">
        <v>21</v>
      </c>
      <c r="G156" s="23">
        <v>3927</v>
      </c>
      <c r="H156" s="23">
        <v>9</v>
      </c>
      <c r="I156" s="24">
        <f t="shared" si="65"/>
        <v>1.2857142857142858</v>
      </c>
      <c r="J156" s="22">
        <v>4</v>
      </c>
      <c r="K156" s="22">
        <v>12</v>
      </c>
      <c r="L156" s="24">
        <f t="shared" si="82"/>
        <v>0.5714285714285714</v>
      </c>
      <c r="M156" s="24">
        <f t="shared" si="83"/>
        <v>1.7142857142857142</v>
      </c>
      <c r="N156" s="25">
        <f t="shared" si="84"/>
        <v>0.33333333333333331</v>
      </c>
      <c r="O156" s="23">
        <v>3</v>
      </c>
      <c r="P156" s="22">
        <v>5</v>
      </c>
      <c r="Q156" s="24">
        <f t="shared" si="66"/>
        <v>0.42857142857142855</v>
      </c>
      <c r="R156" s="24">
        <f t="shared" si="67"/>
        <v>0.7142857142857143</v>
      </c>
      <c r="S156" s="25">
        <f t="shared" si="68"/>
        <v>0.6</v>
      </c>
      <c r="T156" s="22">
        <v>1</v>
      </c>
      <c r="U156" s="22">
        <v>7</v>
      </c>
      <c r="V156" s="24">
        <f t="shared" si="69"/>
        <v>0.14285714285714285</v>
      </c>
      <c r="W156" s="24">
        <f t="shared" si="70"/>
        <v>1</v>
      </c>
      <c r="X156" s="25">
        <f t="shared" si="71"/>
        <v>0.14285714285714285</v>
      </c>
      <c r="Y156" s="22">
        <v>0</v>
      </c>
      <c r="Z156" s="22">
        <v>0</v>
      </c>
      <c r="AA156" s="24">
        <f t="shared" si="72"/>
        <v>0</v>
      </c>
      <c r="AB156" s="24">
        <f t="shared" si="73"/>
        <v>0</v>
      </c>
      <c r="AC156" s="25" t="e">
        <f t="shared" si="74"/>
        <v>#DIV/0!</v>
      </c>
      <c r="AD156" s="22">
        <v>8</v>
      </c>
      <c r="AE156" s="24">
        <f t="shared" si="75"/>
        <v>1.1428571428571428</v>
      </c>
      <c r="AF156" s="22">
        <v>1</v>
      </c>
      <c r="AG156" s="24">
        <f t="shared" si="76"/>
        <v>0.14285714285714285</v>
      </c>
      <c r="AH156" s="22">
        <v>7</v>
      </c>
      <c r="AI156" s="24">
        <f t="shared" si="77"/>
        <v>1</v>
      </c>
      <c r="AJ156" s="22">
        <v>13</v>
      </c>
      <c r="AK156" s="24">
        <f t="shared" si="78"/>
        <v>1.8571428571428572</v>
      </c>
      <c r="AL156" s="22">
        <v>2</v>
      </c>
      <c r="AM156" s="24">
        <f t="shared" si="79"/>
        <v>0.2857142857142857</v>
      </c>
      <c r="AN156" s="10">
        <v>0</v>
      </c>
      <c r="AO156" s="24">
        <f t="shared" si="80"/>
        <v>0</v>
      </c>
      <c r="AP156" s="22">
        <v>6</v>
      </c>
      <c r="AQ156" s="24">
        <f t="shared" si="85"/>
        <v>0.8571428571428571</v>
      </c>
      <c r="AR156" s="22">
        <v>15</v>
      </c>
      <c r="AS156" s="24">
        <f t="shared" si="81"/>
        <v>2.1428571428571428</v>
      </c>
      <c r="AT156" s="26">
        <v>-8.8895081786386804E-2</v>
      </c>
      <c r="AU156" s="26">
        <v>-5.4328545018418217E-2</v>
      </c>
      <c r="AV156" s="26">
        <v>-0.11777153745939226</v>
      </c>
      <c r="AW156" s="26">
        <v>2.8876455673005449E-2</v>
      </c>
      <c r="AX156" s="26">
        <v>80.832760451730394</v>
      </c>
      <c r="AY156" s="26">
        <v>113.33860948808159</v>
      </c>
      <c r="AZ156" s="26">
        <v>-3.4864544536505594E-2</v>
      </c>
      <c r="BA156" s="26">
        <v>2.5714285714285716</v>
      </c>
      <c r="BB156" s="26">
        <v>11.000763941940413</v>
      </c>
      <c r="BC156" s="25">
        <v>0.375</v>
      </c>
      <c r="BD156" s="25">
        <v>0.375</v>
      </c>
      <c r="BE156" s="26">
        <v>1.6613166118739837</v>
      </c>
      <c r="BF156" s="25">
        <v>0.58333333333333337</v>
      </c>
      <c r="BG156" s="25">
        <v>0</v>
      </c>
      <c r="BH156" s="26">
        <v>0.22200699877063623</v>
      </c>
      <c r="BI156" s="26">
        <v>1.5540489913944537</v>
      </c>
      <c r="BJ156" s="26">
        <v>0.84882437823614298</v>
      </c>
      <c r="BK156" s="26">
        <v>3.1909671084928815</v>
      </c>
      <c r="BL156" s="26">
        <v>1.6620040662522924</v>
      </c>
      <c r="BM156" s="26">
        <v>0</v>
      </c>
      <c r="BN156" s="26">
        <v>33.333333333333336</v>
      </c>
      <c r="BO156" s="27" t="s">
        <v>189</v>
      </c>
      <c r="BP156" s="28"/>
      <c r="BQ156" s="17" t="s">
        <v>255</v>
      </c>
      <c r="BR156" s="35">
        <v>40.46</v>
      </c>
      <c r="BS156" s="35">
        <v>56.86</v>
      </c>
      <c r="BT156" s="35">
        <v>16.399999999999999</v>
      </c>
      <c r="BU156" s="35">
        <f t="shared" si="86"/>
        <v>5.78</v>
      </c>
      <c r="BV156" s="35">
        <f t="shared" si="87"/>
        <v>8.1228571428571428</v>
      </c>
      <c r="BW156" s="35">
        <f t="shared" si="88"/>
        <v>2.3428571428571425</v>
      </c>
      <c r="BX156" s="36">
        <f t="shared" si="89"/>
        <v>24.727272727272727</v>
      </c>
      <c r="BY156" s="36">
        <f t="shared" si="90"/>
        <v>34.750190985485105</v>
      </c>
      <c r="BZ156" s="36">
        <f t="shared" si="91"/>
        <v>10.022918258212377</v>
      </c>
      <c r="CA156" s="50">
        <v>2</v>
      </c>
      <c r="CB156" s="50">
        <v>5</v>
      </c>
    </row>
    <row r="157" spans="1:80" x14ac:dyDescent="0.4">
      <c r="A157" s="21" t="s">
        <v>231</v>
      </c>
      <c r="B157" s="17" t="s">
        <v>196</v>
      </c>
      <c r="C157" s="17" t="s">
        <v>127</v>
      </c>
      <c r="D157" s="16">
        <v>26</v>
      </c>
      <c r="E157" s="16">
        <v>7</v>
      </c>
      <c r="F157" s="16">
        <v>3</v>
      </c>
      <c r="G157" s="23">
        <v>10998</v>
      </c>
      <c r="H157" s="23">
        <v>70</v>
      </c>
      <c r="I157" s="24">
        <f t="shared" si="65"/>
        <v>2.6923076923076925</v>
      </c>
      <c r="J157" s="22">
        <v>27</v>
      </c>
      <c r="K157" s="22">
        <v>58</v>
      </c>
      <c r="L157" s="24">
        <f t="shared" si="82"/>
        <v>1.0384615384615385</v>
      </c>
      <c r="M157" s="24">
        <f t="shared" si="83"/>
        <v>2.2307692307692308</v>
      </c>
      <c r="N157" s="25">
        <f t="shared" si="84"/>
        <v>0.46551724137931033</v>
      </c>
      <c r="O157" s="23">
        <v>15</v>
      </c>
      <c r="P157" s="22">
        <v>25</v>
      </c>
      <c r="Q157" s="24">
        <f t="shared" si="66"/>
        <v>0.57692307692307687</v>
      </c>
      <c r="R157" s="24">
        <f t="shared" si="67"/>
        <v>0.96153846153846156</v>
      </c>
      <c r="S157" s="25">
        <f t="shared" si="68"/>
        <v>0.6</v>
      </c>
      <c r="T157" s="22">
        <v>12</v>
      </c>
      <c r="U157" s="22">
        <v>33</v>
      </c>
      <c r="V157" s="24">
        <f t="shared" si="69"/>
        <v>0.46153846153846156</v>
      </c>
      <c r="W157" s="24">
        <f t="shared" si="70"/>
        <v>1.2692307692307692</v>
      </c>
      <c r="X157" s="25">
        <f t="shared" si="71"/>
        <v>0.36363636363636365</v>
      </c>
      <c r="Y157" s="15">
        <v>4</v>
      </c>
      <c r="Z157" s="15">
        <v>7</v>
      </c>
      <c r="AA157" s="24">
        <f t="shared" si="72"/>
        <v>0.15384615384615385</v>
      </c>
      <c r="AB157" s="24">
        <f t="shared" si="73"/>
        <v>0.26923076923076922</v>
      </c>
      <c r="AC157" s="25">
        <f t="shared" si="74"/>
        <v>0.5714285714285714</v>
      </c>
      <c r="AD157" s="22">
        <v>36</v>
      </c>
      <c r="AE157" s="24">
        <f t="shared" si="75"/>
        <v>1.3846153846153846</v>
      </c>
      <c r="AF157" s="22">
        <v>15</v>
      </c>
      <c r="AG157" s="24">
        <f t="shared" si="76"/>
        <v>0.57692307692307687</v>
      </c>
      <c r="AH157" s="22">
        <v>21</v>
      </c>
      <c r="AI157" s="24">
        <f t="shared" si="77"/>
        <v>0.80769230769230771</v>
      </c>
      <c r="AJ157" s="22">
        <v>6</v>
      </c>
      <c r="AK157" s="24">
        <f t="shared" si="78"/>
        <v>0.23076923076923078</v>
      </c>
      <c r="AL157" s="13">
        <v>4</v>
      </c>
      <c r="AM157" s="24">
        <f t="shared" si="79"/>
        <v>0.15384615384615385</v>
      </c>
      <c r="AN157" s="12">
        <v>2</v>
      </c>
      <c r="AO157" s="24">
        <f t="shared" si="80"/>
        <v>7.6923076923076927E-2</v>
      </c>
      <c r="AP157" s="22">
        <v>10</v>
      </c>
      <c r="AQ157" s="24">
        <f t="shared" si="85"/>
        <v>0.38461538461538464</v>
      </c>
      <c r="AR157" s="22">
        <v>29</v>
      </c>
      <c r="AS157" s="24">
        <f t="shared" si="81"/>
        <v>1.1153846153846154</v>
      </c>
      <c r="AT157" s="26">
        <v>0.22761563170762872</v>
      </c>
      <c r="AU157" s="26">
        <v>4.9670623395008995E-2</v>
      </c>
      <c r="AV157" s="26">
        <v>0.15499833563058918</v>
      </c>
      <c r="AW157" s="26">
        <v>7.2617296077039525E-2</v>
      </c>
      <c r="AX157" s="26">
        <v>107.02820766874706</v>
      </c>
      <c r="AY157" s="26">
        <v>113.69551967513385</v>
      </c>
      <c r="AZ157" s="26">
        <v>4.2416710490070821</v>
      </c>
      <c r="BA157" s="26">
        <v>2.8461538461538463</v>
      </c>
      <c r="BB157" s="26">
        <v>16.148390616475723</v>
      </c>
      <c r="BC157" s="25">
        <v>0.57301899148657498</v>
      </c>
      <c r="BD157" s="25">
        <v>0.56896551724137934</v>
      </c>
      <c r="BE157" s="26">
        <v>8.7006122743753025</v>
      </c>
      <c r="BF157" s="25">
        <v>0.56896551724137934</v>
      </c>
      <c r="BG157" s="25">
        <v>0.1206896551724138</v>
      </c>
      <c r="BH157" s="26">
        <v>4.4165222095860619</v>
      </c>
      <c r="BI157" s="26">
        <v>6.1831310934204859</v>
      </c>
      <c r="BJ157" s="26">
        <v>5.0658561296859173</v>
      </c>
      <c r="BK157" s="26">
        <v>2.1186440677966103</v>
      </c>
      <c r="BL157" s="26">
        <v>1.1868867008861161</v>
      </c>
      <c r="BM157" s="26">
        <v>0.47698687391746336</v>
      </c>
      <c r="BN157" s="26">
        <v>14.068655036578503</v>
      </c>
      <c r="BO157" s="27" t="s">
        <v>189</v>
      </c>
      <c r="BP157" s="27"/>
      <c r="BQ157" s="17" t="s">
        <v>255</v>
      </c>
      <c r="BR157" s="35">
        <v>128.01</v>
      </c>
      <c r="BS157" s="35">
        <v>174.31</v>
      </c>
      <c r="BT157" s="35">
        <v>46.3</v>
      </c>
      <c r="BU157" s="35">
        <f t="shared" si="86"/>
        <v>4.923461538461539</v>
      </c>
      <c r="BV157" s="35">
        <f t="shared" si="87"/>
        <v>6.7042307692307697</v>
      </c>
      <c r="BW157" s="35">
        <f t="shared" si="88"/>
        <v>1.7807692307692307</v>
      </c>
      <c r="BX157" s="36">
        <f t="shared" si="89"/>
        <v>27.934533551554829</v>
      </c>
      <c r="BY157" s="36">
        <f t="shared" si="90"/>
        <v>38.03818876159302</v>
      </c>
      <c r="BZ157" s="36">
        <f t="shared" si="91"/>
        <v>10.103655210038189</v>
      </c>
      <c r="CA157" s="50">
        <v>10</v>
      </c>
      <c r="CB157" s="50">
        <v>16</v>
      </c>
    </row>
    <row r="158" spans="1:80" x14ac:dyDescent="0.4">
      <c r="A158" s="21" t="s">
        <v>231</v>
      </c>
      <c r="B158" s="51" t="s">
        <v>196</v>
      </c>
      <c r="C158" s="51" t="s">
        <v>285</v>
      </c>
      <c r="D158" s="22">
        <v>4</v>
      </c>
      <c r="E158" s="22">
        <v>7</v>
      </c>
      <c r="F158" s="22">
        <v>3</v>
      </c>
      <c r="G158" s="23">
        <v>1692</v>
      </c>
      <c r="H158" s="23">
        <v>0</v>
      </c>
      <c r="I158" s="24">
        <f t="shared" si="65"/>
        <v>0</v>
      </c>
      <c r="J158" s="22">
        <v>0</v>
      </c>
      <c r="K158" s="22">
        <v>7</v>
      </c>
      <c r="L158" s="24">
        <f t="shared" si="82"/>
        <v>0</v>
      </c>
      <c r="M158" s="24">
        <f t="shared" si="83"/>
        <v>1.75</v>
      </c>
      <c r="N158" s="25">
        <f t="shared" si="84"/>
        <v>0</v>
      </c>
      <c r="O158" s="23">
        <v>0</v>
      </c>
      <c r="P158" s="22">
        <v>5</v>
      </c>
      <c r="Q158" s="24">
        <f t="shared" si="66"/>
        <v>0</v>
      </c>
      <c r="R158" s="24">
        <f t="shared" si="67"/>
        <v>1.25</v>
      </c>
      <c r="S158" s="25">
        <f t="shared" si="68"/>
        <v>0</v>
      </c>
      <c r="T158" s="22">
        <v>0</v>
      </c>
      <c r="U158" s="22">
        <v>2</v>
      </c>
      <c r="V158" s="24">
        <f t="shared" si="69"/>
        <v>0</v>
      </c>
      <c r="W158" s="24">
        <f t="shared" si="70"/>
        <v>0.5</v>
      </c>
      <c r="X158" s="25">
        <f t="shared" si="71"/>
        <v>0</v>
      </c>
      <c r="Y158" s="22">
        <v>0</v>
      </c>
      <c r="Z158" s="22">
        <v>0</v>
      </c>
      <c r="AA158" s="24">
        <f t="shared" si="72"/>
        <v>0</v>
      </c>
      <c r="AB158" s="24">
        <f t="shared" si="73"/>
        <v>0</v>
      </c>
      <c r="AC158" s="25" t="e">
        <f t="shared" si="74"/>
        <v>#DIV/0!</v>
      </c>
      <c r="AD158" s="22">
        <v>3</v>
      </c>
      <c r="AE158" s="24">
        <f t="shared" si="75"/>
        <v>0.75</v>
      </c>
      <c r="AF158" s="22">
        <v>0</v>
      </c>
      <c r="AG158" s="24">
        <f t="shared" si="76"/>
        <v>0</v>
      </c>
      <c r="AH158" s="22">
        <v>3</v>
      </c>
      <c r="AI158" s="24">
        <f t="shared" si="77"/>
        <v>0.75</v>
      </c>
      <c r="AJ158" s="22">
        <v>2</v>
      </c>
      <c r="AK158" s="24">
        <f t="shared" si="78"/>
        <v>0.5</v>
      </c>
      <c r="AL158" s="22">
        <v>0</v>
      </c>
      <c r="AM158" s="24">
        <f t="shared" si="79"/>
        <v>0</v>
      </c>
      <c r="AN158" s="10">
        <v>1</v>
      </c>
      <c r="AO158" s="24">
        <f t="shared" si="80"/>
        <v>0.25</v>
      </c>
      <c r="AP158" s="22">
        <v>5</v>
      </c>
      <c r="AQ158" s="24">
        <f t="shared" si="85"/>
        <v>1.25</v>
      </c>
      <c r="AR158" s="22">
        <v>9</v>
      </c>
      <c r="AS158" s="24">
        <f t="shared" si="81"/>
        <v>2.25</v>
      </c>
      <c r="AT158" s="26">
        <v>-0.31466856943263277</v>
      </c>
      <c r="AU158" s="26">
        <v>-0.44633839635834438</v>
      </c>
      <c r="AV158" s="26">
        <v>-0.32113029829404688</v>
      </c>
      <c r="AW158" s="26">
        <v>6.4617288614140849E-3</v>
      </c>
      <c r="AX158" s="26">
        <v>9.688679452767019</v>
      </c>
      <c r="AY158" s="26">
        <v>115.01931624605932</v>
      </c>
      <c r="AZ158" s="26">
        <v>-1.6523936677007138</v>
      </c>
      <c r="BA158" s="26">
        <v>-1.5</v>
      </c>
      <c r="BB158" s="26">
        <v>-8.5106382978723403</v>
      </c>
      <c r="BC158" s="25">
        <v>0</v>
      </c>
      <c r="BD158" s="25">
        <v>0</v>
      </c>
      <c r="BE158" s="26">
        <v>1.4688709523424821</v>
      </c>
      <c r="BF158" s="25">
        <v>0.2857142857142857</v>
      </c>
      <c r="BG158" s="25">
        <v>0</v>
      </c>
      <c r="BH158" s="26">
        <v>0</v>
      </c>
      <c r="BI158" s="26">
        <v>0.88330444191721225</v>
      </c>
      <c r="BJ158" s="26">
        <v>0.4221546774738264</v>
      </c>
      <c r="BK158" s="26">
        <v>0.64474532559638942</v>
      </c>
      <c r="BL158" s="26">
        <v>0</v>
      </c>
      <c r="BM158" s="26">
        <v>0.23849343695873168</v>
      </c>
      <c r="BN158" s="26">
        <v>41.666666666666664</v>
      </c>
      <c r="BO158" s="27" t="s">
        <v>189</v>
      </c>
      <c r="BP158" s="28"/>
      <c r="BQ158" s="17" t="s">
        <v>253</v>
      </c>
      <c r="BR158" s="35">
        <v>1.25</v>
      </c>
      <c r="BS158" s="35">
        <v>15.55</v>
      </c>
      <c r="BT158" s="35">
        <v>14.3</v>
      </c>
      <c r="BU158" s="35">
        <f t="shared" si="86"/>
        <v>0.3125</v>
      </c>
      <c r="BV158" s="35">
        <f t="shared" si="87"/>
        <v>3.8875000000000002</v>
      </c>
      <c r="BW158" s="35">
        <f t="shared" si="88"/>
        <v>3.5750000000000002</v>
      </c>
      <c r="BX158" s="36">
        <f t="shared" si="89"/>
        <v>1.7730496453900706</v>
      </c>
      <c r="BY158" s="36">
        <f t="shared" si="90"/>
        <v>22.056737588652481</v>
      </c>
      <c r="BZ158" s="36">
        <f t="shared" si="91"/>
        <v>20.283687943262411</v>
      </c>
      <c r="CA158" s="48">
        <v>0</v>
      </c>
      <c r="CB158" s="48">
        <v>4</v>
      </c>
    </row>
    <row r="159" spans="1:80" x14ac:dyDescent="0.4">
      <c r="A159" s="21" t="s">
        <v>231</v>
      </c>
      <c r="B159" s="17" t="s">
        <v>196</v>
      </c>
      <c r="C159" s="17" t="s">
        <v>210</v>
      </c>
      <c r="D159" s="22">
        <v>13</v>
      </c>
      <c r="E159" s="22">
        <v>8</v>
      </c>
      <c r="F159" s="22">
        <v>6</v>
      </c>
      <c r="G159" s="23">
        <v>6318</v>
      </c>
      <c r="H159" s="23">
        <v>17</v>
      </c>
      <c r="I159" s="24">
        <f t="shared" si="65"/>
        <v>1.3076923076923077</v>
      </c>
      <c r="J159" s="22">
        <v>7</v>
      </c>
      <c r="K159" s="22">
        <v>34</v>
      </c>
      <c r="L159" s="24">
        <f t="shared" si="82"/>
        <v>0.53846153846153844</v>
      </c>
      <c r="M159" s="24">
        <f t="shared" si="83"/>
        <v>2.6153846153846154</v>
      </c>
      <c r="N159" s="25">
        <f t="shared" si="84"/>
        <v>0.20588235294117646</v>
      </c>
      <c r="O159" s="23">
        <v>4</v>
      </c>
      <c r="P159" s="22">
        <v>16</v>
      </c>
      <c r="Q159" s="24">
        <f t="shared" si="66"/>
        <v>0.30769230769230771</v>
      </c>
      <c r="R159" s="24">
        <f t="shared" si="67"/>
        <v>1.2307692307692308</v>
      </c>
      <c r="S159" s="25">
        <f t="shared" si="68"/>
        <v>0.25</v>
      </c>
      <c r="T159" s="22">
        <v>3</v>
      </c>
      <c r="U159" s="22">
        <v>18</v>
      </c>
      <c r="V159" s="24">
        <f t="shared" si="69"/>
        <v>0.23076923076923078</v>
      </c>
      <c r="W159" s="24">
        <f t="shared" si="70"/>
        <v>1.3846153846153846</v>
      </c>
      <c r="X159" s="25">
        <f t="shared" si="71"/>
        <v>0.16666666666666666</v>
      </c>
      <c r="Y159" s="22">
        <v>0</v>
      </c>
      <c r="Z159" s="22">
        <v>0</v>
      </c>
      <c r="AA159" s="24">
        <f t="shared" si="72"/>
        <v>0</v>
      </c>
      <c r="AB159" s="24">
        <f t="shared" si="73"/>
        <v>0</v>
      </c>
      <c r="AC159" s="25" t="e">
        <f t="shared" si="74"/>
        <v>#DIV/0!</v>
      </c>
      <c r="AD159" s="22">
        <v>9</v>
      </c>
      <c r="AE159" s="24">
        <f t="shared" si="75"/>
        <v>0.69230769230769229</v>
      </c>
      <c r="AF159" s="22">
        <v>5</v>
      </c>
      <c r="AG159" s="24">
        <f t="shared" si="76"/>
        <v>0.38461538461538464</v>
      </c>
      <c r="AH159" s="22">
        <v>4</v>
      </c>
      <c r="AI159" s="24">
        <f t="shared" si="77"/>
        <v>0.30769230769230771</v>
      </c>
      <c r="AJ159" s="22">
        <v>5</v>
      </c>
      <c r="AK159" s="24">
        <f t="shared" si="78"/>
        <v>0.38461538461538464</v>
      </c>
      <c r="AL159" s="22">
        <v>1</v>
      </c>
      <c r="AM159" s="24">
        <f t="shared" si="79"/>
        <v>7.6923076923076927E-2</v>
      </c>
      <c r="AN159" s="10">
        <v>1</v>
      </c>
      <c r="AO159" s="24">
        <f t="shared" si="80"/>
        <v>7.6923076923076927E-2</v>
      </c>
      <c r="AP159" s="22">
        <v>2</v>
      </c>
      <c r="AQ159" s="24">
        <f t="shared" si="85"/>
        <v>0.15384615384615385</v>
      </c>
      <c r="AR159" s="22">
        <v>9</v>
      </c>
      <c r="AS159" s="24">
        <f t="shared" si="81"/>
        <v>0.69230769230769229</v>
      </c>
      <c r="AT159" s="26">
        <v>-0.35329053701443808</v>
      </c>
      <c r="AU159" s="26">
        <v>-0.13420343286398409</v>
      </c>
      <c r="AV159" s="26">
        <v>-0.32740250147019828</v>
      </c>
      <c r="AW159" s="26">
        <v>-2.5888035544239803E-2</v>
      </c>
      <c r="AX159" s="26">
        <v>67.252812618751577</v>
      </c>
      <c r="AY159" s="26">
        <v>118.78391374340558</v>
      </c>
      <c r="AZ159" s="26">
        <v>-0.36955649994821654</v>
      </c>
      <c r="BA159" s="26">
        <v>0.30769230769230771</v>
      </c>
      <c r="BB159" s="26">
        <v>1.5194681861348527</v>
      </c>
      <c r="BC159" s="25">
        <v>0.25</v>
      </c>
      <c r="BD159" s="25">
        <v>0.25</v>
      </c>
      <c r="BE159" s="26">
        <v>3.8353852644498145</v>
      </c>
      <c r="BF159" s="25">
        <v>0.52941176470588236</v>
      </c>
      <c r="BG159" s="25">
        <v>0</v>
      </c>
      <c r="BH159" s="26">
        <v>1.2813366904354622</v>
      </c>
      <c r="BI159" s="26">
        <v>1.0250693523483698</v>
      </c>
      <c r="BJ159" s="26">
        <v>1.1022927689594357</v>
      </c>
      <c r="BK159" s="26">
        <v>1.4310246136233542</v>
      </c>
      <c r="BL159" s="26">
        <v>0.51651550871895791</v>
      </c>
      <c r="BM159" s="26">
        <v>0.20757762105667391</v>
      </c>
      <c r="BN159" s="26">
        <v>5.5555555555555554</v>
      </c>
      <c r="BO159" s="27" t="s">
        <v>189</v>
      </c>
      <c r="BP159" s="28"/>
      <c r="BQ159" s="17" t="s">
        <v>253</v>
      </c>
      <c r="BR159" s="35">
        <v>38.840000000000003</v>
      </c>
      <c r="BS159" s="35">
        <v>67.34</v>
      </c>
      <c r="BT159" s="35">
        <v>28.5</v>
      </c>
      <c r="BU159" s="35">
        <f t="shared" si="86"/>
        <v>2.9876923076923081</v>
      </c>
      <c r="BV159" s="35">
        <f t="shared" si="87"/>
        <v>5.1800000000000006</v>
      </c>
      <c r="BW159" s="35">
        <f t="shared" si="88"/>
        <v>2.1923076923076925</v>
      </c>
      <c r="BX159" s="36">
        <f t="shared" si="89"/>
        <v>14.754036087369421</v>
      </c>
      <c r="BY159" s="36">
        <f t="shared" si="90"/>
        <v>25.580246913580247</v>
      </c>
      <c r="BZ159" s="36">
        <f t="shared" si="91"/>
        <v>10.826210826210826</v>
      </c>
      <c r="CA159" s="50">
        <v>5</v>
      </c>
      <c r="CB159" s="50">
        <v>8</v>
      </c>
    </row>
    <row r="160" spans="1:80" x14ac:dyDescent="0.4">
      <c r="A160" s="21" t="s">
        <v>231</v>
      </c>
      <c r="B160" s="17" t="s">
        <v>196</v>
      </c>
      <c r="C160" s="17" t="s">
        <v>101</v>
      </c>
      <c r="D160" s="22">
        <v>53</v>
      </c>
      <c r="E160" s="22">
        <v>30</v>
      </c>
      <c r="F160" s="22">
        <v>30</v>
      </c>
      <c r="G160" s="23">
        <v>96990</v>
      </c>
      <c r="H160" s="23">
        <v>707</v>
      </c>
      <c r="I160" s="24">
        <f t="shared" si="65"/>
        <v>13.339622641509434</v>
      </c>
      <c r="J160" s="22">
        <v>269</v>
      </c>
      <c r="K160" s="22">
        <v>648</v>
      </c>
      <c r="L160" s="24">
        <f t="shared" si="82"/>
        <v>5.0754716981132075</v>
      </c>
      <c r="M160" s="24">
        <f t="shared" si="83"/>
        <v>12.226415094339623</v>
      </c>
      <c r="N160" s="25">
        <f t="shared" si="84"/>
        <v>0.41512345679012347</v>
      </c>
      <c r="O160" s="23">
        <v>192</v>
      </c>
      <c r="P160" s="22">
        <v>424</v>
      </c>
      <c r="Q160" s="24">
        <f t="shared" si="66"/>
        <v>3.6226415094339623</v>
      </c>
      <c r="R160" s="24">
        <f t="shared" si="67"/>
        <v>8</v>
      </c>
      <c r="S160" s="25">
        <f t="shared" si="68"/>
        <v>0.45283018867924529</v>
      </c>
      <c r="T160" s="22">
        <v>77</v>
      </c>
      <c r="U160" s="22">
        <v>224</v>
      </c>
      <c r="V160" s="24">
        <f t="shared" si="69"/>
        <v>1.4528301886792452</v>
      </c>
      <c r="W160" s="24">
        <f t="shared" si="70"/>
        <v>4.2264150943396226</v>
      </c>
      <c r="X160" s="25">
        <f t="shared" si="71"/>
        <v>0.34375</v>
      </c>
      <c r="Y160" s="22">
        <v>92</v>
      </c>
      <c r="Z160" s="22">
        <v>113</v>
      </c>
      <c r="AA160" s="24">
        <f t="shared" si="72"/>
        <v>1.7358490566037736</v>
      </c>
      <c r="AB160" s="24">
        <f t="shared" si="73"/>
        <v>2.1320754716981134</v>
      </c>
      <c r="AC160" s="25">
        <f t="shared" si="74"/>
        <v>0.81415929203539827</v>
      </c>
      <c r="AD160" s="22">
        <v>184</v>
      </c>
      <c r="AE160" s="24">
        <f t="shared" si="75"/>
        <v>3.4716981132075473</v>
      </c>
      <c r="AF160" s="22">
        <v>35</v>
      </c>
      <c r="AG160" s="24">
        <f t="shared" si="76"/>
        <v>0.660377358490566</v>
      </c>
      <c r="AH160" s="22">
        <v>149</v>
      </c>
      <c r="AI160" s="24">
        <f t="shared" si="77"/>
        <v>2.8113207547169812</v>
      </c>
      <c r="AJ160" s="22">
        <v>269</v>
      </c>
      <c r="AK160" s="24">
        <f t="shared" si="78"/>
        <v>5.0754716981132075</v>
      </c>
      <c r="AL160" s="22">
        <v>74</v>
      </c>
      <c r="AM160" s="24">
        <f t="shared" si="79"/>
        <v>1.3962264150943395</v>
      </c>
      <c r="AN160" s="9">
        <v>7</v>
      </c>
      <c r="AO160" s="24">
        <f t="shared" si="80"/>
        <v>0.13207547169811321</v>
      </c>
      <c r="AP160" s="22">
        <v>92</v>
      </c>
      <c r="AQ160" s="24">
        <f t="shared" si="85"/>
        <v>1.7358490566037736</v>
      </c>
      <c r="AR160" s="22">
        <v>133</v>
      </c>
      <c r="AS160" s="24">
        <f t="shared" si="81"/>
        <v>2.5094339622641511</v>
      </c>
      <c r="AT160" s="26">
        <v>2.7359534536048948</v>
      </c>
      <c r="AU160" s="26">
        <v>6.7700673148280724E-2</v>
      </c>
      <c r="AV160" s="26">
        <v>1.8102820454617161</v>
      </c>
      <c r="AW160" s="26">
        <v>0.92567140814317872</v>
      </c>
      <c r="AX160" s="26">
        <v>107.13896261205053</v>
      </c>
      <c r="AY160" s="26">
        <v>112.29685857175149</v>
      </c>
      <c r="AZ160" s="26">
        <v>12.945170998127676</v>
      </c>
      <c r="BA160" s="26">
        <v>14.132075471698114</v>
      </c>
      <c r="BB160" s="26">
        <v>18.533869471079495</v>
      </c>
      <c r="BC160" s="25">
        <v>0.50665023218483052</v>
      </c>
      <c r="BD160" s="25">
        <v>0.47453703703703703</v>
      </c>
      <c r="BE160" s="26">
        <v>22.344200048665382</v>
      </c>
      <c r="BF160" s="25">
        <v>0.34567901234567899</v>
      </c>
      <c r="BG160" s="25">
        <v>0.17438271604938271</v>
      </c>
      <c r="BH160" s="26">
        <v>2.3820259130390395</v>
      </c>
      <c r="BI160" s="26">
        <v>10.14062460122334</v>
      </c>
      <c r="BJ160" s="26">
        <v>5.9849076242518864</v>
      </c>
      <c r="BK160" s="26">
        <v>25.069897483690585</v>
      </c>
      <c r="BL160" s="26">
        <v>2.4898188351623038</v>
      </c>
      <c r="BM160" s="26">
        <v>0.38589020045617733</v>
      </c>
      <c r="BN160" s="26">
        <v>11.649698627361596</v>
      </c>
      <c r="BO160" s="27" t="s">
        <v>233</v>
      </c>
      <c r="BP160" s="28"/>
      <c r="BQ160" s="17" t="s">
        <v>255</v>
      </c>
      <c r="BR160" s="35">
        <v>1291.54</v>
      </c>
      <c r="BS160" s="35">
        <v>1810.64</v>
      </c>
      <c r="BT160" s="35">
        <v>519.1</v>
      </c>
      <c r="BU160" s="35">
        <f t="shared" si="86"/>
        <v>24.368679245283019</v>
      </c>
      <c r="BV160" s="35">
        <f t="shared" si="87"/>
        <v>34.163018867924528</v>
      </c>
      <c r="BW160" s="35">
        <f t="shared" si="88"/>
        <v>9.7943396226415107</v>
      </c>
      <c r="BX160" s="36">
        <f t="shared" si="89"/>
        <v>31.958923600371172</v>
      </c>
      <c r="BY160" s="36">
        <f t="shared" si="90"/>
        <v>44.803959171048561</v>
      </c>
      <c r="BZ160" s="36">
        <f t="shared" si="91"/>
        <v>12.845035570677389</v>
      </c>
      <c r="CA160" s="50">
        <v>22</v>
      </c>
      <c r="CB160" s="50">
        <v>31</v>
      </c>
    </row>
    <row r="161" spans="1:80" x14ac:dyDescent="0.4">
      <c r="A161" s="21" t="s">
        <v>231</v>
      </c>
      <c r="B161" s="17" t="s">
        <v>196</v>
      </c>
      <c r="C161" s="17" t="s">
        <v>105</v>
      </c>
      <c r="D161" s="16">
        <v>3</v>
      </c>
      <c r="E161" s="16">
        <v>2</v>
      </c>
      <c r="F161" s="16">
        <v>56</v>
      </c>
      <c r="G161" s="23">
        <v>528</v>
      </c>
      <c r="H161" s="23">
        <v>2</v>
      </c>
      <c r="I161" s="24">
        <f t="shared" si="65"/>
        <v>0.66666666666666663</v>
      </c>
      <c r="J161" s="22">
        <v>1</v>
      </c>
      <c r="K161" s="22">
        <v>2</v>
      </c>
      <c r="L161" s="24">
        <f t="shared" si="82"/>
        <v>0.33333333333333331</v>
      </c>
      <c r="M161" s="24">
        <f t="shared" si="83"/>
        <v>0.66666666666666663</v>
      </c>
      <c r="N161" s="25">
        <f t="shared" si="84"/>
        <v>0.5</v>
      </c>
      <c r="O161" s="23">
        <v>1</v>
      </c>
      <c r="P161" s="22">
        <v>2</v>
      </c>
      <c r="Q161" s="24">
        <f t="shared" si="66"/>
        <v>0.33333333333333331</v>
      </c>
      <c r="R161" s="24">
        <f t="shared" si="67"/>
        <v>0.66666666666666663</v>
      </c>
      <c r="S161" s="25">
        <f t="shared" si="68"/>
        <v>0.5</v>
      </c>
      <c r="T161" s="22">
        <v>0</v>
      </c>
      <c r="U161" s="22">
        <v>0</v>
      </c>
      <c r="V161" s="24">
        <f t="shared" si="69"/>
        <v>0</v>
      </c>
      <c r="W161" s="24">
        <f t="shared" si="70"/>
        <v>0</v>
      </c>
      <c r="X161" s="25" t="e">
        <f t="shared" si="71"/>
        <v>#DIV/0!</v>
      </c>
      <c r="Y161" s="15">
        <v>0</v>
      </c>
      <c r="Z161" s="15">
        <v>0</v>
      </c>
      <c r="AA161" s="24">
        <f t="shared" si="72"/>
        <v>0</v>
      </c>
      <c r="AB161" s="24">
        <f t="shared" si="73"/>
        <v>0</v>
      </c>
      <c r="AC161" s="25" t="e">
        <f t="shared" si="74"/>
        <v>#DIV/0!</v>
      </c>
      <c r="AD161" s="22">
        <v>3</v>
      </c>
      <c r="AE161" s="24">
        <f t="shared" si="75"/>
        <v>1</v>
      </c>
      <c r="AF161" s="22">
        <v>2</v>
      </c>
      <c r="AG161" s="24">
        <f t="shared" si="76"/>
        <v>0.66666666666666663</v>
      </c>
      <c r="AH161" s="22">
        <v>1</v>
      </c>
      <c r="AI161" s="24">
        <f t="shared" si="77"/>
        <v>0.33333333333333331</v>
      </c>
      <c r="AJ161" s="22">
        <v>1</v>
      </c>
      <c r="AK161" s="24">
        <f t="shared" si="78"/>
        <v>0.33333333333333331</v>
      </c>
      <c r="AL161" s="13">
        <v>0</v>
      </c>
      <c r="AM161" s="24">
        <f t="shared" si="79"/>
        <v>0</v>
      </c>
      <c r="AN161" s="8">
        <v>0</v>
      </c>
      <c r="AO161" s="24">
        <f t="shared" si="80"/>
        <v>0</v>
      </c>
      <c r="AP161" s="22">
        <v>1</v>
      </c>
      <c r="AQ161" s="24">
        <f t="shared" si="85"/>
        <v>0.33333333333333331</v>
      </c>
      <c r="AR161" s="22">
        <v>5</v>
      </c>
      <c r="AS161" s="24">
        <f t="shared" si="81"/>
        <v>1.6666666666666667</v>
      </c>
      <c r="AT161" s="26">
        <v>-3.5636381260455998E-4</v>
      </c>
      <c r="AU161" s="26">
        <v>-1.619835511838909E-3</v>
      </c>
      <c r="AV161" s="26">
        <v>-1.4309906624960888E-3</v>
      </c>
      <c r="AW161" s="26">
        <v>1.0746268498915289E-3</v>
      </c>
      <c r="AX161" s="26">
        <v>98.261358216309276</v>
      </c>
      <c r="AY161" s="26">
        <v>115.86753930156208</v>
      </c>
      <c r="AZ161" s="26">
        <v>-0.23658568604421626</v>
      </c>
      <c r="BA161" s="26">
        <v>1.3333333333333333</v>
      </c>
      <c r="BB161" s="26">
        <v>18.18181818181818</v>
      </c>
      <c r="BC161" s="25">
        <v>0.5</v>
      </c>
      <c r="BD161" s="25">
        <v>0.5</v>
      </c>
      <c r="BE161" s="26">
        <v>0.88257445005805391</v>
      </c>
      <c r="BF161" s="25">
        <v>0</v>
      </c>
      <c r="BG161" s="25">
        <v>0</v>
      </c>
      <c r="BH161" s="26">
        <v>1.415294617162806</v>
      </c>
      <c r="BI161" s="26">
        <v>0.70764730858140301</v>
      </c>
      <c r="BJ161" s="26">
        <v>1.0146103896103895</v>
      </c>
      <c r="BK161" s="26">
        <v>0.78084331077563773</v>
      </c>
      <c r="BL161" s="26">
        <v>0</v>
      </c>
      <c r="BM161" s="26">
        <v>0</v>
      </c>
      <c r="BN161" s="26">
        <v>33.333333333333336</v>
      </c>
      <c r="BO161" s="27" t="s">
        <v>189</v>
      </c>
      <c r="BP161" s="28"/>
      <c r="BQ161" s="17" t="s">
        <v>255</v>
      </c>
      <c r="BR161" s="35">
        <v>7.2</v>
      </c>
      <c r="BS161" s="35">
        <v>9.6999999999999993</v>
      </c>
      <c r="BT161" s="35">
        <v>2.5</v>
      </c>
      <c r="BU161" s="35">
        <f t="shared" si="86"/>
        <v>2.3999999999999995</v>
      </c>
      <c r="BV161" s="35">
        <f t="shared" si="87"/>
        <v>3.2333333333333329</v>
      </c>
      <c r="BW161" s="35">
        <f t="shared" si="88"/>
        <v>0.83333333333333337</v>
      </c>
      <c r="BX161" s="36">
        <f t="shared" si="89"/>
        <v>32.727272727272734</v>
      </c>
      <c r="BY161" s="36">
        <f t="shared" si="90"/>
        <v>44.090909090909093</v>
      </c>
      <c r="BZ161" s="36">
        <f t="shared" si="91"/>
        <v>11.363636363636363</v>
      </c>
      <c r="CA161" s="50">
        <v>0</v>
      </c>
      <c r="CB161" s="50">
        <v>3</v>
      </c>
    </row>
    <row r="162" spans="1:80" x14ac:dyDescent="0.4">
      <c r="A162" s="21" t="s">
        <v>231</v>
      </c>
      <c r="B162" s="17" t="s">
        <v>196</v>
      </c>
      <c r="C162" s="17" t="s">
        <v>108</v>
      </c>
      <c r="D162" s="22">
        <v>26</v>
      </c>
      <c r="E162" s="22">
        <v>11</v>
      </c>
      <c r="F162" s="22">
        <v>25</v>
      </c>
      <c r="G162" s="23">
        <v>17810</v>
      </c>
      <c r="H162" s="23">
        <v>89</v>
      </c>
      <c r="I162" s="24">
        <f t="shared" si="65"/>
        <v>3.4230769230769229</v>
      </c>
      <c r="J162" s="22">
        <v>32</v>
      </c>
      <c r="K162" s="22">
        <v>96</v>
      </c>
      <c r="L162" s="24">
        <f t="shared" si="82"/>
        <v>1.2307692307692308</v>
      </c>
      <c r="M162" s="24">
        <f t="shared" si="83"/>
        <v>3.6923076923076925</v>
      </c>
      <c r="N162" s="25">
        <f t="shared" si="84"/>
        <v>0.33333333333333331</v>
      </c>
      <c r="O162" s="23">
        <v>22</v>
      </c>
      <c r="P162" s="22">
        <v>51</v>
      </c>
      <c r="Q162" s="24">
        <f t="shared" si="66"/>
        <v>0.84615384615384615</v>
      </c>
      <c r="R162" s="24">
        <f t="shared" si="67"/>
        <v>1.9615384615384615</v>
      </c>
      <c r="S162" s="25">
        <f t="shared" si="68"/>
        <v>0.43137254901960786</v>
      </c>
      <c r="T162" s="22">
        <v>10</v>
      </c>
      <c r="U162" s="22">
        <v>45</v>
      </c>
      <c r="V162" s="24">
        <f t="shared" si="69"/>
        <v>0.38461538461538464</v>
      </c>
      <c r="W162" s="24">
        <f t="shared" si="70"/>
        <v>1.7307692307692308</v>
      </c>
      <c r="X162" s="25">
        <f t="shared" si="71"/>
        <v>0.22222222222222221</v>
      </c>
      <c r="Y162" s="22">
        <v>15</v>
      </c>
      <c r="Z162" s="22">
        <v>26</v>
      </c>
      <c r="AA162" s="24">
        <f t="shared" si="72"/>
        <v>0.57692307692307687</v>
      </c>
      <c r="AB162" s="24">
        <f t="shared" si="73"/>
        <v>1</v>
      </c>
      <c r="AC162" s="25">
        <f t="shared" si="74"/>
        <v>0.57692307692307687</v>
      </c>
      <c r="AD162" s="22">
        <v>26</v>
      </c>
      <c r="AE162" s="24">
        <f t="shared" si="75"/>
        <v>1</v>
      </c>
      <c r="AF162" s="22">
        <v>7</v>
      </c>
      <c r="AG162" s="24">
        <f t="shared" si="76"/>
        <v>0.26923076923076922</v>
      </c>
      <c r="AH162" s="22">
        <v>19</v>
      </c>
      <c r="AI162" s="24">
        <f t="shared" si="77"/>
        <v>0.73076923076923073</v>
      </c>
      <c r="AJ162" s="22">
        <v>34</v>
      </c>
      <c r="AK162" s="24">
        <f t="shared" si="78"/>
        <v>1.3076923076923077</v>
      </c>
      <c r="AL162" s="22">
        <v>8</v>
      </c>
      <c r="AM162" s="24">
        <f t="shared" si="79"/>
        <v>0.30769230769230771</v>
      </c>
      <c r="AN162" s="10">
        <v>2</v>
      </c>
      <c r="AO162" s="24">
        <f t="shared" si="80"/>
        <v>7.6923076923076927E-2</v>
      </c>
      <c r="AP162" s="22">
        <v>22</v>
      </c>
      <c r="AQ162" s="24">
        <f t="shared" si="85"/>
        <v>0.84615384615384615</v>
      </c>
      <c r="AR162" s="22">
        <v>49</v>
      </c>
      <c r="AS162" s="24">
        <f t="shared" si="81"/>
        <v>1.8846153846153846</v>
      </c>
      <c r="AT162" s="26">
        <v>-0.51291477060769974</v>
      </c>
      <c r="AU162" s="26">
        <v>-6.9118217263249834E-2</v>
      </c>
      <c r="AV162" s="26">
        <v>-0.56420633077901339</v>
      </c>
      <c r="AW162" s="26">
        <v>5.1291560171313609E-2</v>
      </c>
      <c r="AX162" s="26">
        <v>85.005468935669512</v>
      </c>
      <c r="AY162" s="26">
        <v>115.46587462785112</v>
      </c>
      <c r="AZ162" s="26">
        <v>0.8314587232614834</v>
      </c>
      <c r="BA162" s="26">
        <v>2.3846153846153846</v>
      </c>
      <c r="BB162" s="26">
        <v>8.3548568220101078</v>
      </c>
      <c r="BC162" s="25">
        <v>0.41418466120625469</v>
      </c>
      <c r="BD162" s="25">
        <v>0.38541666666666669</v>
      </c>
      <c r="BE162" s="26">
        <v>9.7840958051243536</v>
      </c>
      <c r="BF162" s="25">
        <v>0.46875</v>
      </c>
      <c r="BG162" s="25">
        <v>0.27083333333333331</v>
      </c>
      <c r="BH162" s="26">
        <v>1.2727320936821729</v>
      </c>
      <c r="BI162" s="26">
        <v>3.45455853999447</v>
      </c>
      <c r="BJ162" s="26">
        <v>2.2592978797358358</v>
      </c>
      <c r="BK162" s="26">
        <v>7.2289156626506026</v>
      </c>
      <c r="BL162" s="26">
        <v>1.4658483926272325</v>
      </c>
      <c r="BM162" s="26">
        <v>0.29454809878406862</v>
      </c>
      <c r="BN162" s="26">
        <v>16.996291718170582</v>
      </c>
      <c r="BO162" s="27" t="s">
        <v>189</v>
      </c>
      <c r="BP162" s="28"/>
      <c r="BQ162" s="17" t="s">
        <v>254</v>
      </c>
      <c r="BR162" s="35">
        <v>151.38999999999999</v>
      </c>
      <c r="BS162" s="35">
        <v>253.69</v>
      </c>
      <c r="BT162" s="35">
        <v>102.3</v>
      </c>
      <c r="BU162" s="35">
        <f t="shared" si="86"/>
        <v>5.8226923076923089</v>
      </c>
      <c r="BV162" s="35">
        <f t="shared" si="87"/>
        <v>9.7573076923076929</v>
      </c>
      <c r="BW162" s="35">
        <f t="shared" si="88"/>
        <v>3.9346153846153844</v>
      </c>
      <c r="BX162" s="36">
        <f t="shared" si="89"/>
        <v>20.400673778775968</v>
      </c>
      <c r="BY162" s="36">
        <f t="shared" si="90"/>
        <v>34.186187535092643</v>
      </c>
      <c r="BZ162" s="36">
        <f t="shared" si="91"/>
        <v>13.785513756316677</v>
      </c>
      <c r="CA162" s="50">
        <v>11</v>
      </c>
      <c r="CB162" s="50">
        <v>15</v>
      </c>
    </row>
    <row r="163" spans="1:80" x14ac:dyDescent="0.4">
      <c r="A163" s="21" t="s">
        <v>231</v>
      </c>
      <c r="B163" s="37" t="s">
        <v>196</v>
      </c>
      <c r="C163" s="37" t="s">
        <v>110</v>
      </c>
      <c r="D163" s="22">
        <v>8</v>
      </c>
      <c r="E163" s="22">
        <v>8</v>
      </c>
      <c r="F163" s="22">
        <v>17</v>
      </c>
      <c r="G163" s="23">
        <v>3976</v>
      </c>
      <c r="H163" s="23">
        <v>25</v>
      </c>
      <c r="I163" s="24">
        <f t="shared" si="65"/>
        <v>3.125</v>
      </c>
      <c r="J163" s="22">
        <v>11</v>
      </c>
      <c r="K163" s="22">
        <v>20</v>
      </c>
      <c r="L163" s="24">
        <f t="shared" si="82"/>
        <v>1.375</v>
      </c>
      <c r="M163" s="24">
        <f t="shared" si="83"/>
        <v>2.5</v>
      </c>
      <c r="N163" s="25">
        <f t="shared" si="84"/>
        <v>0.55000000000000004</v>
      </c>
      <c r="O163" s="23">
        <v>9</v>
      </c>
      <c r="P163" s="22">
        <v>15</v>
      </c>
      <c r="Q163" s="24">
        <f t="shared" si="66"/>
        <v>1.125</v>
      </c>
      <c r="R163" s="24">
        <f t="shared" si="67"/>
        <v>1.875</v>
      </c>
      <c r="S163" s="25">
        <f t="shared" si="68"/>
        <v>0.6</v>
      </c>
      <c r="T163" s="22">
        <v>2</v>
      </c>
      <c r="U163" s="22">
        <v>5</v>
      </c>
      <c r="V163" s="24">
        <f t="shared" si="69"/>
        <v>0.25</v>
      </c>
      <c r="W163" s="24">
        <f t="shared" si="70"/>
        <v>0.625</v>
      </c>
      <c r="X163" s="25">
        <f t="shared" si="71"/>
        <v>0.4</v>
      </c>
      <c r="Y163" s="22">
        <v>1</v>
      </c>
      <c r="Z163" s="22">
        <v>3</v>
      </c>
      <c r="AA163" s="24">
        <f t="shared" si="72"/>
        <v>0.125</v>
      </c>
      <c r="AB163" s="24">
        <f t="shared" si="73"/>
        <v>0.375</v>
      </c>
      <c r="AC163" s="25">
        <f t="shared" si="74"/>
        <v>0.33333333333333331</v>
      </c>
      <c r="AD163" s="22">
        <v>8</v>
      </c>
      <c r="AE163" s="24">
        <f t="shared" si="75"/>
        <v>1</v>
      </c>
      <c r="AF163" s="22">
        <v>3</v>
      </c>
      <c r="AG163" s="24">
        <f t="shared" si="76"/>
        <v>0.375</v>
      </c>
      <c r="AH163" s="22">
        <v>5</v>
      </c>
      <c r="AI163" s="24">
        <f t="shared" si="77"/>
        <v>0.625</v>
      </c>
      <c r="AJ163" s="22">
        <v>6</v>
      </c>
      <c r="AK163" s="24">
        <f t="shared" si="78"/>
        <v>0.75</v>
      </c>
      <c r="AL163" s="22">
        <v>3</v>
      </c>
      <c r="AM163" s="24">
        <f t="shared" si="79"/>
        <v>0.375</v>
      </c>
      <c r="AN163" s="10">
        <v>0</v>
      </c>
      <c r="AO163" s="24">
        <f t="shared" si="80"/>
        <v>0</v>
      </c>
      <c r="AP163" s="22">
        <v>4</v>
      </c>
      <c r="AQ163" s="24">
        <f t="shared" si="85"/>
        <v>0.5</v>
      </c>
      <c r="AR163" s="22">
        <v>16</v>
      </c>
      <c r="AS163" s="24">
        <f t="shared" si="81"/>
        <v>2</v>
      </c>
      <c r="AT163" s="26">
        <v>9.6845996211666729E-2</v>
      </c>
      <c r="AU163" s="26">
        <v>5.8458347813883337E-2</v>
      </c>
      <c r="AV163" s="26">
        <v>6.3847882976859741E-2</v>
      </c>
      <c r="AW163" s="26">
        <v>3.2998113234806982E-2</v>
      </c>
      <c r="AX163" s="26">
        <v>107.96660582019642</v>
      </c>
      <c r="AY163" s="26">
        <v>112.88874416797906</v>
      </c>
      <c r="AZ163" s="26">
        <v>1.0789499336364956</v>
      </c>
      <c r="BA163" s="26">
        <v>3.375</v>
      </c>
      <c r="BB163" s="26">
        <v>16.29778672032193</v>
      </c>
      <c r="BC163" s="25">
        <v>0.58630393996247654</v>
      </c>
      <c r="BD163" s="25">
        <v>0.6</v>
      </c>
      <c r="BE163" s="26">
        <v>2.6378498814773348</v>
      </c>
      <c r="BF163" s="25">
        <v>0.25</v>
      </c>
      <c r="BG163" s="25">
        <v>0.15</v>
      </c>
      <c r="BH163" s="26">
        <v>0.75178627551505195</v>
      </c>
      <c r="BI163" s="26">
        <v>1.2529771258584197</v>
      </c>
      <c r="BJ163" s="26">
        <v>0.95812973076554564</v>
      </c>
      <c r="BK163" s="26">
        <v>1.6974726518294982</v>
      </c>
      <c r="BL163" s="26">
        <v>2.4622824326607473</v>
      </c>
      <c r="BM163" s="26">
        <v>0</v>
      </c>
      <c r="BN163" s="26">
        <v>15.797788309636651</v>
      </c>
      <c r="BO163" s="27" t="s">
        <v>189</v>
      </c>
      <c r="BP163" s="28"/>
      <c r="BQ163" s="17" t="s">
        <v>255</v>
      </c>
      <c r="BR163" s="35">
        <v>48.28</v>
      </c>
      <c r="BS163" s="35">
        <v>64.58</v>
      </c>
      <c r="BT163" s="35">
        <v>16.3</v>
      </c>
      <c r="BU163" s="35">
        <f t="shared" si="86"/>
        <v>6.0350000000000001</v>
      </c>
      <c r="BV163" s="35">
        <f t="shared" si="87"/>
        <v>8.0724999999999998</v>
      </c>
      <c r="BW163" s="35">
        <f t="shared" si="88"/>
        <v>2.0375000000000001</v>
      </c>
      <c r="BX163" s="36">
        <f t="shared" si="89"/>
        <v>29.142857142857142</v>
      </c>
      <c r="BY163" s="36">
        <f t="shared" si="90"/>
        <v>38.981891348088531</v>
      </c>
      <c r="BZ163" s="36">
        <f t="shared" si="91"/>
        <v>9.8390342052313891</v>
      </c>
      <c r="CA163" s="48">
        <v>2</v>
      </c>
      <c r="CB163" s="48">
        <v>6</v>
      </c>
    </row>
    <row r="164" spans="1:80" x14ac:dyDescent="0.4">
      <c r="A164" s="21" t="s">
        <v>231</v>
      </c>
      <c r="B164" s="48" t="s">
        <v>196</v>
      </c>
      <c r="C164" s="17" t="s">
        <v>211</v>
      </c>
      <c r="D164" s="22">
        <v>34</v>
      </c>
      <c r="E164" s="22">
        <v>14</v>
      </c>
      <c r="F164" s="22">
        <v>16</v>
      </c>
      <c r="G164" s="23">
        <v>29104</v>
      </c>
      <c r="H164" s="23">
        <v>150</v>
      </c>
      <c r="I164" s="24">
        <f t="shared" si="65"/>
        <v>4.4117647058823533</v>
      </c>
      <c r="J164" s="22">
        <v>62</v>
      </c>
      <c r="K164" s="22">
        <v>156</v>
      </c>
      <c r="L164" s="24">
        <f t="shared" si="82"/>
        <v>1.8235294117647058</v>
      </c>
      <c r="M164" s="24">
        <f t="shared" si="83"/>
        <v>4.5882352941176467</v>
      </c>
      <c r="N164" s="25">
        <f t="shared" si="84"/>
        <v>0.39743589743589741</v>
      </c>
      <c r="O164" s="23">
        <v>51</v>
      </c>
      <c r="P164" s="22">
        <v>104</v>
      </c>
      <c r="Q164" s="24">
        <f t="shared" si="66"/>
        <v>1.5</v>
      </c>
      <c r="R164" s="24">
        <f t="shared" si="67"/>
        <v>3.0588235294117645</v>
      </c>
      <c r="S164" s="25">
        <f t="shared" si="68"/>
        <v>0.49038461538461536</v>
      </c>
      <c r="T164" s="22">
        <v>11</v>
      </c>
      <c r="U164" s="22">
        <v>52</v>
      </c>
      <c r="V164" s="24">
        <f t="shared" si="69"/>
        <v>0.3235294117647059</v>
      </c>
      <c r="W164" s="24">
        <f t="shared" si="70"/>
        <v>1.5294117647058822</v>
      </c>
      <c r="X164" s="25">
        <f t="shared" si="71"/>
        <v>0.21153846153846154</v>
      </c>
      <c r="Y164" s="22">
        <v>15</v>
      </c>
      <c r="Z164" s="22">
        <v>23</v>
      </c>
      <c r="AA164" s="24">
        <f t="shared" si="72"/>
        <v>0.44117647058823528</v>
      </c>
      <c r="AB164" s="24">
        <f t="shared" si="73"/>
        <v>0.67647058823529416</v>
      </c>
      <c r="AC164" s="25">
        <f t="shared" si="74"/>
        <v>0.65217391304347827</v>
      </c>
      <c r="AD164" s="22">
        <v>42</v>
      </c>
      <c r="AE164" s="24">
        <f t="shared" si="75"/>
        <v>1.2352941176470589</v>
      </c>
      <c r="AF164" s="22">
        <v>18</v>
      </c>
      <c r="AG164" s="24">
        <f t="shared" si="76"/>
        <v>0.52941176470588236</v>
      </c>
      <c r="AH164" s="22">
        <v>24</v>
      </c>
      <c r="AI164" s="24">
        <f t="shared" si="77"/>
        <v>0.70588235294117652</v>
      </c>
      <c r="AJ164" s="22">
        <v>54</v>
      </c>
      <c r="AK164" s="24">
        <f t="shared" si="78"/>
        <v>1.588235294117647</v>
      </c>
      <c r="AL164" s="22">
        <v>16</v>
      </c>
      <c r="AM164" s="24">
        <f t="shared" si="79"/>
        <v>0.47058823529411764</v>
      </c>
      <c r="AN164" s="10">
        <v>5</v>
      </c>
      <c r="AO164" s="24">
        <f t="shared" si="80"/>
        <v>0.14705882352941177</v>
      </c>
      <c r="AP164" s="22">
        <v>31</v>
      </c>
      <c r="AQ164" s="24">
        <f t="shared" si="85"/>
        <v>0.91176470588235292</v>
      </c>
      <c r="AR164" s="22">
        <v>50</v>
      </c>
      <c r="AS164" s="24">
        <f t="shared" si="81"/>
        <v>1.4705882352941178</v>
      </c>
      <c r="AT164" s="26">
        <v>-0.32020425314182821</v>
      </c>
      <c r="AU164" s="26">
        <v>-2.6404968648309088E-2</v>
      </c>
      <c r="AV164" s="26">
        <v>-0.41144049647451408</v>
      </c>
      <c r="AW164" s="26">
        <v>9.1236243332685873E-2</v>
      </c>
      <c r="AX164" s="26">
        <v>92.625369654430273</v>
      </c>
      <c r="AY164" s="26">
        <v>115.34465757887705</v>
      </c>
      <c r="AZ164" s="26">
        <v>3.9227561620698852</v>
      </c>
      <c r="BA164" s="26">
        <v>3.9411764705882355</v>
      </c>
      <c r="BB164" s="26">
        <v>11.050027487630567</v>
      </c>
      <c r="BC164" s="25">
        <v>0.45148085721165421</v>
      </c>
      <c r="BD164" s="25">
        <v>0.43269230769230771</v>
      </c>
      <c r="BE164" s="26">
        <v>11.923388358566227</v>
      </c>
      <c r="BF164" s="25">
        <v>0.33333333333333331</v>
      </c>
      <c r="BG164" s="25">
        <v>0.14743589743589744</v>
      </c>
      <c r="BH164" s="26">
        <v>2.6189563943760334</v>
      </c>
      <c r="BI164" s="26">
        <v>3.4919418591680449</v>
      </c>
      <c r="BJ164" s="26">
        <v>2.9205607476635516</v>
      </c>
      <c r="BK164" s="26">
        <v>9.5451331604996454</v>
      </c>
      <c r="BL164" s="26">
        <v>1.7940324266555123</v>
      </c>
      <c r="BM164" s="26">
        <v>0.58926824669125877</v>
      </c>
      <c r="BN164" s="26">
        <v>15.726461038961039</v>
      </c>
      <c r="BO164" s="27" t="s">
        <v>189</v>
      </c>
      <c r="BP164" s="27"/>
      <c r="BQ164" s="17" t="s">
        <v>253</v>
      </c>
      <c r="BR164" s="35">
        <v>284.41000000000003</v>
      </c>
      <c r="BS164" s="35">
        <v>427.21</v>
      </c>
      <c r="BT164" s="35">
        <v>142.80000000000001</v>
      </c>
      <c r="BU164" s="35">
        <f t="shared" si="86"/>
        <v>8.3649999999999984</v>
      </c>
      <c r="BV164" s="35">
        <f t="shared" si="87"/>
        <v>12.565</v>
      </c>
      <c r="BW164" s="35">
        <f t="shared" si="88"/>
        <v>4.2</v>
      </c>
      <c r="BX164" s="36">
        <f t="shared" si="89"/>
        <v>23.453271028037385</v>
      </c>
      <c r="BY164" s="36">
        <f t="shared" si="90"/>
        <v>35.228971962616825</v>
      </c>
      <c r="BZ164" s="36">
        <f t="shared" si="91"/>
        <v>11.77570093457944</v>
      </c>
      <c r="CA164" s="48">
        <v>14</v>
      </c>
      <c r="CB164" s="48">
        <v>20</v>
      </c>
    </row>
    <row r="165" spans="1:80" x14ac:dyDescent="0.4">
      <c r="A165" s="21" t="s">
        <v>231</v>
      </c>
      <c r="B165" s="37" t="s">
        <v>196</v>
      </c>
      <c r="C165" s="17" t="s">
        <v>100</v>
      </c>
      <c r="D165" s="22">
        <v>51</v>
      </c>
      <c r="E165" s="22">
        <v>23</v>
      </c>
      <c r="F165" s="22">
        <v>50</v>
      </c>
      <c r="G165" s="23">
        <v>72930</v>
      </c>
      <c r="H165" s="23">
        <v>300</v>
      </c>
      <c r="I165" s="24">
        <f t="shared" si="65"/>
        <v>5.882352941176471</v>
      </c>
      <c r="J165" s="22">
        <v>128</v>
      </c>
      <c r="K165" s="22">
        <v>296</v>
      </c>
      <c r="L165" s="24">
        <f t="shared" si="82"/>
        <v>2.5098039215686274</v>
      </c>
      <c r="M165" s="24">
        <f t="shared" si="83"/>
        <v>5.8039215686274508</v>
      </c>
      <c r="N165" s="25">
        <f t="shared" si="84"/>
        <v>0.43243243243243246</v>
      </c>
      <c r="O165" s="23">
        <v>106</v>
      </c>
      <c r="P165" s="22">
        <v>208</v>
      </c>
      <c r="Q165" s="24">
        <f t="shared" si="66"/>
        <v>2.0784313725490198</v>
      </c>
      <c r="R165" s="24">
        <f t="shared" si="67"/>
        <v>4.0784313725490193</v>
      </c>
      <c r="S165" s="25">
        <f t="shared" si="68"/>
        <v>0.50961538461538458</v>
      </c>
      <c r="T165" s="22">
        <v>22</v>
      </c>
      <c r="U165" s="22">
        <v>88</v>
      </c>
      <c r="V165" s="24">
        <f t="shared" si="69"/>
        <v>0.43137254901960786</v>
      </c>
      <c r="W165" s="24">
        <f t="shared" si="70"/>
        <v>1.7254901960784315</v>
      </c>
      <c r="X165" s="25">
        <f t="shared" si="71"/>
        <v>0.25</v>
      </c>
      <c r="Y165" s="22">
        <v>22</v>
      </c>
      <c r="Z165" s="22">
        <v>35</v>
      </c>
      <c r="AA165" s="24">
        <f t="shared" si="72"/>
        <v>0.43137254901960786</v>
      </c>
      <c r="AB165" s="24">
        <f t="shared" si="73"/>
        <v>0.68627450980392157</v>
      </c>
      <c r="AC165" s="25">
        <f t="shared" si="74"/>
        <v>0.62857142857142856</v>
      </c>
      <c r="AD165" s="22">
        <v>159</v>
      </c>
      <c r="AE165" s="24">
        <f t="shared" si="75"/>
        <v>3.1176470588235294</v>
      </c>
      <c r="AF165" s="22">
        <v>68</v>
      </c>
      <c r="AG165" s="24">
        <f t="shared" si="76"/>
        <v>1.3333333333333333</v>
      </c>
      <c r="AH165" s="22">
        <v>91</v>
      </c>
      <c r="AI165" s="24">
        <f t="shared" si="77"/>
        <v>1.7843137254901962</v>
      </c>
      <c r="AJ165" s="22">
        <v>60</v>
      </c>
      <c r="AK165" s="24">
        <f t="shared" si="78"/>
        <v>1.1764705882352942</v>
      </c>
      <c r="AL165" s="22">
        <v>31</v>
      </c>
      <c r="AM165" s="24">
        <f t="shared" si="79"/>
        <v>0.60784313725490191</v>
      </c>
      <c r="AN165" s="10">
        <v>14</v>
      </c>
      <c r="AO165" s="24">
        <f t="shared" si="80"/>
        <v>0.27450980392156865</v>
      </c>
      <c r="AP165" s="22">
        <v>32</v>
      </c>
      <c r="AQ165" s="24">
        <f t="shared" si="85"/>
        <v>0.62745098039215685</v>
      </c>
      <c r="AR165" s="22">
        <v>74</v>
      </c>
      <c r="AS165" s="24">
        <f t="shared" si="81"/>
        <v>1.4509803921568627</v>
      </c>
      <c r="AT165" s="26">
        <v>0.6772951300258272</v>
      </c>
      <c r="AU165" s="26">
        <v>2.2288609791059719E-2</v>
      </c>
      <c r="AV165" s="26">
        <v>0.42625905485121041</v>
      </c>
      <c r="AW165" s="26">
        <v>0.25103607517461685</v>
      </c>
      <c r="AX165" s="26">
        <v>103.70571176161457</v>
      </c>
      <c r="AY165" s="26">
        <v>115.19851705942953</v>
      </c>
      <c r="AZ165" s="26">
        <v>7.4300913157306461</v>
      </c>
      <c r="BA165" s="26">
        <v>6.882352941176471</v>
      </c>
      <c r="BB165" s="26">
        <v>11.550802139037433</v>
      </c>
      <c r="BC165" s="25">
        <v>0.48169556840077077</v>
      </c>
      <c r="BD165" s="25">
        <v>0.46959459459459457</v>
      </c>
      <c r="BE165" s="26">
        <v>12.433889893330694</v>
      </c>
      <c r="BF165" s="25">
        <v>0.29729729729729731</v>
      </c>
      <c r="BG165" s="25">
        <v>0.11824324324324324</v>
      </c>
      <c r="BH165" s="26">
        <v>5.9224636287428192</v>
      </c>
      <c r="BI165" s="26">
        <v>7.925649856111713</v>
      </c>
      <c r="BJ165" s="26">
        <v>6.6183816183816182</v>
      </c>
      <c r="BK165" s="26">
        <v>6.517016654598117</v>
      </c>
      <c r="BL165" s="26">
        <v>1.3871341629874903</v>
      </c>
      <c r="BM165" s="26">
        <v>0.98766303053818816</v>
      </c>
      <c r="BN165" s="26">
        <v>9.318578916715202</v>
      </c>
      <c r="BO165" s="27" t="s">
        <v>189</v>
      </c>
      <c r="BP165" s="28"/>
      <c r="BQ165" s="17" t="s">
        <v>255</v>
      </c>
      <c r="BR165" s="35">
        <v>713.65</v>
      </c>
      <c r="BS165" s="35">
        <v>933.45</v>
      </c>
      <c r="BT165" s="35">
        <v>219.8</v>
      </c>
      <c r="BU165" s="35">
        <f t="shared" si="86"/>
        <v>13.993137254901963</v>
      </c>
      <c r="BV165" s="35">
        <f t="shared" si="87"/>
        <v>18.30294117647059</v>
      </c>
      <c r="BW165" s="35">
        <f t="shared" si="88"/>
        <v>4.3098039215686272</v>
      </c>
      <c r="BX165" s="36">
        <f t="shared" si="89"/>
        <v>23.484985602632662</v>
      </c>
      <c r="BY165" s="36">
        <f t="shared" si="90"/>
        <v>30.718222953517071</v>
      </c>
      <c r="BZ165" s="36">
        <f t="shared" si="91"/>
        <v>7.2332373508844094</v>
      </c>
      <c r="CA165" s="48">
        <v>19</v>
      </c>
      <c r="CB165" s="48">
        <v>32</v>
      </c>
    </row>
    <row r="166" spans="1:80" x14ac:dyDescent="0.4">
      <c r="A166" s="21" t="s">
        <v>231</v>
      </c>
      <c r="B166" s="37" t="s">
        <v>246</v>
      </c>
      <c r="C166" s="17" t="s">
        <v>75</v>
      </c>
      <c r="D166" s="22">
        <v>9</v>
      </c>
      <c r="E166" s="22">
        <v>3</v>
      </c>
      <c r="F166" s="22">
        <v>24</v>
      </c>
      <c r="G166" s="23">
        <v>1836</v>
      </c>
      <c r="H166" s="23">
        <v>7</v>
      </c>
      <c r="I166" s="24">
        <f t="shared" si="65"/>
        <v>0.77777777777777779</v>
      </c>
      <c r="J166" s="22">
        <v>3</v>
      </c>
      <c r="K166" s="22">
        <v>8</v>
      </c>
      <c r="L166" s="24">
        <f t="shared" si="82"/>
        <v>0.33333333333333331</v>
      </c>
      <c r="M166" s="24">
        <f t="shared" si="83"/>
        <v>0.88888888888888884</v>
      </c>
      <c r="N166" s="25">
        <f t="shared" si="84"/>
        <v>0.375</v>
      </c>
      <c r="O166" s="23">
        <v>2</v>
      </c>
      <c r="P166" s="22">
        <v>3</v>
      </c>
      <c r="Q166" s="24">
        <f t="shared" si="66"/>
        <v>0.22222222222222221</v>
      </c>
      <c r="R166" s="24">
        <f t="shared" si="67"/>
        <v>0.33333333333333331</v>
      </c>
      <c r="S166" s="25">
        <f t="shared" si="68"/>
        <v>0.66666666666666663</v>
      </c>
      <c r="T166" s="22">
        <v>1</v>
      </c>
      <c r="U166" s="22">
        <v>5</v>
      </c>
      <c r="V166" s="24">
        <f t="shared" si="69"/>
        <v>0.1111111111111111</v>
      </c>
      <c r="W166" s="24">
        <f t="shared" si="70"/>
        <v>0.55555555555555558</v>
      </c>
      <c r="X166" s="25">
        <f t="shared" si="71"/>
        <v>0.2</v>
      </c>
      <c r="Y166" s="22">
        <v>0</v>
      </c>
      <c r="Z166" s="22">
        <v>0</v>
      </c>
      <c r="AA166" s="24">
        <f t="shared" si="72"/>
        <v>0</v>
      </c>
      <c r="AB166" s="24">
        <f t="shared" si="73"/>
        <v>0</v>
      </c>
      <c r="AC166" s="25" t="e">
        <f t="shared" si="74"/>
        <v>#DIV/0!</v>
      </c>
      <c r="AD166" s="22">
        <v>7</v>
      </c>
      <c r="AE166" s="24">
        <f t="shared" si="75"/>
        <v>0.77777777777777779</v>
      </c>
      <c r="AF166" s="22">
        <v>2</v>
      </c>
      <c r="AG166" s="24">
        <f t="shared" si="76"/>
        <v>0.22222222222222221</v>
      </c>
      <c r="AH166" s="22">
        <v>5</v>
      </c>
      <c r="AI166" s="24">
        <f t="shared" si="77"/>
        <v>0.55555555555555558</v>
      </c>
      <c r="AJ166" s="22">
        <v>0</v>
      </c>
      <c r="AK166" s="24">
        <f t="shared" si="78"/>
        <v>0</v>
      </c>
      <c r="AL166" s="22">
        <v>2</v>
      </c>
      <c r="AM166" s="24">
        <f t="shared" si="79"/>
        <v>0.22222222222222221</v>
      </c>
      <c r="AN166" s="10">
        <v>0</v>
      </c>
      <c r="AO166" s="24">
        <f t="shared" si="80"/>
        <v>0</v>
      </c>
      <c r="AP166" s="22">
        <v>0</v>
      </c>
      <c r="AQ166" s="24">
        <f t="shared" si="85"/>
        <v>0</v>
      </c>
      <c r="AR166" s="22">
        <v>4</v>
      </c>
      <c r="AS166" s="24">
        <f t="shared" si="81"/>
        <v>0.44444444444444442</v>
      </c>
      <c r="AT166" s="26">
        <v>4.6412962437932734E-2</v>
      </c>
      <c r="AU166" s="26">
        <v>6.0670539134552587E-2</v>
      </c>
      <c r="AV166" s="26">
        <v>8.768453874628452E-3</v>
      </c>
      <c r="AW166" s="26">
        <v>3.7644508563304285E-2</v>
      </c>
      <c r="AX166" s="26">
        <v>103.18863185563134</v>
      </c>
      <c r="AY166" s="26">
        <v>107.37573447920774</v>
      </c>
      <c r="AZ166" s="26">
        <v>1.3882667689747026</v>
      </c>
      <c r="BA166" s="26">
        <v>1.2222222222222223</v>
      </c>
      <c r="BB166" s="26">
        <v>14.379084967320262</v>
      </c>
      <c r="BC166" s="25">
        <v>0.4375</v>
      </c>
      <c r="BD166" s="25">
        <v>0.4375</v>
      </c>
      <c r="BE166" s="26">
        <v>2.0304980811793132</v>
      </c>
      <c r="BF166" s="25">
        <v>0.625</v>
      </c>
      <c r="BG166" s="25">
        <v>0</v>
      </c>
      <c r="BH166" s="26">
        <v>1.2210384932384994</v>
      </c>
      <c r="BI166" s="26">
        <v>3.0525962330962484</v>
      </c>
      <c r="BJ166" s="26">
        <v>2.0424836601307188</v>
      </c>
      <c r="BK166" s="26">
        <v>0</v>
      </c>
      <c r="BL166" s="26">
        <v>3.5548420305951809</v>
      </c>
      <c r="BM166" s="26">
        <v>0</v>
      </c>
      <c r="BN166" s="26">
        <v>0</v>
      </c>
      <c r="BO166" s="27" t="s">
        <v>189</v>
      </c>
      <c r="BP166" s="28"/>
      <c r="BQ166" s="17" t="s">
        <v>253</v>
      </c>
      <c r="BR166" s="35">
        <v>20.059999999999999</v>
      </c>
      <c r="BS166" s="35">
        <v>24.66</v>
      </c>
      <c r="BT166" s="35">
        <v>4.5999999999999996</v>
      </c>
      <c r="BU166" s="35">
        <f t="shared" si="86"/>
        <v>2.2288888888888891</v>
      </c>
      <c r="BV166" s="35">
        <f t="shared" si="87"/>
        <v>2.74</v>
      </c>
      <c r="BW166" s="35">
        <f t="shared" si="88"/>
        <v>0.51111111111111107</v>
      </c>
      <c r="BX166" s="36">
        <f t="shared" si="89"/>
        <v>26.222222222222221</v>
      </c>
      <c r="BY166" s="36">
        <f t="shared" si="90"/>
        <v>32.235294117647058</v>
      </c>
      <c r="BZ166" s="36">
        <f t="shared" si="91"/>
        <v>6.0130718954248366</v>
      </c>
      <c r="CA166" s="50">
        <v>4</v>
      </c>
      <c r="CB166" s="50">
        <v>5</v>
      </c>
    </row>
    <row r="167" spans="1:80" x14ac:dyDescent="0.4">
      <c r="A167" s="21" t="s">
        <v>231</v>
      </c>
      <c r="B167" s="37" t="s">
        <v>246</v>
      </c>
      <c r="C167" s="17" t="s">
        <v>80</v>
      </c>
      <c r="D167" s="22">
        <v>18</v>
      </c>
      <c r="E167" s="22">
        <v>11</v>
      </c>
      <c r="F167" s="22">
        <v>9</v>
      </c>
      <c r="G167" s="23">
        <v>12042</v>
      </c>
      <c r="H167" s="23">
        <v>53</v>
      </c>
      <c r="I167" s="24">
        <f t="shared" si="65"/>
        <v>2.9444444444444446</v>
      </c>
      <c r="J167" s="22">
        <v>15</v>
      </c>
      <c r="K167" s="22">
        <v>47</v>
      </c>
      <c r="L167" s="24">
        <f t="shared" si="82"/>
        <v>0.83333333333333337</v>
      </c>
      <c r="M167" s="24">
        <f t="shared" si="83"/>
        <v>2.6111111111111112</v>
      </c>
      <c r="N167" s="25">
        <f t="shared" si="84"/>
        <v>0.31914893617021278</v>
      </c>
      <c r="O167" s="23">
        <v>8</v>
      </c>
      <c r="P167" s="22">
        <v>22</v>
      </c>
      <c r="Q167" s="24">
        <f t="shared" si="66"/>
        <v>0.44444444444444442</v>
      </c>
      <c r="R167" s="24">
        <f t="shared" si="67"/>
        <v>1.2222222222222223</v>
      </c>
      <c r="S167" s="25">
        <f t="shared" si="68"/>
        <v>0.36363636363636365</v>
      </c>
      <c r="T167" s="22">
        <v>7</v>
      </c>
      <c r="U167" s="22">
        <v>25</v>
      </c>
      <c r="V167" s="24">
        <f t="shared" si="69"/>
        <v>0.3888888888888889</v>
      </c>
      <c r="W167" s="24">
        <f t="shared" si="70"/>
        <v>1.3888888888888888</v>
      </c>
      <c r="X167" s="25">
        <f t="shared" si="71"/>
        <v>0.28000000000000003</v>
      </c>
      <c r="Y167" s="22">
        <v>16</v>
      </c>
      <c r="Z167" s="22">
        <v>17</v>
      </c>
      <c r="AA167" s="24">
        <f t="shared" si="72"/>
        <v>0.88888888888888884</v>
      </c>
      <c r="AB167" s="24">
        <f t="shared" si="73"/>
        <v>0.94444444444444442</v>
      </c>
      <c r="AC167" s="25">
        <f t="shared" si="74"/>
        <v>0.94117647058823528</v>
      </c>
      <c r="AD167" s="22">
        <v>21</v>
      </c>
      <c r="AE167" s="24">
        <f t="shared" si="75"/>
        <v>1.1666666666666667</v>
      </c>
      <c r="AF167" s="22">
        <v>1</v>
      </c>
      <c r="AG167" s="24">
        <f t="shared" si="76"/>
        <v>5.5555555555555552E-2</v>
      </c>
      <c r="AH167" s="22">
        <v>20</v>
      </c>
      <c r="AI167" s="24">
        <f t="shared" si="77"/>
        <v>1.1111111111111112</v>
      </c>
      <c r="AJ167" s="22">
        <v>7</v>
      </c>
      <c r="AK167" s="24">
        <f t="shared" si="78"/>
        <v>0.3888888888888889</v>
      </c>
      <c r="AL167" s="22">
        <v>10</v>
      </c>
      <c r="AM167" s="24">
        <f t="shared" si="79"/>
        <v>0.55555555555555558</v>
      </c>
      <c r="AN167" s="10">
        <v>0</v>
      </c>
      <c r="AO167" s="24">
        <f t="shared" si="80"/>
        <v>0</v>
      </c>
      <c r="AP167" s="22">
        <v>13</v>
      </c>
      <c r="AQ167" s="24">
        <f t="shared" ref="AQ167:AQ198" si="92">AP167/$D167</f>
        <v>0.72222222222222221</v>
      </c>
      <c r="AR167" s="22">
        <v>25</v>
      </c>
      <c r="AS167" s="24">
        <f t="shared" si="81"/>
        <v>1.3888888888888888</v>
      </c>
      <c r="AT167" s="26">
        <v>-0.13159899418128523</v>
      </c>
      <c r="AU167" s="26">
        <v>-2.6228000833340356E-2</v>
      </c>
      <c r="AV167" s="26">
        <v>-0.25118886271384278</v>
      </c>
      <c r="AW167" s="26">
        <v>0.11958986853255753</v>
      </c>
      <c r="AX167" s="26">
        <v>87.422418973016519</v>
      </c>
      <c r="AY167" s="26">
        <v>112.25352790258488</v>
      </c>
      <c r="AZ167" s="26">
        <v>0.97536180412339391</v>
      </c>
      <c r="BA167" s="26">
        <v>2.5</v>
      </c>
      <c r="BB167" s="26">
        <v>8.968609865470853</v>
      </c>
      <c r="BC167" s="25">
        <v>0.48641703377386192</v>
      </c>
      <c r="BD167" s="25">
        <v>0.39361702127659576</v>
      </c>
      <c r="BE167" s="26">
        <v>5.2226595937346669</v>
      </c>
      <c r="BF167" s="25">
        <v>0.53191489361702127</v>
      </c>
      <c r="BG167" s="25">
        <v>0.36170212765957449</v>
      </c>
      <c r="BH167" s="26">
        <v>0.18616730390183397</v>
      </c>
      <c r="BI167" s="26">
        <v>3.7233460780366796</v>
      </c>
      <c r="BJ167" s="26">
        <v>1.8684603886397608</v>
      </c>
      <c r="BK167" s="26">
        <v>1.4718250630782168</v>
      </c>
      <c r="BL167" s="26">
        <v>2.7099692609918424</v>
      </c>
      <c r="BM167" s="26">
        <v>0</v>
      </c>
      <c r="BN167" s="26">
        <v>19.26496739774748</v>
      </c>
      <c r="BO167" s="27" t="s">
        <v>189</v>
      </c>
      <c r="BP167" s="27"/>
      <c r="BQ167" s="17" t="s">
        <v>253</v>
      </c>
      <c r="BR167" s="35">
        <v>100.7</v>
      </c>
      <c r="BS167" s="35">
        <v>151.19999999999999</v>
      </c>
      <c r="BT167" s="35">
        <v>50.5</v>
      </c>
      <c r="BU167" s="35">
        <f t="shared" si="86"/>
        <v>5.5944444444444432</v>
      </c>
      <c r="BV167" s="35">
        <f t="shared" si="87"/>
        <v>8.3999999999999986</v>
      </c>
      <c r="BW167" s="35">
        <f t="shared" si="88"/>
        <v>2.8055555555555554</v>
      </c>
      <c r="BX167" s="36">
        <f t="shared" si="89"/>
        <v>20.069755854509218</v>
      </c>
      <c r="BY167" s="36">
        <f t="shared" si="90"/>
        <v>30.134529147982065</v>
      </c>
      <c r="BZ167" s="36">
        <f t="shared" si="91"/>
        <v>10.064773293472845</v>
      </c>
      <c r="CA167" s="50">
        <v>8</v>
      </c>
      <c r="CB167" s="50">
        <v>10</v>
      </c>
    </row>
    <row r="168" spans="1:80" x14ac:dyDescent="0.4">
      <c r="A168" s="21" t="s">
        <v>231</v>
      </c>
      <c r="B168" s="37" t="s">
        <v>246</v>
      </c>
      <c r="C168" s="37" t="s">
        <v>172</v>
      </c>
      <c r="D168" s="22">
        <v>31</v>
      </c>
      <c r="E168" s="22">
        <v>9</v>
      </c>
      <c r="F168" s="22">
        <v>16</v>
      </c>
      <c r="G168" s="23">
        <v>17236</v>
      </c>
      <c r="H168" s="23">
        <v>79</v>
      </c>
      <c r="I168" s="24">
        <f t="shared" si="65"/>
        <v>2.5483870967741935</v>
      </c>
      <c r="J168" s="22">
        <v>29</v>
      </c>
      <c r="K168" s="22">
        <v>68</v>
      </c>
      <c r="L168" s="24">
        <f t="shared" si="82"/>
        <v>0.93548387096774188</v>
      </c>
      <c r="M168" s="24">
        <f t="shared" si="83"/>
        <v>2.193548387096774</v>
      </c>
      <c r="N168" s="25">
        <f t="shared" si="84"/>
        <v>0.4264705882352941</v>
      </c>
      <c r="O168" s="23">
        <v>20</v>
      </c>
      <c r="P168" s="22">
        <v>38</v>
      </c>
      <c r="Q168" s="24">
        <f t="shared" si="66"/>
        <v>0.64516129032258063</v>
      </c>
      <c r="R168" s="24">
        <f t="shared" si="67"/>
        <v>1.2258064516129032</v>
      </c>
      <c r="S168" s="25">
        <f t="shared" si="68"/>
        <v>0.52631578947368418</v>
      </c>
      <c r="T168" s="22">
        <v>9</v>
      </c>
      <c r="U168" s="22">
        <v>30</v>
      </c>
      <c r="V168" s="24">
        <f t="shared" si="69"/>
        <v>0.29032258064516131</v>
      </c>
      <c r="W168" s="24">
        <f t="shared" si="70"/>
        <v>0.967741935483871</v>
      </c>
      <c r="X168" s="25">
        <f t="shared" si="71"/>
        <v>0.3</v>
      </c>
      <c r="Y168" s="22">
        <v>12</v>
      </c>
      <c r="Z168" s="22">
        <v>24</v>
      </c>
      <c r="AA168" s="24">
        <f t="shared" si="72"/>
        <v>0.38709677419354838</v>
      </c>
      <c r="AB168" s="24">
        <f t="shared" si="73"/>
        <v>0.77419354838709675</v>
      </c>
      <c r="AC168" s="25">
        <f t="shared" si="74"/>
        <v>0.5</v>
      </c>
      <c r="AD168" s="22">
        <v>48</v>
      </c>
      <c r="AE168" s="24">
        <f t="shared" si="75"/>
        <v>1.5483870967741935</v>
      </c>
      <c r="AF168" s="22">
        <v>25</v>
      </c>
      <c r="AG168" s="24">
        <f t="shared" si="76"/>
        <v>0.80645161290322576</v>
      </c>
      <c r="AH168" s="22">
        <v>23</v>
      </c>
      <c r="AI168" s="24">
        <f t="shared" si="77"/>
        <v>0.74193548387096775</v>
      </c>
      <c r="AJ168" s="22">
        <v>16</v>
      </c>
      <c r="AK168" s="24">
        <f t="shared" si="78"/>
        <v>0.5161290322580645</v>
      </c>
      <c r="AL168" s="22">
        <v>5</v>
      </c>
      <c r="AM168" s="24">
        <f t="shared" si="79"/>
        <v>0.16129032258064516</v>
      </c>
      <c r="AN168" s="10">
        <v>2</v>
      </c>
      <c r="AO168" s="24">
        <f t="shared" si="80"/>
        <v>6.4516129032258063E-2</v>
      </c>
      <c r="AP168" s="22">
        <v>14</v>
      </c>
      <c r="AQ168" s="24">
        <f t="shared" si="92"/>
        <v>0.45161290322580644</v>
      </c>
      <c r="AR168" s="22">
        <v>31</v>
      </c>
      <c r="AS168" s="24">
        <f t="shared" si="81"/>
        <v>1</v>
      </c>
      <c r="AT168" s="26">
        <v>0.10160645990607765</v>
      </c>
      <c r="AU168" s="26">
        <v>1.4148033405348478E-2</v>
      </c>
      <c r="AV168" s="26">
        <v>0.10553580076225354</v>
      </c>
      <c r="AW168" s="26">
        <v>-3.9293408561758888E-3</v>
      </c>
      <c r="AX168" s="26">
        <v>102.90205622484336</v>
      </c>
      <c r="AY168" s="26">
        <v>116.94057157843812</v>
      </c>
      <c r="AZ168" s="26">
        <v>4.1460479658967699</v>
      </c>
      <c r="BA168" s="26">
        <v>2.7419354838709675</v>
      </c>
      <c r="BB168" s="26">
        <v>11.835692736133673</v>
      </c>
      <c r="BC168" s="25">
        <v>0.50280040733197551</v>
      </c>
      <c r="BD168" s="25">
        <v>0.49264705882352944</v>
      </c>
      <c r="BE168" s="26">
        <v>8.6196834731041552</v>
      </c>
      <c r="BF168" s="25">
        <v>0.44117647058823528</v>
      </c>
      <c r="BG168" s="25">
        <v>0.35294117647058826</v>
      </c>
      <c r="BH168" s="26">
        <v>5.600086614672974</v>
      </c>
      <c r="BI168" s="26">
        <v>5.1520796854991353</v>
      </c>
      <c r="BJ168" s="26">
        <v>5.1387461459403907</v>
      </c>
      <c r="BK168" s="26">
        <v>4.2246083436014787</v>
      </c>
      <c r="BL168" s="26">
        <v>0.94666540499140639</v>
      </c>
      <c r="BM168" s="26">
        <v>0.36288749580411334</v>
      </c>
      <c r="BN168" s="26">
        <v>15.125324114088158</v>
      </c>
      <c r="BO168" s="27" t="s">
        <v>189</v>
      </c>
      <c r="BP168" s="27"/>
      <c r="BQ168" s="17" t="s">
        <v>255</v>
      </c>
      <c r="BR168" s="35">
        <v>176.25</v>
      </c>
      <c r="BS168" s="35">
        <v>243.75</v>
      </c>
      <c r="BT168" s="35">
        <v>67.5</v>
      </c>
      <c r="BU168" s="35">
        <f t="shared" si="86"/>
        <v>5.685483870967742</v>
      </c>
      <c r="BV168" s="35">
        <f t="shared" si="87"/>
        <v>7.862903225806452</v>
      </c>
      <c r="BW168" s="35">
        <f t="shared" si="88"/>
        <v>2.1774193548387095</v>
      </c>
      <c r="BX168" s="36">
        <f t="shared" si="89"/>
        <v>24.541656996983061</v>
      </c>
      <c r="BY168" s="36">
        <f t="shared" si="90"/>
        <v>33.940589463912744</v>
      </c>
      <c r="BZ168" s="36">
        <f t="shared" si="91"/>
        <v>9.3989324669296828</v>
      </c>
      <c r="CA168" s="48">
        <v>14</v>
      </c>
      <c r="CB168" s="48">
        <v>17</v>
      </c>
    </row>
    <row r="169" spans="1:80" x14ac:dyDescent="0.4">
      <c r="A169" s="21" t="s">
        <v>231</v>
      </c>
      <c r="B169" s="37" t="s">
        <v>246</v>
      </c>
      <c r="C169" s="17" t="s">
        <v>90</v>
      </c>
      <c r="D169" s="22">
        <v>39</v>
      </c>
      <c r="E169" s="22">
        <v>21</v>
      </c>
      <c r="F169" s="22">
        <v>13</v>
      </c>
      <c r="G169" s="23">
        <v>49647</v>
      </c>
      <c r="H169" s="23">
        <v>238</v>
      </c>
      <c r="I169" s="24">
        <f t="shared" si="65"/>
        <v>6.1025641025641022</v>
      </c>
      <c r="J169" s="22">
        <v>89</v>
      </c>
      <c r="K169" s="22">
        <v>216</v>
      </c>
      <c r="L169" s="24">
        <f t="shared" si="82"/>
        <v>2.2820512820512819</v>
      </c>
      <c r="M169" s="24">
        <f t="shared" si="83"/>
        <v>5.5384615384615383</v>
      </c>
      <c r="N169" s="25">
        <f t="shared" si="84"/>
        <v>0.41203703703703703</v>
      </c>
      <c r="O169" s="23">
        <v>49</v>
      </c>
      <c r="P169" s="22">
        <v>105</v>
      </c>
      <c r="Q169" s="24">
        <f t="shared" si="66"/>
        <v>1.2564102564102564</v>
      </c>
      <c r="R169" s="24">
        <f t="shared" si="67"/>
        <v>2.6923076923076925</v>
      </c>
      <c r="S169" s="25">
        <f t="shared" si="68"/>
        <v>0.46666666666666667</v>
      </c>
      <c r="T169" s="22">
        <v>40</v>
      </c>
      <c r="U169" s="22">
        <v>111</v>
      </c>
      <c r="V169" s="24">
        <f t="shared" si="69"/>
        <v>1.0256410256410255</v>
      </c>
      <c r="W169" s="24">
        <f t="shared" si="70"/>
        <v>2.8461538461538463</v>
      </c>
      <c r="X169" s="25">
        <f t="shared" si="71"/>
        <v>0.36036036036036034</v>
      </c>
      <c r="Y169" s="22">
        <v>20</v>
      </c>
      <c r="Z169" s="22">
        <v>30</v>
      </c>
      <c r="AA169" s="24">
        <f t="shared" si="72"/>
        <v>0.51282051282051277</v>
      </c>
      <c r="AB169" s="24">
        <f t="shared" si="73"/>
        <v>0.76923076923076927</v>
      </c>
      <c r="AC169" s="25">
        <f t="shared" si="74"/>
        <v>0.66666666666666663</v>
      </c>
      <c r="AD169" s="22">
        <v>60</v>
      </c>
      <c r="AE169" s="24">
        <f t="shared" si="75"/>
        <v>1.5384615384615385</v>
      </c>
      <c r="AF169" s="22">
        <v>9</v>
      </c>
      <c r="AG169" s="24">
        <f t="shared" si="76"/>
        <v>0.23076923076923078</v>
      </c>
      <c r="AH169" s="22">
        <v>51</v>
      </c>
      <c r="AI169" s="24">
        <f t="shared" si="77"/>
        <v>1.3076923076923077</v>
      </c>
      <c r="AJ169" s="22">
        <v>91</v>
      </c>
      <c r="AK169" s="24">
        <f t="shared" si="78"/>
        <v>2.3333333333333335</v>
      </c>
      <c r="AL169" s="22">
        <v>24</v>
      </c>
      <c r="AM169" s="24">
        <f t="shared" si="79"/>
        <v>0.61538461538461542</v>
      </c>
      <c r="AN169" s="10">
        <v>4</v>
      </c>
      <c r="AO169" s="24">
        <f t="shared" si="80"/>
        <v>0.10256410256410256</v>
      </c>
      <c r="AP169" s="22">
        <v>52</v>
      </c>
      <c r="AQ169" s="24">
        <f t="shared" si="92"/>
        <v>1.3333333333333333</v>
      </c>
      <c r="AR169" s="22">
        <v>95</v>
      </c>
      <c r="AS169" s="24">
        <f t="shared" si="81"/>
        <v>2.4358974358974357</v>
      </c>
      <c r="AT169" s="26">
        <v>-3.2383316785924918E-2</v>
      </c>
      <c r="AU169" s="26">
        <v>-1.5654512918448203E-3</v>
      </c>
      <c r="AV169" s="26">
        <v>-8.047401590948125E-2</v>
      </c>
      <c r="AW169" s="26">
        <v>4.8090699123556332E-2</v>
      </c>
      <c r="AX169" s="26">
        <v>98.648931678322299</v>
      </c>
      <c r="AY169" s="26">
        <v>116.38848809396009</v>
      </c>
      <c r="AZ169" s="26">
        <v>4.3908699009233469</v>
      </c>
      <c r="BA169" s="26">
        <v>5.8461538461538458</v>
      </c>
      <c r="BB169" s="26">
        <v>11.021814006888633</v>
      </c>
      <c r="BC169" s="25">
        <v>0.51919720767888311</v>
      </c>
      <c r="BD169" s="25">
        <v>0.50462962962962965</v>
      </c>
      <c r="BE169" s="26">
        <v>11.437462325926461</v>
      </c>
      <c r="BF169" s="25">
        <v>0.51388888888888884</v>
      </c>
      <c r="BG169" s="25">
        <v>0.1388888888888889</v>
      </c>
      <c r="BH169" s="26">
        <v>0.88052893699367041</v>
      </c>
      <c r="BI169" s="26">
        <v>4.9896639762974653</v>
      </c>
      <c r="BJ169" s="26">
        <v>2.805521265851195</v>
      </c>
      <c r="BK169" s="26">
        <v>10.775181559835808</v>
      </c>
      <c r="BL169" s="26">
        <v>1.5775430462681137</v>
      </c>
      <c r="BM169" s="26">
        <v>0.31699206232063948</v>
      </c>
      <c r="BN169" s="26">
        <v>18.492176386913229</v>
      </c>
      <c r="BO169" s="27" t="s">
        <v>189</v>
      </c>
      <c r="BP169" s="28"/>
      <c r="BQ169" s="17" t="s">
        <v>253</v>
      </c>
      <c r="BR169" s="35">
        <v>473.88</v>
      </c>
      <c r="BS169" s="35">
        <v>679.78</v>
      </c>
      <c r="BT169" s="35">
        <v>205.9</v>
      </c>
      <c r="BU169" s="35">
        <f t="shared" si="86"/>
        <v>12.150769230769228</v>
      </c>
      <c r="BV169" s="35">
        <f t="shared" si="87"/>
        <v>17.430256410256408</v>
      </c>
      <c r="BW169" s="35">
        <f t="shared" si="88"/>
        <v>5.2794871794871794</v>
      </c>
      <c r="BX169" s="36">
        <f t="shared" si="89"/>
        <v>22.907970270106954</v>
      </c>
      <c r="BY169" s="36">
        <f t="shared" si="90"/>
        <v>32.861441778959453</v>
      </c>
      <c r="BZ169" s="36">
        <f t="shared" si="91"/>
        <v>9.9534715088524983</v>
      </c>
      <c r="CA169" s="50">
        <v>16</v>
      </c>
      <c r="CB169" s="50">
        <v>23</v>
      </c>
    </row>
    <row r="170" spans="1:80" x14ac:dyDescent="0.4">
      <c r="A170" s="21" t="s">
        <v>231</v>
      </c>
      <c r="B170" s="37" t="s">
        <v>246</v>
      </c>
      <c r="C170" s="17" t="s">
        <v>202</v>
      </c>
      <c r="D170" s="22">
        <v>13</v>
      </c>
      <c r="E170" s="22">
        <v>15</v>
      </c>
      <c r="F170" s="22">
        <v>40</v>
      </c>
      <c r="G170" s="23">
        <v>12220</v>
      </c>
      <c r="H170" s="23">
        <v>110</v>
      </c>
      <c r="I170" s="24">
        <f t="shared" si="65"/>
        <v>8.4615384615384617</v>
      </c>
      <c r="J170" s="22">
        <v>45</v>
      </c>
      <c r="K170" s="22">
        <v>92</v>
      </c>
      <c r="L170" s="24">
        <f t="shared" si="82"/>
        <v>3.4615384615384617</v>
      </c>
      <c r="M170" s="24">
        <f t="shared" si="83"/>
        <v>7.0769230769230766</v>
      </c>
      <c r="N170" s="25">
        <f t="shared" si="84"/>
        <v>0.4891304347826087</v>
      </c>
      <c r="O170" s="23">
        <v>41</v>
      </c>
      <c r="P170" s="22">
        <v>77</v>
      </c>
      <c r="Q170" s="24">
        <f t="shared" si="66"/>
        <v>3.1538461538461537</v>
      </c>
      <c r="R170" s="24">
        <f t="shared" si="67"/>
        <v>5.9230769230769234</v>
      </c>
      <c r="S170" s="25">
        <f t="shared" si="68"/>
        <v>0.53246753246753242</v>
      </c>
      <c r="T170" s="22">
        <v>4</v>
      </c>
      <c r="U170" s="22">
        <v>15</v>
      </c>
      <c r="V170" s="24">
        <f t="shared" si="69"/>
        <v>0.30769230769230771</v>
      </c>
      <c r="W170" s="24">
        <f t="shared" si="70"/>
        <v>1.1538461538461537</v>
      </c>
      <c r="X170" s="25">
        <f t="shared" si="71"/>
        <v>0.26666666666666666</v>
      </c>
      <c r="Y170" s="22">
        <v>16</v>
      </c>
      <c r="Z170" s="22">
        <v>25</v>
      </c>
      <c r="AA170" s="24">
        <f t="shared" si="72"/>
        <v>1.2307692307692308</v>
      </c>
      <c r="AB170" s="24">
        <f t="shared" si="73"/>
        <v>1.9230769230769231</v>
      </c>
      <c r="AC170" s="25">
        <f t="shared" si="74"/>
        <v>0.64</v>
      </c>
      <c r="AD170" s="22">
        <v>53</v>
      </c>
      <c r="AE170" s="24">
        <f t="shared" si="75"/>
        <v>4.0769230769230766</v>
      </c>
      <c r="AF170" s="22">
        <v>17</v>
      </c>
      <c r="AG170" s="24">
        <f t="shared" si="76"/>
        <v>1.3076923076923077</v>
      </c>
      <c r="AH170" s="22">
        <v>36</v>
      </c>
      <c r="AI170" s="24">
        <f t="shared" si="77"/>
        <v>2.7692307692307692</v>
      </c>
      <c r="AJ170" s="22">
        <v>14</v>
      </c>
      <c r="AK170" s="24">
        <f t="shared" si="78"/>
        <v>1.0769230769230769</v>
      </c>
      <c r="AL170" s="22">
        <v>6</v>
      </c>
      <c r="AM170" s="24">
        <f t="shared" si="79"/>
        <v>0.46153846153846156</v>
      </c>
      <c r="AN170" s="10">
        <v>10</v>
      </c>
      <c r="AO170" s="24">
        <f t="shared" si="80"/>
        <v>0.76923076923076927</v>
      </c>
      <c r="AP170" s="22">
        <v>11</v>
      </c>
      <c r="AQ170" s="24">
        <f t="shared" si="92"/>
        <v>0.84615384615384615</v>
      </c>
      <c r="AR170" s="22">
        <v>10</v>
      </c>
      <c r="AS170" s="24">
        <f t="shared" si="81"/>
        <v>0.76923076923076927</v>
      </c>
      <c r="AT170" s="26">
        <v>0.49947779625917349</v>
      </c>
      <c r="AU170" s="26">
        <v>9.8097112194927699E-2</v>
      </c>
      <c r="AV170" s="26">
        <v>0.28897915773632532</v>
      </c>
      <c r="AW170" s="26">
        <v>0.21049863852284817</v>
      </c>
      <c r="AX170" s="26">
        <v>107.67907916818925</v>
      </c>
      <c r="AY170" s="26">
        <v>108.88800173579068</v>
      </c>
      <c r="AZ170" s="26">
        <v>4.8418160974585165</v>
      </c>
      <c r="BA170" s="26">
        <v>9.6923076923076916</v>
      </c>
      <c r="BB170" s="26">
        <v>24.746317512274963</v>
      </c>
      <c r="BC170" s="25">
        <v>0.53398058252427183</v>
      </c>
      <c r="BD170" s="25">
        <v>0.51086956521739135</v>
      </c>
      <c r="BE170" s="26">
        <v>6.27942332126411</v>
      </c>
      <c r="BF170" s="25">
        <v>0.16304347826086957</v>
      </c>
      <c r="BG170" s="25">
        <v>0.27173913043478259</v>
      </c>
      <c r="BH170" s="26">
        <v>2.2524263268888913</v>
      </c>
      <c r="BI170" s="26">
        <v>4.7698439863529467</v>
      </c>
      <c r="BJ170" s="26">
        <v>3.3561296859169198</v>
      </c>
      <c r="BK170" s="26">
        <v>2.1727884117951368</v>
      </c>
      <c r="BL170" s="26">
        <v>1.6022970461962573</v>
      </c>
      <c r="BM170" s="26">
        <v>1.0732204663142926</v>
      </c>
      <c r="BN170" s="26">
        <v>9.6491228070175445</v>
      </c>
      <c r="BO170" s="27" t="s">
        <v>232</v>
      </c>
      <c r="BP170" s="28"/>
      <c r="BQ170" s="17" t="s">
        <v>255</v>
      </c>
      <c r="BR170" s="35">
        <v>191.33</v>
      </c>
      <c r="BS170" s="35">
        <v>260.93</v>
      </c>
      <c r="BT170" s="35">
        <v>69.599999999999994</v>
      </c>
      <c r="BU170" s="35">
        <f t="shared" si="86"/>
        <v>14.71769230769231</v>
      </c>
      <c r="BV170" s="35">
        <f t="shared" si="87"/>
        <v>20.071538461538463</v>
      </c>
      <c r="BW170" s="35">
        <f t="shared" si="88"/>
        <v>5.3538461538461535</v>
      </c>
      <c r="BX170" s="36">
        <f t="shared" si="89"/>
        <v>37.577086743044191</v>
      </c>
      <c r="BY170" s="36">
        <f t="shared" si="90"/>
        <v>51.246481178396074</v>
      </c>
      <c r="BZ170" s="36">
        <f t="shared" si="91"/>
        <v>13.669394435351883</v>
      </c>
      <c r="CA170" s="50">
        <v>7</v>
      </c>
      <c r="CB170" s="50">
        <v>6</v>
      </c>
    </row>
    <row r="171" spans="1:80" x14ac:dyDescent="0.4">
      <c r="A171" s="21" t="s">
        <v>231</v>
      </c>
      <c r="B171" s="37" t="s">
        <v>246</v>
      </c>
      <c r="C171" s="17" t="s">
        <v>69</v>
      </c>
      <c r="D171" s="22">
        <v>54</v>
      </c>
      <c r="E171" s="22">
        <v>28</v>
      </c>
      <c r="F171" s="22">
        <v>8</v>
      </c>
      <c r="G171" s="23">
        <v>91152</v>
      </c>
      <c r="H171" s="23">
        <v>944</v>
      </c>
      <c r="I171" s="24">
        <f t="shared" si="65"/>
        <v>17.481481481481481</v>
      </c>
      <c r="J171" s="22">
        <v>374</v>
      </c>
      <c r="K171" s="22">
        <v>688</v>
      </c>
      <c r="L171" s="24">
        <f t="shared" si="82"/>
        <v>6.9259259259259256</v>
      </c>
      <c r="M171" s="24">
        <f t="shared" si="83"/>
        <v>12.74074074074074</v>
      </c>
      <c r="N171" s="25">
        <f t="shared" si="84"/>
        <v>0.54360465116279066</v>
      </c>
      <c r="O171" s="23">
        <v>326</v>
      </c>
      <c r="P171" s="22">
        <v>565</v>
      </c>
      <c r="Q171" s="24">
        <f t="shared" si="66"/>
        <v>6.0370370370370372</v>
      </c>
      <c r="R171" s="24">
        <f t="shared" si="67"/>
        <v>10.462962962962964</v>
      </c>
      <c r="S171" s="25">
        <f t="shared" si="68"/>
        <v>0.57699115044247784</v>
      </c>
      <c r="T171" s="22">
        <v>48</v>
      </c>
      <c r="U171" s="22">
        <v>123</v>
      </c>
      <c r="V171" s="24">
        <f t="shared" si="69"/>
        <v>0.88888888888888884</v>
      </c>
      <c r="W171" s="24">
        <f t="shared" si="70"/>
        <v>2.2777777777777777</v>
      </c>
      <c r="X171" s="25">
        <f t="shared" si="71"/>
        <v>0.3902439024390244</v>
      </c>
      <c r="Y171" s="22">
        <v>148</v>
      </c>
      <c r="Z171" s="22">
        <v>178</v>
      </c>
      <c r="AA171" s="24">
        <f t="shared" si="72"/>
        <v>2.7407407407407409</v>
      </c>
      <c r="AB171" s="24">
        <f t="shared" si="73"/>
        <v>3.2962962962962963</v>
      </c>
      <c r="AC171" s="25">
        <f t="shared" si="74"/>
        <v>0.8314606741573034</v>
      </c>
      <c r="AD171" s="22">
        <v>636</v>
      </c>
      <c r="AE171" s="24">
        <f t="shared" si="75"/>
        <v>11.777777777777779</v>
      </c>
      <c r="AF171" s="22">
        <v>202</v>
      </c>
      <c r="AG171" s="24">
        <f t="shared" si="76"/>
        <v>3.7407407407407409</v>
      </c>
      <c r="AH171" s="22">
        <v>434</v>
      </c>
      <c r="AI171" s="24">
        <f t="shared" si="77"/>
        <v>8.0370370370370363</v>
      </c>
      <c r="AJ171" s="22">
        <v>105</v>
      </c>
      <c r="AK171" s="24">
        <f t="shared" si="78"/>
        <v>1.9444444444444444</v>
      </c>
      <c r="AL171" s="22">
        <v>20</v>
      </c>
      <c r="AM171" s="24">
        <f t="shared" si="79"/>
        <v>0.37037037037037035</v>
      </c>
      <c r="AN171" s="10">
        <v>45</v>
      </c>
      <c r="AO171" s="24">
        <f t="shared" si="80"/>
        <v>0.83333333333333337</v>
      </c>
      <c r="AP171" s="22">
        <v>86</v>
      </c>
      <c r="AQ171" s="24">
        <f t="shared" si="92"/>
        <v>1.5925925925925926</v>
      </c>
      <c r="AR171" s="22">
        <v>78</v>
      </c>
      <c r="AS171" s="24">
        <f t="shared" si="81"/>
        <v>1.4444444444444444</v>
      </c>
      <c r="AT171" s="26">
        <v>8.3634757045209174</v>
      </c>
      <c r="AU171" s="26">
        <v>0.22020736452135117</v>
      </c>
      <c r="AV171" s="26">
        <v>6.4447662254369931</v>
      </c>
      <c r="AW171" s="26">
        <v>1.9187094790839241</v>
      </c>
      <c r="AX171" s="26">
        <v>123.1480380560088</v>
      </c>
      <c r="AY171" s="26">
        <v>107.12382126258132</v>
      </c>
      <c r="AZ171" s="26">
        <v>26.850005536491061</v>
      </c>
      <c r="BA171" s="26">
        <v>24.444444444444443</v>
      </c>
      <c r="BB171" s="26">
        <v>34.755134281200633</v>
      </c>
      <c r="BC171" s="25">
        <v>0.61593068169955101</v>
      </c>
      <c r="BD171" s="25">
        <v>0.57848837209302328</v>
      </c>
      <c r="BE171" s="26">
        <v>26.14405816116362</v>
      </c>
      <c r="BF171" s="25">
        <v>0.17877906976744187</v>
      </c>
      <c r="BG171" s="25">
        <v>0.25872093023255816</v>
      </c>
      <c r="BH171" s="26">
        <v>14.90419260348699</v>
      </c>
      <c r="BI171" s="26">
        <v>32.021879157986902</v>
      </c>
      <c r="BJ171" s="26">
        <v>22.427217332430601</v>
      </c>
      <c r="BK171" s="26">
        <v>12.15465349590986</v>
      </c>
      <c r="BL171" s="26">
        <v>0.71602268388765489</v>
      </c>
      <c r="BM171" s="26">
        <v>2.6894091069368824</v>
      </c>
      <c r="BN171" s="26">
        <v>10.090107002064952</v>
      </c>
      <c r="BO171" s="27" t="s">
        <v>232</v>
      </c>
      <c r="BP171" s="28"/>
      <c r="BQ171" s="17" t="s">
        <v>254</v>
      </c>
      <c r="BR171" s="35">
        <v>1823.84</v>
      </c>
      <c r="BS171" s="35">
        <v>2283.34</v>
      </c>
      <c r="BT171" s="35">
        <v>459.5</v>
      </c>
      <c r="BU171" s="35">
        <f t="shared" si="86"/>
        <v>33.774814814814818</v>
      </c>
      <c r="BV171" s="35">
        <f t="shared" si="87"/>
        <v>42.284074074074077</v>
      </c>
      <c r="BW171" s="35">
        <f t="shared" si="88"/>
        <v>8.5092592592592595</v>
      </c>
      <c r="BX171" s="36">
        <f t="shared" si="89"/>
        <v>48.021063717746188</v>
      </c>
      <c r="BY171" s="36">
        <f t="shared" si="90"/>
        <v>60.119536598209585</v>
      </c>
      <c r="BZ171" s="36">
        <f t="shared" si="91"/>
        <v>12.098472880463401</v>
      </c>
      <c r="CA171" s="48">
        <v>24</v>
      </c>
      <c r="CB171" s="48">
        <v>30</v>
      </c>
    </row>
    <row r="172" spans="1:80" x14ac:dyDescent="0.4">
      <c r="A172" s="21" t="s">
        <v>231</v>
      </c>
      <c r="B172" s="51" t="s">
        <v>279</v>
      </c>
      <c r="C172" s="51" t="s">
        <v>274</v>
      </c>
      <c r="D172" s="22">
        <v>38</v>
      </c>
      <c r="E172" s="22">
        <v>11</v>
      </c>
      <c r="F172" s="22">
        <v>28</v>
      </c>
      <c r="G172" s="23">
        <v>26144</v>
      </c>
      <c r="H172" s="23">
        <v>382</v>
      </c>
      <c r="I172" s="24">
        <f t="shared" si="65"/>
        <v>10.052631578947368</v>
      </c>
      <c r="J172" s="22">
        <v>145</v>
      </c>
      <c r="K172" s="22">
        <v>313</v>
      </c>
      <c r="L172" s="24">
        <f t="shared" si="82"/>
        <v>3.8157894736842106</v>
      </c>
      <c r="M172" s="24">
        <f t="shared" si="83"/>
        <v>8.2368421052631575</v>
      </c>
      <c r="N172" s="25">
        <f t="shared" si="84"/>
        <v>0.46325878594249204</v>
      </c>
      <c r="O172" s="23">
        <v>139</v>
      </c>
      <c r="P172" s="22">
        <v>284</v>
      </c>
      <c r="Q172" s="24">
        <f t="shared" si="66"/>
        <v>3.6578947368421053</v>
      </c>
      <c r="R172" s="24">
        <f t="shared" si="67"/>
        <v>7.4736842105263159</v>
      </c>
      <c r="S172" s="25">
        <f t="shared" si="68"/>
        <v>0.48943661971830987</v>
      </c>
      <c r="T172" s="22">
        <v>6</v>
      </c>
      <c r="U172" s="22">
        <v>29</v>
      </c>
      <c r="V172" s="24">
        <f t="shared" si="69"/>
        <v>0.15789473684210525</v>
      </c>
      <c r="W172" s="24">
        <f t="shared" si="70"/>
        <v>0.76315789473684215</v>
      </c>
      <c r="X172" s="25">
        <f t="shared" si="71"/>
        <v>0.20689655172413793</v>
      </c>
      <c r="Y172" s="22">
        <v>86</v>
      </c>
      <c r="Z172" s="22">
        <v>124</v>
      </c>
      <c r="AA172" s="24">
        <f t="shared" si="72"/>
        <v>2.263157894736842</v>
      </c>
      <c r="AB172" s="24">
        <f t="shared" si="73"/>
        <v>3.263157894736842</v>
      </c>
      <c r="AC172" s="25">
        <f t="shared" si="74"/>
        <v>0.69354838709677424</v>
      </c>
      <c r="AD172" s="22">
        <v>146</v>
      </c>
      <c r="AE172" s="24">
        <f t="shared" si="75"/>
        <v>3.8421052631578947</v>
      </c>
      <c r="AF172" s="22">
        <v>40</v>
      </c>
      <c r="AG172" s="24">
        <f t="shared" si="76"/>
        <v>1.0526315789473684</v>
      </c>
      <c r="AH172" s="22">
        <v>106</v>
      </c>
      <c r="AI172" s="24">
        <f t="shared" si="77"/>
        <v>2.7894736842105261</v>
      </c>
      <c r="AJ172" s="22">
        <v>39</v>
      </c>
      <c r="AK172" s="24">
        <f t="shared" si="78"/>
        <v>1.0263157894736843</v>
      </c>
      <c r="AL172" s="22">
        <v>24</v>
      </c>
      <c r="AM172" s="24">
        <f t="shared" si="79"/>
        <v>0.63157894736842102</v>
      </c>
      <c r="AN172" s="10">
        <v>10</v>
      </c>
      <c r="AO172" s="24">
        <f t="shared" si="80"/>
        <v>0.26315789473684209</v>
      </c>
      <c r="AP172" s="22">
        <v>36</v>
      </c>
      <c r="AQ172" s="24">
        <f t="shared" si="92"/>
        <v>0.94736842105263153</v>
      </c>
      <c r="AR172" s="22">
        <v>53</v>
      </c>
      <c r="AS172" s="24">
        <f t="shared" si="81"/>
        <v>1.3947368421052631</v>
      </c>
      <c r="AT172" s="26">
        <v>1.3126022143271425</v>
      </c>
      <c r="AU172" s="26">
        <v>0.12049591930787722</v>
      </c>
      <c r="AV172" s="26">
        <v>0.57628984633403457</v>
      </c>
      <c r="AW172" s="26">
        <v>0.73631236799310795</v>
      </c>
      <c r="AX172" s="26">
        <v>104.252041650298</v>
      </c>
      <c r="AY172" s="26">
        <v>103.84158163761171</v>
      </c>
      <c r="AZ172" s="26">
        <v>17.785802613693825</v>
      </c>
      <c r="BA172" s="26">
        <v>9.4473684210526319</v>
      </c>
      <c r="BB172" s="26">
        <v>32.955936352509177</v>
      </c>
      <c r="BC172" s="25">
        <v>0.51964305147458922</v>
      </c>
      <c r="BD172" s="25">
        <v>0.47284345047923321</v>
      </c>
      <c r="BE172" s="26">
        <v>30.371234075346585</v>
      </c>
      <c r="BF172" s="25">
        <v>9.2651757188498399E-2</v>
      </c>
      <c r="BG172" s="25">
        <v>0.3961661341853035</v>
      </c>
      <c r="BH172" s="26">
        <v>7.2410422273445896</v>
      </c>
      <c r="BI172" s="26">
        <v>19.18876190246316</v>
      </c>
      <c r="BJ172" s="26">
        <v>12.631506090808417</v>
      </c>
      <c r="BK172" s="26">
        <v>10.847394770999443</v>
      </c>
      <c r="BL172" s="26">
        <v>2.9957267295774566</v>
      </c>
      <c r="BM172" s="26">
        <v>1.4663186603712719</v>
      </c>
      <c r="BN172" s="26">
        <v>8.9206066012488847</v>
      </c>
      <c r="BO172" s="27" t="s">
        <v>232</v>
      </c>
      <c r="BP172" s="28"/>
      <c r="BQ172" s="17" t="s">
        <v>254</v>
      </c>
      <c r="BR172" s="35">
        <v>503.84</v>
      </c>
      <c r="BS172" s="35">
        <v>753.94</v>
      </c>
      <c r="BT172" s="35">
        <v>250.1</v>
      </c>
      <c r="BU172" s="35">
        <f t="shared" si="86"/>
        <v>13.258947368421055</v>
      </c>
      <c r="BV172" s="35">
        <f t="shared" si="87"/>
        <v>19.840526315789475</v>
      </c>
      <c r="BW172" s="35">
        <f t="shared" si="88"/>
        <v>6.5815789473684205</v>
      </c>
      <c r="BX172" s="36">
        <f t="shared" si="89"/>
        <v>46.252141982864146</v>
      </c>
      <c r="BY172" s="36">
        <f t="shared" si="90"/>
        <v>69.211138310893517</v>
      </c>
      <c r="BZ172" s="36">
        <f t="shared" si="91"/>
        <v>22.958996328029375</v>
      </c>
      <c r="CA172" s="50">
        <v>17</v>
      </c>
      <c r="CB172" s="50">
        <v>21</v>
      </c>
    </row>
    <row r="173" spans="1:80" x14ac:dyDescent="0.4">
      <c r="A173" s="21" t="s">
        <v>231</v>
      </c>
      <c r="B173" s="49" t="s">
        <v>279</v>
      </c>
      <c r="C173" s="49" t="s">
        <v>280</v>
      </c>
      <c r="D173" s="22">
        <v>45</v>
      </c>
      <c r="E173" s="22">
        <v>14</v>
      </c>
      <c r="F173" s="22">
        <v>26</v>
      </c>
      <c r="G173" s="23">
        <v>38970</v>
      </c>
      <c r="H173" s="23">
        <v>159</v>
      </c>
      <c r="I173" s="24">
        <f t="shared" si="65"/>
        <v>3.5333333333333332</v>
      </c>
      <c r="J173" s="22">
        <v>50</v>
      </c>
      <c r="K173" s="22">
        <v>128</v>
      </c>
      <c r="L173" s="24">
        <f t="shared" si="82"/>
        <v>1.1111111111111112</v>
      </c>
      <c r="M173" s="24">
        <f t="shared" si="83"/>
        <v>2.8444444444444446</v>
      </c>
      <c r="N173" s="25">
        <f t="shared" si="84"/>
        <v>0.390625</v>
      </c>
      <c r="O173" s="23">
        <v>26</v>
      </c>
      <c r="P173" s="22">
        <v>42</v>
      </c>
      <c r="Q173" s="24">
        <f t="shared" si="66"/>
        <v>0.57777777777777772</v>
      </c>
      <c r="R173" s="24">
        <f t="shared" si="67"/>
        <v>0.93333333333333335</v>
      </c>
      <c r="S173" s="25">
        <f t="shared" si="68"/>
        <v>0.61904761904761907</v>
      </c>
      <c r="T173" s="22">
        <v>24</v>
      </c>
      <c r="U173" s="22">
        <v>86</v>
      </c>
      <c r="V173" s="24">
        <f t="shared" si="69"/>
        <v>0.53333333333333333</v>
      </c>
      <c r="W173" s="24">
        <f t="shared" si="70"/>
        <v>1.9111111111111112</v>
      </c>
      <c r="X173" s="25">
        <f t="shared" si="71"/>
        <v>0.27906976744186046</v>
      </c>
      <c r="Y173" s="22">
        <v>35</v>
      </c>
      <c r="Z173" s="22">
        <v>47</v>
      </c>
      <c r="AA173" s="24">
        <f t="shared" si="72"/>
        <v>0.77777777777777779</v>
      </c>
      <c r="AB173" s="24">
        <f t="shared" si="73"/>
        <v>1.0444444444444445</v>
      </c>
      <c r="AC173" s="25">
        <f t="shared" si="74"/>
        <v>0.74468085106382975</v>
      </c>
      <c r="AD173" s="22">
        <v>63</v>
      </c>
      <c r="AE173" s="24">
        <f t="shared" si="75"/>
        <v>1.4</v>
      </c>
      <c r="AF173" s="22">
        <v>13</v>
      </c>
      <c r="AG173" s="24">
        <f t="shared" si="76"/>
        <v>0.28888888888888886</v>
      </c>
      <c r="AH173" s="22">
        <v>50</v>
      </c>
      <c r="AI173" s="24">
        <f t="shared" si="77"/>
        <v>1.1111111111111112</v>
      </c>
      <c r="AJ173" s="22">
        <v>58</v>
      </c>
      <c r="AK173" s="24">
        <f t="shared" si="78"/>
        <v>1.288888888888889</v>
      </c>
      <c r="AL173" s="22">
        <v>20</v>
      </c>
      <c r="AM173" s="24">
        <f t="shared" si="79"/>
        <v>0.44444444444444442</v>
      </c>
      <c r="AN173" s="10">
        <v>1</v>
      </c>
      <c r="AO173" s="24">
        <f t="shared" si="80"/>
        <v>2.2222222222222223E-2</v>
      </c>
      <c r="AP173" s="22">
        <v>27</v>
      </c>
      <c r="AQ173" s="24">
        <f t="shared" si="92"/>
        <v>0.6</v>
      </c>
      <c r="AR173" s="22">
        <v>65</v>
      </c>
      <c r="AS173" s="24">
        <f t="shared" si="81"/>
        <v>1.4444444444444444</v>
      </c>
      <c r="AT173" s="26">
        <v>0.58371520567223145</v>
      </c>
      <c r="AU173" s="26">
        <v>3.5948588494055828E-2</v>
      </c>
      <c r="AV173" s="26">
        <v>0.4874209076413622</v>
      </c>
      <c r="AW173" s="26">
        <v>9.629429803086921E-2</v>
      </c>
      <c r="AX173" s="26">
        <v>107.91539315937884</v>
      </c>
      <c r="AY173" s="26">
        <v>115.69536146508617</v>
      </c>
      <c r="AZ173" s="26">
        <v>5.5745292551789563</v>
      </c>
      <c r="BA173" s="26">
        <v>4.0888888888888886</v>
      </c>
      <c r="BB173" s="26">
        <v>11.331793687451885</v>
      </c>
      <c r="BC173" s="25">
        <v>0.53470540758676355</v>
      </c>
      <c r="BD173" s="25">
        <v>0.484375</v>
      </c>
      <c r="BE173" s="26">
        <v>10.50381815703272</v>
      </c>
      <c r="BF173" s="25">
        <v>0.671875</v>
      </c>
      <c r="BG173" s="25">
        <v>0.3671875</v>
      </c>
      <c r="BH173" s="26">
        <v>1.8696270693236143</v>
      </c>
      <c r="BI173" s="26">
        <v>7.1908733435523633</v>
      </c>
      <c r="BJ173" s="26">
        <v>4.3302540415704387</v>
      </c>
      <c r="BK173" s="26">
        <v>9.9134001823154048</v>
      </c>
      <c r="BL173" s="26">
        <v>1.6747985548300619</v>
      </c>
      <c r="BM173" s="26">
        <v>0.11649275269462298</v>
      </c>
      <c r="BN173" s="26">
        <v>15.368852459016393</v>
      </c>
      <c r="BO173" s="27" t="s">
        <v>189</v>
      </c>
      <c r="BP173" s="28"/>
      <c r="BQ173" s="17" t="s">
        <v>253</v>
      </c>
      <c r="BR173" s="35">
        <v>388.95</v>
      </c>
      <c r="BS173" s="35">
        <v>510.85</v>
      </c>
      <c r="BT173" s="35">
        <v>121.9</v>
      </c>
      <c r="BU173" s="35">
        <f t="shared" si="86"/>
        <v>8.6433333333333326</v>
      </c>
      <c r="BV173" s="35">
        <f t="shared" si="87"/>
        <v>11.352222222222222</v>
      </c>
      <c r="BW173" s="35">
        <f t="shared" si="88"/>
        <v>2.7088888888888891</v>
      </c>
      <c r="BX173" s="36">
        <f t="shared" si="89"/>
        <v>23.953810623556585</v>
      </c>
      <c r="BY173" s="36">
        <f t="shared" si="90"/>
        <v>31.461123941493458</v>
      </c>
      <c r="BZ173" s="36">
        <f t="shared" si="91"/>
        <v>7.507313317936875</v>
      </c>
      <c r="CA173" s="50">
        <v>21</v>
      </c>
      <c r="CB173" s="50">
        <v>24</v>
      </c>
    </row>
    <row r="174" spans="1:80" x14ac:dyDescent="0.4">
      <c r="A174" s="21" t="s">
        <v>231</v>
      </c>
      <c r="B174" s="17" t="s">
        <v>246</v>
      </c>
      <c r="C174" s="17" t="s">
        <v>78</v>
      </c>
      <c r="D174" s="22">
        <v>9</v>
      </c>
      <c r="E174" s="22">
        <v>6</v>
      </c>
      <c r="F174" s="22">
        <v>16</v>
      </c>
      <c r="G174" s="23">
        <v>3384</v>
      </c>
      <c r="H174" s="23">
        <v>9</v>
      </c>
      <c r="I174" s="24">
        <f t="shared" si="65"/>
        <v>1</v>
      </c>
      <c r="J174" s="22">
        <v>4</v>
      </c>
      <c r="K174" s="22">
        <v>12</v>
      </c>
      <c r="L174" s="24">
        <f t="shared" si="82"/>
        <v>0.44444444444444442</v>
      </c>
      <c r="M174" s="24">
        <f t="shared" si="83"/>
        <v>1.3333333333333333</v>
      </c>
      <c r="N174" s="25">
        <f t="shared" si="84"/>
        <v>0.33333333333333331</v>
      </c>
      <c r="O174" s="23">
        <v>4</v>
      </c>
      <c r="P174" s="22">
        <v>12</v>
      </c>
      <c r="Q174" s="24">
        <f t="shared" si="66"/>
        <v>0.44444444444444442</v>
      </c>
      <c r="R174" s="24">
        <f t="shared" si="67"/>
        <v>1.3333333333333333</v>
      </c>
      <c r="S174" s="25">
        <f t="shared" si="68"/>
        <v>0.33333333333333331</v>
      </c>
      <c r="T174" s="22">
        <v>0</v>
      </c>
      <c r="U174" s="22">
        <v>0</v>
      </c>
      <c r="V174" s="24">
        <f t="shared" si="69"/>
        <v>0</v>
      </c>
      <c r="W174" s="24">
        <f t="shared" si="70"/>
        <v>0</v>
      </c>
      <c r="X174" s="25" t="e">
        <f t="shared" si="71"/>
        <v>#DIV/0!</v>
      </c>
      <c r="Y174" s="22">
        <v>1</v>
      </c>
      <c r="Z174" s="22">
        <v>2</v>
      </c>
      <c r="AA174" s="24">
        <f t="shared" si="72"/>
        <v>0.1111111111111111</v>
      </c>
      <c r="AB174" s="24">
        <f t="shared" si="73"/>
        <v>0.22222222222222221</v>
      </c>
      <c r="AC174" s="25">
        <f t="shared" si="74"/>
        <v>0.5</v>
      </c>
      <c r="AD174" s="22">
        <v>12</v>
      </c>
      <c r="AE174" s="24">
        <f t="shared" si="75"/>
        <v>1.3333333333333333</v>
      </c>
      <c r="AF174" s="22">
        <v>8</v>
      </c>
      <c r="AG174" s="24">
        <f t="shared" si="76"/>
        <v>0.88888888888888884</v>
      </c>
      <c r="AH174" s="22">
        <v>4</v>
      </c>
      <c r="AI174" s="24">
        <f t="shared" si="77"/>
        <v>0.44444444444444442</v>
      </c>
      <c r="AJ174" s="22">
        <v>4</v>
      </c>
      <c r="AK174" s="24">
        <f t="shared" si="78"/>
        <v>0.44444444444444442</v>
      </c>
      <c r="AL174" s="22">
        <v>1</v>
      </c>
      <c r="AM174" s="24">
        <f t="shared" si="79"/>
        <v>0.1111111111111111</v>
      </c>
      <c r="AN174" s="41">
        <v>0</v>
      </c>
      <c r="AO174" s="24">
        <f t="shared" si="80"/>
        <v>0</v>
      </c>
      <c r="AP174" s="22">
        <v>2</v>
      </c>
      <c r="AQ174" s="24">
        <f t="shared" si="92"/>
        <v>0.22222222222222221</v>
      </c>
      <c r="AR174" s="22">
        <v>7</v>
      </c>
      <c r="AS174" s="24">
        <f t="shared" si="81"/>
        <v>0.77777777777777779</v>
      </c>
      <c r="AT174" s="26">
        <v>-2.2861857022099006E-2</v>
      </c>
      <c r="AU174" s="26">
        <v>-1.6214082994396459E-2</v>
      </c>
      <c r="AV174" s="26">
        <v>-1.6907952351509721E-2</v>
      </c>
      <c r="AW174" s="26">
        <v>-5.9539046705892858E-3</v>
      </c>
      <c r="AX174" s="26">
        <v>96.48965357133612</v>
      </c>
      <c r="AY174" s="26">
        <v>117.64713438671815</v>
      </c>
      <c r="AZ174" s="26">
        <v>0.82307494327614605</v>
      </c>
      <c r="BA174" s="26">
        <v>1.6666666666666667</v>
      </c>
      <c r="BB174" s="26">
        <v>10.638297872340425</v>
      </c>
      <c r="BC174" s="25">
        <v>0.34937888198757761</v>
      </c>
      <c r="BD174" s="25">
        <v>0.33333333333333331</v>
      </c>
      <c r="BE174" s="26">
        <v>2.0490749785177624</v>
      </c>
      <c r="BF174" s="25">
        <v>0</v>
      </c>
      <c r="BG174" s="25">
        <v>0.16666666666666666</v>
      </c>
      <c r="BH174" s="26">
        <v>2.649913325751637</v>
      </c>
      <c r="BI174" s="26">
        <v>1.3249566628758185</v>
      </c>
      <c r="BJ174" s="26">
        <v>1.8996960486322187</v>
      </c>
      <c r="BK174" s="26">
        <v>1.4720314033366044</v>
      </c>
      <c r="BL174" s="26">
        <v>0.96434544446996928</v>
      </c>
      <c r="BM174" s="26">
        <v>0</v>
      </c>
      <c r="BN174" s="26">
        <v>13.440860215053762</v>
      </c>
      <c r="BO174" s="27" t="s">
        <v>189</v>
      </c>
      <c r="BP174" s="27"/>
      <c r="BQ174" s="17" t="s">
        <v>255</v>
      </c>
      <c r="BR174" s="35">
        <v>34.29</v>
      </c>
      <c r="BS174" s="35">
        <v>46.09</v>
      </c>
      <c r="BT174" s="35">
        <v>11.8</v>
      </c>
      <c r="BU174" s="35">
        <f t="shared" si="86"/>
        <v>3.8100000000000005</v>
      </c>
      <c r="BV174" s="35">
        <f t="shared" si="87"/>
        <v>5.1211111111111114</v>
      </c>
      <c r="BW174" s="35">
        <f t="shared" si="88"/>
        <v>1.3111111111111111</v>
      </c>
      <c r="BX174" s="36">
        <f t="shared" si="89"/>
        <v>24.319148936170215</v>
      </c>
      <c r="BY174" s="36">
        <f t="shared" si="90"/>
        <v>32.687943262411352</v>
      </c>
      <c r="BZ174" s="36">
        <f t="shared" si="91"/>
        <v>8.3687943262411348</v>
      </c>
      <c r="CA174" s="48">
        <v>3</v>
      </c>
      <c r="CB174" s="48">
        <v>6</v>
      </c>
    </row>
    <row r="175" spans="1:80" x14ac:dyDescent="0.4">
      <c r="A175" s="21" t="s">
        <v>231</v>
      </c>
      <c r="B175" s="17" t="s">
        <v>246</v>
      </c>
      <c r="C175" s="17" t="s">
        <v>77</v>
      </c>
      <c r="D175" s="22">
        <v>33</v>
      </c>
      <c r="E175" s="22">
        <v>12</v>
      </c>
      <c r="F175" s="22">
        <v>36</v>
      </c>
      <c r="G175" s="23">
        <v>24948</v>
      </c>
      <c r="H175" s="23">
        <v>78</v>
      </c>
      <c r="I175" s="24">
        <f t="shared" si="65"/>
        <v>2.3636363636363638</v>
      </c>
      <c r="J175" s="22">
        <v>28</v>
      </c>
      <c r="K175" s="22">
        <v>72</v>
      </c>
      <c r="L175" s="24">
        <f t="shared" si="82"/>
        <v>0.84848484848484851</v>
      </c>
      <c r="M175" s="24">
        <f t="shared" si="83"/>
        <v>2.1818181818181817</v>
      </c>
      <c r="N175" s="25">
        <f t="shared" si="84"/>
        <v>0.3888888888888889</v>
      </c>
      <c r="O175" s="23">
        <v>17</v>
      </c>
      <c r="P175" s="22">
        <v>40</v>
      </c>
      <c r="Q175" s="24">
        <f t="shared" si="66"/>
        <v>0.51515151515151514</v>
      </c>
      <c r="R175" s="24">
        <f t="shared" si="67"/>
        <v>1.2121212121212122</v>
      </c>
      <c r="S175" s="25">
        <f t="shared" si="68"/>
        <v>0.42499999999999999</v>
      </c>
      <c r="T175" s="22">
        <v>11</v>
      </c>
      <c r="U175" s="22">
        <v>32</v>
      </c>
      <c r="V175" s="24">
        <f t="shared" si="69"/>
        <v>0.33333333333333331</v>
      </c>
      <c r="W175" s="24">
        <f t="shared" si="70"/>
        <v>0.96969696969696972</v>
      </c>
      <c r="X175" s="25">
        <f t="shared" si="71"/>
        <v>0.34375</v>
      </c>
      <c r="Y175" s="22">
        <v>11</v>
      </c>
      <c r="Z175" s="22">
        <v>16</v>
      </c>
      <c r="AA175" s="24">
        <f t="shared" si="72"/>
        <v>0.33333333333333331</v>
      </c>
      <c r="AB175" s="24">
        <f t="shared" si="73"/>
        <v>0.48484848484848486</v>
      </c>
      <c r="AC175" s="25">
        <f t="shared" si="74"/>
        <v>0.6875</v>
      </c>
      <c r="AD175" s="22">
        <v>35</v>
      </c>
      <c r="AE175" s="24">
        <f t="shared" si="75"/>
        <v>1.0606060606060606</v>
      </c>
      <c r="AF175" s="22">
        <v>13</v>
      </c>
      <c r="AG175" s="24">
        <f t="shared" si="76"/>
        <v>0.39393939393939392</v>
      </c>
      <c r="AH175" s="22">
        <v>22</v>
      </c>
      <c r="AI175" s="24">
        <f t="shared" si="77"/>
        <v>0.66666666666666663</v>
      </c>
      <c r="AJ175" s="22">
        <v>41</v>
      </c>
      <c r="AK175" s="24">
        <f t="shared" si="78"/>
        <v>1.2424242424242424</v>
      </c>
      <c r="AL175" s="22">
        <v>10</v>
      </c>
      <c r="AM175" s="24">
        <f t="shared" si="79"/>
        <v>0.30303030303030304</v>
      </c>
      <c r="AN175" s="10">
        <v>1</v>
      </c>
      <c r="AO175" s="24">
        <f t="shared" si="80"/>
        <v>3.0303030303030304E-2</v>
      </c>
      <c r="AP175" s="22">
        <v>17</v>
      </c>
      <c r="AQ175" s="24">
        <f t="shared" si="92"/>
        <v>0.51515151515151514</v>
      </c>
      <c r="AR175" s="22">
        <v>73</v>
      </c>
      <c r="AS175" s="24">
        <f t="shared" si="81"/>
        <v>2.2121212121212119</v>
      </c>
      <c r="AT175" s="26">
        <v>0.11683895253475451</v>
      </c>
      <c r="AU175" s="26">
        <v>1.1239918473761858E-2</v>
      </c>
      <c r="AV175" s="26">
        <v>0.14532647185271733</v>
      </c>
      <c r="AW175" s="26">
        <v>-2.8487519317962819E-2</v>
      </c>
      <c r="AX175" s="26">
        <v>103.8802134831047</v>
      </c>
      <c r="AY175" s="26">
        <v>117.36221620470619</v>
      </c>
      <c r="AZ175" s="26">
        <v>1.6436747756467147</v>
      </c>
      <c r="BA175" s="26">
        <v>3</v>
      </c>
      <c r="BB175" s="26">
        <v>9.5238095238095237</v>
      </c>
      <c r="BC175" s="25">
        <v>0.49342105263157893</v>
      </c>
      <c r="BD175" s="25">
        <v>0.46527777777777779</v>
      </c>
      <c r="BE175" s="26">
        <v>6.5776857285314323</v>
      </c>
      <c r="BF175" s="25">
        <v>0.44444444444444442</v>
      </c>
      <c r="BG175" s="25">
        <v>0.22222222222222221</v>
      </c>
      <c r="BH175" s="26">
        <v>2.1416627540135584</v>
      </c>
      <c r="BI175" s="26">
        <v>3.6243523529460218</v>
      </c>
      <c r="BJ175" s="26">
        <v>2.755731922398589</v>
      </c>
      <c r="BK175" s="26">
        <v>7.7887537993920972</v>
      </c>
      <c r="BL175" s="26">
        <v>1.3080587558467118</v>
      </c>
      <c r="BM175" s="26">
        <v>0.13344275639357608</v>
      </c>
      <c r="BN175" s="26">
        <v>17.700957934194086</v>
      </c>
      <c r="BO175" s="27" t="s">
        <v>189</v>
      </c>
      <c r="BP175" s="28"/>
      <c r="BQ175" s="17" t="s">
        <v>254</v>
      </c>
      <c r="BR175" s="35">
        <v>235</v>
      </c>
      <c r="BS175" s="35">
        <v>306.39999999999998</v>
      </c>
      <c r="BT175" s="35">
        <v>71.400000000000006</v>
      </c>
      <c r="BU175" s="35">
        <f t="shared" si="86"/>
        <v>7.1212121212121193</v>
      </c>
      <c r="BV175" s="35">
        <f t="shared" si="87"/>
        <v>9.2848484848484834</v>
      </c>
      <c r="BW175" s="35">
        <f t="shared" si="88"/>
        <v>2.163636363636364</v>
      </c>
      <c r="BX175" s="36">
        <f t="shared" si="89"/>
        <v>22.607022607022607</v>
      </c>
      <c r="BY175" s="36">
        <f t="shared" si="90"/>
        <v>29.475709475709476</v>
      </c>
      <c r="BZ175" s="36">
        <f t="shared" si="91"/>
        <v>6.8686868686868685</v>
      </c>
      <c r="CA175" s="50">
        <v>14</v>
      </c>
      <c r="CB175" s="50">
        <v>19</v>
      </c>
    </row>
    <row r="176" spans="1:80" x14ac:dyDescent="0.4">
      <c r="A176" s="21" t="s">
        <v>231</v>
      </c>
      <c r="B176" s="17" t="s">
        <v>246</v>
      </c>
      <c r="C176" s="17" t="s">
        <v>203</v>
      </c>
      <c r="D176" s="16">
        <v>5</v>
      </c>
      <c r="E176" s="16">
        <v>5</v>
      </c>
      <c r="F176" s="16">
        <v>7</v>
      </c>
      <c r="G176" s="23">
        <v>1535</v>
      </c>
      <c r="H176" s="23">
        <v>6</v>
      </c>
      <c r="I176" s="24">
        <f t="shared" si="65"/>
        <v>1.2</v>
      </c>
      <c r="J176" s="22">
        <v>2</v>
      </c>
      <c r="K176" s="22">
        <v>6</v>
      </c>
      <c r="L176" s="24">
        <f t="shared" si="82"/>
        <v>0.4</v>
      </c>
      <c r="M176" s="24">
        <f t="shared" si="83"/>
        <v>1.2</v>
      </c>
      <c r="N176" s="25">
        <f t="shared" si="84"/>
        <v>0.33333333333333331</v>
      </c>
      <c r="O176" s="23">
        <v>0</v>
      </c>
      <c r="P176" s="22">
        <v>1</v>
      </c>
      <c r="Q176" s="24">
        <f t="shared" si="66"/>
        <v>0</v>
      </c>
      <c r="R176" s="24">
        <f t="shared" si="67"/>
        <v>0.2</v>
      </c>
      <c r="S176" s="25">
        <f t="shared" si="68"/>
        <v>0</v>
      </c>
      <c r="T176" s="22">
        <v>2</v>
      </c>
      <c r="U176" s="22">
        <v>5</v>
      </c>
      <c r="V176" s="24">
        <f t="shared" si="69"/>
        <v>0.4</v>
      </c>
      <c r="W176" s="24">
        <f t="shared" si="70"/>
        <v>1</v>
      </c>
      <c r="X176" s="25">
        <f t="shared" si="71"/>
        <v>0.4</v>
      </c>
      <c r="Y176" s="15">
        <v>0</v>
      </c>
      <c r="Z176" s="15">
        <v>2</v>
      </c>
      <c r="AA176" s="24">
        <f t="shared" si="72"/>
        <v>0</v>
      </c>
      <c r="AB176" s="24">
        <f t="shared" si="73"/>
        <v>0.4</v>
      </c>
      <c r="AC176" s="25">
        <f t="shared" si="74"/>
        <v>0</v>
      </c>
      <c r="AD176" s="22">
        <v>3</v>
      </c>
      <c r="AE176" s="24">
        <f t="shared" si="75"/>
        <v>0.6</v>
      </c>
      <c r="AF176" s="22">
        <v>2</v>
      </c>
      <c r="AG176" s="24">
        <f t="shared" si="76"/>
        <v>0.4</v>
      </c>
      <c r="AH176" s="22">
        <v>1</v>
      </c>
      <c r="AI176" s="24">
        <f t="shared" si="77"/>
        <v>0.2</v>
      </c>
      <c r="AJ176" s="22">
        <v>2</v>
      </c>
      <c r="AK176" s="24">
        <f t="shared" si="78"/>
        <v>0.4</v>
      </c>
      <c r="AL176" s="13">
        <v>1</v>
      </c>
      <c r="AM176" s="24">
        <f t="shared" si="79"/>
        <v>0.2</v>
      </c>
      <c r="AN176" s="12">
        <v>0</v>
      </c>
      <c r="AO176" s="24">
        <f t="shared" si="80"/>
        <v>0</v>
      </c>
      <c r="AP176" s="22">
        <v>1</v>
      </c>
      <c r="AQ176" s="24">
        <f t="shared" si="92"/>
        <v>0.2</v>
      </c>
      <c r="AR176" s="22">
        <v>4</v>
      </c>
      <c r="AS176" s="24">
        <f t="shared" si="81"/>
        <v>0.8</v>
      </c>
      <c r="AT176" s="26">
        <v>-6.3557947516878878E-3</v>
      </c>
      <c r="AU176" s="26">
        <v>-9.9373989602937647E-3</v>
      </c>
      <c r="AV176" s="26">
        <v>-8.2736151567992817E-3</v>
      </c>
      <c r="AW176" s="26">
        <v>1.9178204051113941E-3</v>
      </c>
      <c r="AX176" s="26">
        <v>96.457144151797564</v>
      </c>
      <c r="AY176" s="26">
        <v>116.25896313898329</v>
      </c>
      <c r="AZ176" s="26">
        <v>0.40087906788225031</v>
      </c>
      <c r="BA176" s="26">
        <v>1</v>
      </c>
      <c r="BB176" s="26">
        <v>7.8175895765472312</v>
      </c>
      <c r="BC176" s="25">
        <v>0.43604651162790697</v>
      </c>
      <c r="BD176" s="25">
        <v>0.5</v>
      </c>
      <c r="BE176" s="26">
        <v>1.3290172131341083</v>
      </c>
      <c r="BF176" s="25">
        <v>0.83333333333333337</v>
      </c>
      <c r="BG176" s="25">
        <v>0.33333333333333331</v>
      </c>
      <c r="BH176" s="26">
        <v>0.81137411277085947</v>
      </c>
      <c r="BI176" s="26">
        <v>0.40568705638542973</v>
      </c>
      <c r="BJ176" s="26">
        <v>0.58166589111214517</v>
      </c>
      <c r="BK176" s="26">
        <v>0.89632506722437999</v>
      </c>
      <c r="BL176" s="26">
        <v>2.1259576443559456</v>
      </c>
      <c r="BM176" s="26">
        <v>0</v>
      </c>
      <c r="BN176" s="26">
        <v>12.690355329949238</v>
      </c>
      <c r="BO176" s="27" t="s">
        <v>189</v>
      </c>
      <c r="BP176" s="28"/>
      <c r="BQ176" s="17" t="s">
        <v>255</v>
      </c>
      <c r="BR176" s="35">
        <v>13.6</v>
      </c>
      <c r="BS176" s="35">
        <v>20.399999999999999</v>
      </c>
      <c r="BT176" s="35">
        <v>6.8</v>
      </c>
      <c r="BU176" s="35">
        <f t="shared" si="86"/>
        <v>2.72</v>
      </c>
      <c r="BV176" s="35">
        <f t="shared" si="87"/>
        <v>4.08</v>
      </c>
      <c r="BW176" s="35">
        <f t="shared" si="88"/>
        <v>1.3599999999999999</v>
      </c>
      <c r="BX176" s="36">
        <f t="shared" si="89"/>
        <v>21.263843648208471</v>
      </c>
      <c r="BY176" s="36">
        <f t="shared" si="90"/>
        <v>31.895765472312704</v>
      </c>
      <c r="BZ176" s="36">
        <f t="shared" si="91"/>
        <v>10.631921824104234</v>
      </c>
      <c r="CA176" s="50">
        <v>0</v>
      </c>
      <c r="CB176" s="50">
        <v>5</v>
      </c>
    </row>
    <row r="177" spans="1:80" x14ac:dyDescent="0.4">
      <c r="A177" s="21" t="s">
        <v>231</v>
      </c>
      <c r="B177" s="17" t="s">
        <v>246</v>
      </c>
      <c r="C177" s="17" t="s">
        <v>74</v>
      </c>
      <c r="D177" s="22">
        <v>54</v>
      </c>
      <c r="E177" s="22">
        <v>17</v>
      </c>
      <c r="F177" s="22">
        <v>12</v>
      </c>
      <c r="G177" s="23">
        <v>55728</v>
      </c>
      <c r="H177" s="23">
        <v>253</v>
      </c>
      <c r="I177" s="24">
        <f t="shared" si="65"/>
        <v>4.6851851851851851</v>
      </c>
      <c r="J177" s="22">
        <v>84</v>
      </c>
      <c r="K177" s="22">
        <v>224</v>
      </c>
      <c r="L177" s="24">
        <f t="shared" si="82"/>
        <v>1.5555555555555556</v>
      </c>
      <c r="M177" s="24">
        <f t="shared" si="83"/>
        <v>4.1481481481481479</v>
      </c>
      <c r="N177" s="25">
        <f t="shared" si="84"/>
        <v>0.375</v>
      </c>
      <c r="O177" s="23">
        <v>14</v>
      </c>
      <c r="P177" s="22">
        <v>44</v>
      </c>
      <c r="Q177" s="24">
        <f t="shared" si="66"/>
        <v>0.25925925925925924</v>
      </c>
      <c r="R177" s="24">
        <f t="shared" si="67"/>
        <v>0.81481481481481477</v>
      </c>
      <c r="S177" s="25">
        <f t="shared" si="68"/>
        <v>0.31818181818181818</v>
      </c>
      <c r="T177" s="22">
        <v>70</v>
      </c>
      <c r="U177" s="22">
        <v>180</v>
      </c>
      <c r="V177" s="24">
        <f t="shared" si="69"/>
        <v>1.2962962962962963</v>
      </c>
      <c r="W177" s="24">
        <f t="shared" si="70"/>
        <v>3.3333333333333335</v>
      </c>
      <c r="X177" s="25">
        <f t="shared" si="71"/>
        <v>0.3888888888888889</v>
      </c>
      <c r="Y177" s="22">
        <v>15</v>
      </c>
      <c r="Z177" s="22">
        <v>18</v>
      </c>
      <c r="AA177" s="24">
        <f t="shared" si="72"/>
        <v>0.27777777777777779</v>
      </c>
      <c r="AB177" s="24">
        <f t="shared" si="73"/>
        <v>0.33333333333333331</v>
      </c>
      <c r="AC177" s="25">
        <f t="shared" si="74"/>
        <v>0.83333333333333337</v>
      </c>
      <c r="AD177" s="22">
        <v>90</v>
      </c>
      <c r="AE177" s="24">
        <f t="shared" si="75"/>
        <v>1.6666666666666667</v>
      </c>
      <c r="AF177" s="22">
        <v>23</v>
      </c>
      <c r="AG177" s="24">
        <f t="shared" si="76"/>
        <v>0.42592592592592593</v>
      </c>
      <c r="AH177" s="22">
        <v>67</v>
      </c>
      <c r="AI177" s="24">
        <f t="shared" si="77"/>
        <v>1.2407407407407407</v>
      </c>
      <c r="AJ177" s="22">
        <v>27</v>
      </c>
      <c r="AK177" s="24">
        <f t="shared" si="78"/>
        <v>0.5</v>
      </c>
      <c r="AL177" s="22">
        <v>17</v>
      </c>
      <c r="AM177" s="24">
        <f t="shared" si="79"/>
        <v>0.31481481481481483</v>
      </c>
      <c r="AN177" s="10">
        <v>1</v>
      </c>
      <c r="AO177" s="24">
        <f t="shared" si="80"/>
        <v>1.8518518518518517E-2</v>
      </c>
      <c r="AP177" s="22">
        <v>15</v>
      </c>
      <c r="AQ177" s="24">
        <f t="shared" si="92"/>
        <v>0.27777777777777779</v>
      </c>
      <c r="AR177" s="22">
        <v>68</v>
      </c>
      <c r="AS177" s="24">
        <f t="shared" si="81"/>
        <v>1.2592592592592593</v>
      </c>
      <c r="AT177" s="26">
        <v>0.88096343382077758</v>
      </c>
      <c r="AU177" s="26">
        <v>3.7939855031041241E-2</v>
      </c>
      <c r="AV177" s="26">
        <v>0.97526540822794361</v>
      </c>
      <c r="AW177" s="26">
        <v>-9.4301974407166006E-2</v>
      </c>
      <c r="AX177" s="26">
        <v>112.83855973809965</v>
      </c>
      <c r="AY177" s="26">
        <v>117.61610972446542</v>
      </c>
      <c r="AZ177" s="26">
        <v>7.1448485639330208</v>
      </c>
      <c r="BA177" s="26">
        <v>4.2592592592592595</v>
      </c>
      <c r="BB177" s="26">
        <v>9.9052540913006037</v>
      </c>
      <c r="BC177" s="25">
        <v>0.54544670576060716</v>
      </c>
      <c r="BD177" s="25">
        <v>0.53125</v>
      </c>
      <c r="BE177" s="26">
        <v>12.388517391688275</v>
      </c>
      <c r="BF177" s="25">
        <v>0.8035714285714286</v>
      </c>
      <c r="BG177" s="25">
        <v>8.0357142857142863E-2</v>
      </c>
      <c r="BH177" s="26">
        <v>2.775732853815426</v>
      </c>
      <c r="BI177" s="26">
        <v>8.0858304872014575</v>
      </c>
      <c r="BJ177" s="26">
        <v>5.191029900332226</v>
      </c>
      <c r="BK177" s="26">
        <v>4.0130796670630202</v>
      </c>
      <c r="BL177" s="26">
        <v>0.99549355314148014</v>
      </c>
      <c r="BM177" s="26">
        <v>9.7754577358084807E-2</v>
      </c>
      <c r="BN177" s="26">
        <v>6.0748420541065933</v>
      </c>
      <c r="BO177" s="27" t="s">
        <v>189</v>
      </c>
      <c r="BP177" s="27"/>
      <c r="BQ177" s="17" t="s">
        <v>255</v>
      </c>
      <c r="BR177" s="35">
        <v>498.88</v>
      </c>
      <c r="BS177" s="35">
        <v>652.78</v>
      </c>
      <c r="BT177" s="35">
        <v>153.9</v>
      </c>
      <c r="BU177" s="35">
        <f t="shared" si="86"/>
        <v>9.2385185185185179</v>
      </c>
      <c r="BV177" s="35">
        <f t="shared" si="87"/>
        <v>12.088518518518518</v>
      </c>
      <c r="BW177" s="35">
        <f t="shared" si="88"/>
        <v>2.85</v>
      </c>
      <c r="BX177" s="36">
        <f t="shared" si="89"/>
        <v>21.48492678725237</v>
      </c>
      <c r="BY177" s="36">
        <f t="shared" si="90"/>
        <v>28.112833763996555</v>
      </c>
      <c r="BZ177" s="36">
        <f t="shared" si="91"/>
        <v>6.6279069767441863</v>
      </c>
      <c r="CA177" s="50">
        <v>24</v>
      </c>
      <c r="CB177" s="50">
        <v>30</v>
      </c>
    </row>
    <row r="178" spans="1:80" x14ac:dyDescent="0.4">
      <c r="A178" s="21" t="s">
        <v>231</v>
      </c>
      <c r="B178" s="17" t="s">
        <v>246</v>
      </c>
      <c r="C178" s="17" t="s">
        <v>70</v>
      </c>
      <c r="D178" s="22">
        <v>49</v>
      </c>
      <c r="E178" s="22">
        <v>32</v>
      </c>
      <c r="F178" s="22">
        <v>19</v>
      </c>
      <c r="G178" s="23">
        <v>95011</v>
      </c>
      <c r="H178" s="23">
        <v>512</v>
      </c>
      <c r="I178" s="24">
        <f t="shared" si="65"/>
        <v>10.448979591836734</v>
      </c>
      <c r="J178" s="22">
        <v>211</v>
      </c>
      <c r="K178" s="22">
        <v>483</v>
      </c>
      <c r="L178" s="24">
        <f t="shared" si="82"/>
        <v>4.3061224489795915</v>
      </c>
      <c r="M178" s="24">
        <f t="shared" si="83"/>
        <v>9.8571428571428577</v>
      </c>
      <c r="N178" s="25">
        <f t="shared" si="84"/>
        <v>0.43685300207039335</v>
      </c>
      <c r="O178" s="23">
        <v>194</v>
      </c>
      <c r="P178" s="22">
        <v>423</v>
      </c>
      <c r="Q178" s="24">
        <f t="shared" si="66"/>
        <v>3.9591836734693877</v>
      </c>
      <c r="R178" s="24">
        <f t="shared" si="67"/>
        <v>8.6326530612244898</v>
      </c>
      <c r="S178" s="25">
        <f t="shared" si="68"/>
        <v>0.45862884160756501</v>
      </c>
      <c r="T178" s="22">
        <v>17</v>
      </c>
      <c r="U178" s="22">
        <v>60</v>
      </c>
      <c r="V178" s="24">
        <f t="shared" si="69"/>
        <v>0.34693877551020408</v>
      </c>
      <c r="W178" s="24">
        <f t="shared" si="70"/>
        <v>1.2244897959183674</v>
      </c>
      <c r="X178" s="25">
        <f t="shared" si="71"/>
        <v>0.28333333333333333</v>
      </c>
      <c r="Y178" s="22">
        <v>73</v>
      </c>
      <c r="Z178" s="22">
        <v>101</v>
      </c>
      <c r="AA178" s="24">
        <f t="shared" si="72"/>
        <v>1.489795918367347</v>
      </c>
      <c r="AB178" s="24">
        <f t="shared" si="73"/>
        <v>2.0612244897959182</v>
      </c>
      <c r="AC178" s="25">
        <f t="shared" si="74"/>
        <v>0.72277227722772275</v>
      </c>
      <c r="AD178" s="22">
        <v>308</v>
      </c>
      <c r="AE178" s="24">
        <f t="shared" si="75"/>
        <v>6.2857142857142856</v>
      </c>
      <c r="AF178" s="22">
        <v>114</v>
      </c>
      <c r="AG178" s="24">
        <f t="shared" si="76"/>
        <v>2.3265306122448979</v>
      </c>
      <c r="AH178" s="22">
        <v>194</v>
      </c>
      <c r="AI178" s="24">
        <f t="shared" si="77"/>
        <v>3.9591836734693877</v>
      </c>
      <c r="AJ178" s="22">
        <v>125</v>
      </c>
      <c r="AK178" s="24">
        <f t="shared" si="78"/>
        <v>2.5510204081632653</v>
      </c>
      <c r="AL178" s="22">
        <v>32</v>
      </c>
      <c r="AM178" s="24">
        <f t="shared" si="79"/>
        <v>0.65306122448979587</v>
      </c>
      <c r="AN178" s="10">
        <v>17</v>
      </c>
      <c r="AO178" s="24">
        <f t="shared" si="80"/>
        <v>0.34693877551020408</v>
      </c>
      <c r="AP178" s="22">
        <v>55</v>
      </c>
      <c r="AQ178" s="24">
        <f t="shared" si="92"/>
        <v>1.1224489795918366</v>
      </c>
      <c r="AR178" s="22">
        <v>81</v>
      </c>
      <c r="AS178" s="24">
        <f t="shared" si="81"/>
        <v>1.653061224489796</v>
      </c>
      <c r="AT178" s="26">
        <v>1.9205935264438929</v>
      </c>
      <c r="AU178" s="26">
        <v>4.8514640025526974E-2</v>
      </c>
      <c r="AV178" s="26">
        <v>1.4670792776026014</v>
      </c>
      <c r="AW178" s="26">
        <v>0.45351424884129155</v>
      </c>
      <c r="AX178" s="26">
        <v>107.1985638424718</v>
      </c>
      <c r="AY178" s="26">
        <v>114.63315810615204</v>
      </c>
      <c r="AZ178" s="26">
        <v>10.82690771017106</v>
      </c>
      <c r="BA178" s="26">
        <v>13.040816326530612</v>
      </c>
      <c r="BB178" s="26">
        <v>16.141288903390134</v>
      </c>
      <c r="BC178" s="25">
        <v>0.48536326406795083</v>
      </c>
      <c r="BD178" s="25">
        <v>0.45445134575569357</v>
      </c>
      <c r="BE178" s="26">
        <v>15.553070763926266</v>
      </c>
      <c r="BF178" s="25">
        <v>0.12422360248447205</v>
      </c>
      <c r="BG178" s="25">
        <v>0.20910973084886128</v>
      </c>
      <c r="BH178" s="26">
        <v>7.3224526041141154</v>
      </c>
      <c r="BI178" s="26">
        <v>12.46101583507139</v>
      </c>
      <c r="BJ178" s="26">
        <v>9.4550455561285887</v>
      </c>
      <c r="BK178" s="26">
        <v>10.322616163840566</v>
      </c>
      <c r="BL178" s="26">
        <v>1.0991047298814247</v>
      </c>
      <c r="BM178" s="26">
        <v>0.88447978605994826</v>
      </c>
      <c r="BN178" s="26">
        <v>9.443032758739097</v>
      </c>
      <c r="BO178" s="27" t="s">
        <v>189</v>
      </c>
      <c r="BP178" s="28"/>
      <c r="BQ178" s="17" t="s">
        <v>253</v>
      </c>
      <c r="BR178" s="35">
        <v>1142.72</v>
      </c>
      <c r="BS178" s="35">
        <v>1515.32</v>
      </c>
      <c r="BT178" s="35">
        <v>372.6</v>
      </c>
      <c r="BU178" s="35">
        <f t="shared" si="86"/>
        <v>23.320816326530611</v>
      </c>
      <c r="BV178" s="35">
        <f t="shared" si="87"/>
        <v>30.924897959183671</v>
      </c>
      <c r="BW178" s="35">
        <f t="shared" si="88"/>
        <v>7.6040816326530614</v>
      </c>
      <c r="BX178" s="36">
        <f t="shared" si="89"/>
        <v>28.865373483070378</v>
      </c>
      <c r="BY178" s="36">
        <f t="shared" si="90"/>
        <v>38.277336308427444</v>
      </c>
      <c r="BZ178" s="36">
        <f t="shared" si="91"/>
        <v>9.4119628253570635</v>
      </c>
      <c r="CA178" s="48">
        <v>23</v>
      </c>
      <c r="CB178" s="48">
        <v>26</v>
      </c>
    </row>
    <row r="179" spans="1:80" x14ac:dyDescent="0.4">
      <c r="A179" s="21" t="s">
        <v>231</v>
      </c>
      <c r="B179" s="17" t="s">
        <v>246</v>
      </c>
      <c r="C179" s="20" t="s">
        <v>162</v>
      </c>
      <c r="D179" s="22">
        <v>15</v>
      </c>
      <c r="E179" s="22">
        <v>12</v>
      </c>
      <c r="F179" s="22">
        <v>14</v>
      </c>
      <c r="G179" s="23">
        <v>11010</v>
      </c>
      <c r="H179" s="23">
        <v>64</v>
      </c>
      <c r="I179" s="24">
        <f t="shared" si="65"/>
        <v>4.2666666666666666</v>
      </c>
      <c r="J179" s="22">
        <v>24</v>
      </c>
      <c r="K179" s="22">
        <v>43</v>
      </c>
      <c r="L179" s="24">
        <f t="shared" si="82"/>
        <v>1.6</v>
      </c>
      <c r="M179" s="24">
        <f t="shared" si="83"/>
        <v>2.8666666666666667</v>
      </c>
      <c r="N179" s="25">
        <f t="shared" si="84"/>
        <v>0.55813953488372092</v>
      </c>
      <c r="O179" s="23">
        <v>24</v>
      </c>
      <c r="P179" s="22">
        <v>43</v>
      </c>
      <c r="Q179" s="24">
        <f t="shared" si="66"/>
        <v>1.6</v>
      </c>
      <c r="R179" s="24">
        <f t="shared" si="67"/>
        <v>2.8666666666666667</v>
      </c>
      <c r="S179" s="25">
        <f t="shared" si="68"/>
        <v>0.55813953488372092</v>
      </c>
      <c r="T179" s="22">
        <v>0</v>
      </c>
      <c r="U179" s="22">
        <v>0</v>
      </c>
      <c r="V179" s="24">
        <f t="shared" si="69"/>
        <v>0</v>
      </c>
      <c r="W179" s="24">
        <f t="shared" si="70"/>
        <v>0</v>
      </c>
      <c r="X179" s="25" t="e">
        <f t="shared" si="71"/>
        <v>#DIV/0!</v>
      </c>
      <c r="Y179" s="22">
        <v>16</v>
      </c>
      <c r="Z179" s="22">
        <v>22</v>
      </c>
      <c r="AA179" s="24">
        <f t="shared" si="72"/>
        <v>1.0666666666666667</v>
      </c>
      <c r="AB179" s="24">
        <f t="shared" si="73"/>
        <v>1.4666666666666666</v>
      </c>
      <c r="AC179" s="25">
        <f t="shared" si="74"/>
        <v>0.72727272727272729</v>
      </c>
      <c r="AD179" s="22">
        <v>33</v>
      </c>
      <c r="AE179" s="24">
        <f t="shared" si="75"/>
        <v>2.2000000000000002</v>
      </c>
      <c r="AF179" s="22">
        <v>11</v>
      </c>
      <c r="AG179" s="24">
        <f t="shared" si="76"/>
        <v>0.73333333333333328</v>
      </c>
      <c r="AH179" s="22">
        <v>22</v>
      </c>
      <c r="AI179" s="24">
        <f t="shared" si="77"/>
        <v>1.4666666666666666</v>
      </c>
      <c r="AJ179" s="22">
        <v>13</v>
      </c>
      <c r="AK179" s="24">
        <f t="shared" si="78"/>
        <v>0.8666666666666667</v>
      </c>
      <c r="AL179" s="22">
        <v>1</v>
      </c>
      <c r="AM179" s="24">
        <f t="shared" si="79"/>
        <v>6.6666666666666666E-2</v>
      </c>
      <c r="AN179" s="10">
        <v>3</v>
      </c>
      <c r="AO179" s="24">
        <f t="shared" si="80"/>
        <v>0.2</v>
      </c>
      <c r="AP179" s="22">
        <v>13</v>
      </c>
      <c r="AQ179" s="24">
        <f t="shared" si="92"/>
        <v>0.8666666666666667</v>
      </c>
      <c r="AR179" s="22">
        <v>11</v>
      </c>
      <c r="AS179" s="24">
        <f t="shared" si="81"/>
        <v>0.73333333333333328</v>
      </c>
      <c r="AT179" s="26">
        <v>0.23061666015847873</v>
      </c>
      <c r="AU179" s="26">
        <v>5.0270661614927249E-2</v>
      </c>
      <c r="AV179" s="26">
        <v>0.21777399532300781</v>
      </c>
      <c r="AW179" s="26">
        <v>1.284266483547093E-2</v>
      </c>
      <c r="AX179" s="26">
        <v>109.45343028983612</v>
      </c>
      <c r="AY179" s="26">
        <v>116.29722883461892</v>
      </c>
      <c r="AZ179" s="26">
        <v>3.1456732977278303</v>
      </c>
      <c r="BA179" s="26">
        <v>5.0666666666666664</v>
      </c>
      <c r="BB179" s="26">
        <v>16.56675749318801</v>
      </c>
      <c r="BC179" s="25">
        <v>0.60744115413819288</v>
      </c>
      <c r="BD179" s="25">
        <v>0.55813953488372092</v>
      </c>
      <c r="BE179" s="26">
        <v>4.6331872020195668</v>
      </c>
      <c r="BF179" s="25">
        <v>0</v>
      </c>
      <c r="BG179" s="25">
        <v>0.51162790697674421</v>
      </c>
      <c r="BH179" s="26">
        <v>1.8664920836697498</v>
      </c>
      <c r="BI179" s="26">
        <v>3.7329841673394997</v>
      </c>
      <c r="BJ179" s="26">
        <v>2.6761385753211364</v>
      </c>
      <c r="BK179" s="26">
        <v>2.5278714026445424</v>
      </c>
      <c r="BL179" s="26">
        <v>0.29639827285071541</v>
      </c>
      <c r="BM179" s="26">
        <v>0.4123272091289244</v>
      </c>
      <c r="BN179" s="26">
        <v>19.792935444579779</v>
      </c>
      <c r="BO179" s="27" t="s">
        <v>189</v>
      </c>
      <c r="BP179" s="28"/>
      <c r="BQ179" s="17" t="s">
        <v>253</v>
      </c>
      <c r="BR179">
        <v>365.88</v>
      </c>
      <c r="BS179">
        <v>448.88</v>
      </c>
      <c r="BT179">
        <v>83</v>
      </c>
      <c r="CA179" s="55">
        <v>7</v>
      </c>
      <c r="CB179" s="55">
        <v>8</v>
      </c>
    </row>
    <row r="180" spans="1:80" x14ac:dyDescent="0.4">
      <c r="A180" s="21" t="s">
        <v>231</v>
      </c>
      <c r="B180" s="17" t="s">
        <v>246</v>
      </c>
      <c r="C180" s="17" t="s">
        <v>81</v>
      </c>
      <c r="D180" s="22">
        <v>26</v>
      </c>
      <c r="E180" s="22">
        <v>9</v>
      </c>
      <c r="F180" s="22">
        <v>14</v>
      </c>
      <c r="G180" s="23">
        <v>14404</v>
      </c>
      <c r="H180" s="23">
        <v>56</v>
      </c>
      <c r="I180" s="24">
        <f t="shared" si="65"/>
        <v>2.1538461538461537</v>
      </c>
      <c r="J180" s="22">
        <v>23</v>
      </c>
      <c r="K180" s="22">
        <v>38</v>
      </c>
      <c r="L180" s="24">
        <f t="shared" si="82"/>
        <v>0.88461538461538458</v>
      </c>
      <c r="M180" s="24">
        <f t="shared" si="83"/>
        <v>1.4615384615384615</v>
      </c>
      <c r="N180" s="25">
        <f t="shared" si="84"/>
        <v>0.60526315789473684</v>
      </c>
      <c r="O180" s="23">
        <v>19</v>
      </c>
      <c r="P180" s="22">
        <v>28</v>
      </c>
      <c r="Q180" s="24">
        <f t="shared" si="66"/>
        <v>0.73076923076923073</v>
      </c>
      <c r="R180" s="24">
        <f t="shared" si="67"/>
        <v>1.0769230769230769</v>
      </c>
      <c r="S180" s="25">
        <f t="shared" si="68"/>
        <v>0.6785714285714286</v>
      </c>
      <c r="T180" s="22">
        <v>4</v>
      </c>
      <c r="U180" s="22">
        <v>10</v>
      </c>
      <c r="V180" s="24">
        <f t="shared" si="69"/>
        <v>0.15384615384615385</v>
      </c>
      <c r="W180" s="24">
        <f t="shared" si="70"/>
        <v>0.38461538461538464</v>
      </c>
      <c r="X180" s="25">
        <f t="shared" si="71"/>
        <v>0.4</v>
      </c>
      <c r="Y180" s="22">
        <v>6</v>
      </c>
      <c r="Z180" s="22">
        <v>9</v>
      </c>
      <c r="AA180" s="24">
        <f t="shared" si="72"/>
        <v>0.23076923076923078</v>
      </c>
      <c r="AB180" s="24">
        <f t="shared" si="73"/>
        <v>0.34615384615384615</v>
      </c>
      <c r="AC180" s="25">
        <f t="shared" si="74"/>
        <v>0.66666666666666663</v>
      </c>
      <c r="AD180" s="22">
        <v>14</v>
      </c>
      <c r="AE180" s="24">
        <f t="shared" si="75"/>
        <v>0.53846153846153844</v>
      </c>
      <c r="AF180" s="22">
        <v>8</v>
      </c>
      <c r="AG180" s="24">
        <f t="shared" si="76"/>
        <v>0.30769230769230771</v>
      </c>
      <c r="AH180" s="22">
        <v>6</v>
      </c>
      <c r="AI180" s="24">
        <f t="shared" si="77"/>
        <v>0.23076923076923078</v>
      </c>
      <c r="AJ180" s="22">
        <v>18</v>
      </c>
      <c r="AK180" s="24">
        <f t="shared" si="78"/>
        <v>0.69230769230769229</v>
      </c>
      <c r="AL180" s="22">
        <v>9</v>
      </c>
      <c r="AM180" s="24">
        <f t="shared" si="79"/>
        <v>0.34615384615384615</v>
      </c>
      <c r="AN180" s="10">
        <v>0</v>
      </c>
      <c r="AO180" s="24">
        <f t="shared" si="80"/>
        <v>0</v>
      </c>
      <c r="AP180" s="22">
        <v>9</v>
      </c>
      <c r="AQ180" s="24">
        <f t="shared" si="92"/>
        <v>0.34615384615384615</v>
      </c>
      <c r="AR180" s="22">
        <v>30</v>
      </c>
      <c r="AS180" s="24">
        <f t="shared" si="81"/>
        <v>1.1538461538461537</v>
      </c>
      <c r="AT180" s="26">
        <v>0.38214406629745529</v>
      </c>
      <c r="AU180" s="26">
        <v>6.3672990774360783E-2</v>
      </c>
      <c r="AV180" s="26">
        <v>0.39338372688610151</v>
      </c>
      <c r="AW180" s="26">
        <v>-1.1239660588646203E-2</v>
      </c>
      <c r="AX180" s="26">
        <v>122.27725886173452</v>
      </c>
      <c r="AY180" s="26">
        <v>117.19540407457899</v>
      </c>
      <c r="AZ180" s="26">
        <v>3.5915111832312721</v>
      </c>
      <c r="BA180" s="26">
        <v>2.6923076923076925</v>
      </c>
      <c r="BB180" s="26">
        <v>11.6634268258817</v>
      </c>
      <c r="BC180" s="25">
        <v>0.66730219256434697</v>
      </c>
      <c r="BD180" s="25">
        <v>0.65789473684210531</v>
      </c>
      <c r="BE180" s="26">
        <v>4.7628008060124447</v>
      </c>
      <c r="BF180" s="25">
        <v>0.26315789473684209</v>
      </c>
      <c r="BG180" s="25">
        <v>0.23684210526315788</v>
      </c>
      <c r="BH180" s="26">
        <v>1.7984971308350459</v>
      </c>
      <c r="BI180" s="26">
        <v>1.3488728481262844</v>
      </c>
      <c r="BJ180" s="26">
        <v>1.5042117930204573</v>
      </c>
      <c r="BK180" s="26">
        <v>4.6964689511219344</v>
      </c>
      <c r="BL180" s="26">
        <v>2.0390242194374744</v>
      </c>
      <c r="BM180" s="26">
        <v>0</v>
      </c>
      <c r="BN180" s="26">
        <v>17.660910518053374</v>
      </c>
      <c r="BO180" s="27" t="s">
        <v>189</v>
      </c>
      <c r="BP180" s="27"/>
      <c r="BQ180" s="17" t="s">
        <v>254</v>
      </c>
      <c r="BR180" s="35">
        <v>144.16</v>
      </c>
      <c r="BS180" s="35">
        <v>174.46</v>
      </c>
      <c r="BT180" s="35">
        <v>30.3</v>
      </c>
      <c r="BU180" s="35">
        <f t="shared" si="86"/>
        <v>5.5446153846153843</v>
      </c>
      <c r="BV180" s="35">
        <f t="shared" si="87"/>
        <v>6.71</v>
      </c>
      <c r="BW180" s="35">
        <f t="shared" si="88"/>
        <v>1.1653846153846155</v>
      </c>
      <c r="BX180" s="36">
        <f t="shared" si="89"/>
        <v>24.019994445987226</v>
      </c>
      <c r="BY180" s="36">
        <f t="shared" si="90"/>
        <v>29.068592057761734</v>
      </c>
      <c r="BZ180" s="36">
        <f t="shared" si="91"/>
        <v>5.0485976117745075</v>
      </c>
      <c r="CA180" s="48">
        <v>11</v>
      </c>
      <c r="CB180" s="48">
        <v>15</v>
      </c>
    </row>
    <row r="181" spans="1:80" x14ac:dyDescent="0.4">
      <c r="A181" s="21" t="s">
        <v>231</v>
      </c>
      <c r="B181" s="17" t="s">
        <v>246</v>
      </c>
      <c r="C181" s="17" t="s">
        <v>79</v>
      </c>
      <c r="D181" s="22">
        <v>35</v>
      </c>
      <c r="E181" s="22">
        <v>14</v>
      </c>
      <c r="F181" s="22">
        <v>59</v>
      </c>
      <c r="G181" s="23">
        <v>31465</v>
      </c>
      <c r="H181" s="23">
        <v>156</v>
      </c>
      <c r="I181" s="24">
        <f t="shared" si="65"/>
        <v>4.4571428571428573</v>
      </c>
      <c r="J181" s="22">
        <v>56</v>
      </c>
      <c r="K181" s="22">
        <v>134</v>
      </c>
      <c r="L181" s="24">
        <f t="shared" si="82"/>
        <v>1.6</v>
      </c>
      <c r="M181" s="24">
        <f t="shared" si="83"/>
        <v>3.8285714285714287</v>
      </c>
      <c r="N181" s="25">
        <f t="shared" si="84"/>
        <v>0.41791044776119401</v>
      </c>
      <c r="O181" s="23">
        <v>34</v>
      </c>
      <c r="P181" s="22">
        <v>66</v>
      </c>
      <c r="Q181" s="24">
        <f t="shared" si="66"/>
        <v>0.97142857142857142</v>
      </c>
      <c r="R181" s="24">
        <f t="shared" si="67"/>
        <v>1.8857142857142857</v>
      </c>
      <c r="S181" s="25">
        <f t="shared" si="68"/>
        <v>0.51515151515151514</v>
      </c>
      <c r="T181" s="22">
        <v>22</v>
      </c>
      <c r="U181" s="22">
        <v>68</v>
      </c>
      <c r="V181" s="24">
        <f t="shared" si="69"/>
        <v>0.62857142857142856</v>
      </c>
      <c r="W181" s="24">
        <f t="shared" si="70"/>
        <v>1.9428571428571428</v>
      </c>
      <c r="X181" s="25">
        <f t="shared" si="71"/>
        <v>0.3235294117647059</v>
      </c>
      <c r="Y181" s="22">
        <v>22</v>
      </c>
      <c r="Z181" s="22">
        <v>24</v>
      </c>
      <c r="AA181" s="24">
        <f t="shared" si="72"/>
        <v>0.62857142857142856</v>
      </c>
      <c r="AB181" s="24">
        <f t="shared" si="73"/>
        <v>0.68571428571428572</v>
      </c>
      <c r="AC181" s="25">
        <f t="shared" si="74"/>
        <v>0.91666666666666663</v>
      </c>
      <c r="AD181" s="22">
        <v>64</v>
      </c>
      <c r="AE181" s="24">
        <f t="shared" si="75"/>
        <v>1.8285714285714285</v>
      </c>
      <c r="AF181" s="22">
        <v>6</v>
      </c>
      <c r="AG181" s="24">
        <f t="shared" si="76"/>
        <v>0.17142857142857143</v>
      </c>
      <c r="AH181" s="22">
        <v>58</v>
      </c>
      <c r="AI181" s="24">
        <f t="shared" si="77"/>
        <v>1.6571428571428573</v>
      </c>
      <c r="AJ181" s="22">
        <v>32</v>
      </c>
      <c r="AK181" s="24">
        <f t="shared" si="78"/>
        <v>0.91428571428571426</v>
      </c>
      <c r="AL181" s="22">
        <v>11</v>
      </c>
      <c r="AM181" s="24">
        <f t="shared" si="79"/>
        <v>0.31428571428571428</v>
      </c>
      <c r="AN181" s="9">
        <v>6</v>
      </c>
      <c r="AO181" s="24">
        <f t="shared" si="80"/>
        <v>0.17142857142857143</v>
      </c>
      <c r="AP181" s="22">
        <v>24</v>
      </c>
      <c r="AQ181" s="24">
        <f t="shared" si="92"/>
        <v>0.68571428571428572</v>
      </c>
      <c r="AR181" s="22">
        <v>65</v>
      </c>
      <c r="AS181" s="24">
        <f t="shared" si="81"/>
        <v>1.8571428571428572</v>
      </c>
      <c r="AT181" s="26">
        <v>0.31824512877548017</v>
      </c>
      <c r="AU181" s="26">
        <v>2.4274219261438183E-2</v>
      </c>
      <c r="AV181" s="26">
        <v>0.1801151184345251</v>
      </c>
      <c r="AW181" s="26">
        <v>0.1381300103409551</v>
      </c>
      <c r="AX181" s="26">
        <v>102.97484933068397</v>
      </c>
      <c r="AY181" s="26">
        <v>114.81001116597236</v>
      </c>
      <c r="AZ181" s="26">
        <v>4.0921839338236428</v>
      </c>
      <c r="BA181" s="26">
        <v>4.7142857142857144</v>
      </c>
      <c r="BB181" s="26">
        <v>12.585412362942954</v>
      </c>
      <c r="BC181" s="25">
        <v>0.53956834532374098</v>
      </c>
      <c r="BD181" s="25">
        <v>0.5</v>
      </c>
      <c r="BE181" s="26">
        <v>9.7081749637056944</v>
      </c>
      <c r="BF181" s="25">
        <v>0.5074626865671642</v>
      </c>
      <c r="BG181" s="25">
        <v>0.17910447761194029</v>
      </c>
      <c r="BH181" s="26">
        <v>0.83122976402887838</v>
      </c>
      <c r="BI181" s="26">
        <v>8.035221052279157</v>
      </c>
      <c r="BJ181" s="26">
        <v>4.2375125801154718</v>
      </c>
      <c r="BK181" s="26">
        <v>5.3044535307768816</v>
      </c>
      <c r="BL181" s="26">
        <v>1.1408483974241264</v>
      </c>
      <c r="BM181" s="26">
        <v>0.67329960289350499</v>
      </c>
      <c r="BN181" s="26">
        <v>14.238253440911247</v>
      </c>
      <c r="BO181" s="27" t="s">
        <v>189</v>
      </c>
      <c r="BP181" s="28"/>
      <c r="BQ181" s="17" t="s">
        <v>255</v>
      </c>
      <c r="BR181" s="35">
        <v>311.06</v>
      </c>
      <c r="BS181" s="35">
        <v>422.06</v>
      </c>
      <c r="BT181" s="35">
        <v>111</v>
      </c>
      <c r="BU181" s="35">
        <f t="shared" si="86"/>
        <v>8.8874285714285719</v>
      </c>
      <c r="BV181" s="35">
        <f t="shared" si="87"/>
        <v>12.058857142857143</v>
      </c>
      <c r="BW181" s="35">
        <f t="shared" si="88"/>
        <v>3.1714285714285713</v>
      </c>
      <c r="BX181" s="36">
        <f t="shared" si="89"/>
        <v>23.726171937072941</v>
      </c>
      <c r="BY181" s="36">
        <f t="shared" si="90"/>
        <v>32.192722072143653</v>
      </c>
      <c r="BZ181" s="36">
        <f t="shared" si="91"/>
        <v>8.4665501350707135</v>
      </c>
      <c r="CA181" s="50">
        <v>16</v>
      </c>
      <c r="CB181" s="50">
        <v>19</v>
      </c>
    </row>
    <row r="182" spans="1:80" x14ac:dyDescent="0.4">
      <c r="A182" s="21" t="s">
        <v>231</v>
      </c>
      <c r="B182" s="51" t="s">
        <v>279</v>
      </c>
      <c r="C182" s="17" t="s">
        <v>73</v>
      </c>
      <c r="D182" s="22">
        <v>54</v>
      </c>
      <c r="E182" s="22">
        <v>26</v>
      </c>
      <c r="F182" s="22">
        <v>33</v>
      </c>
      <c r="G182" s="23">
        <v>86022</v>
      </c>
      <c r="H182" s="23">
        <v>458</v>
      </c>
      <c r="I182" s="24">
        <f t="shared" si="65"/>
        <v>8.481481481481481</v>
      </c>
      <c r="J182" s="22">
        <v>166</v>
      </c>
      <c r="K182" s="22">
        <v>393</v>
      </c>
      <c r="L182" s="24">
        <f t="shared" si="82"/>
        <v>3.074074074074074</v>
      </c>
      <c r="M182" s="24">
        <f t="shared" si="83"/>
        <v>7.2777777777777777</v>
      </c>
      <c r="N182" s="25">
        <f t="shared" si="84"/>
        <v>0.42239185750636132</v>
      </c>
      <c r="O182" s="23">
        <v>117</v>
      </c>
      <c r="P182" s="22">
        <v>241</v>
      </c>
      <c r="Q182" s="24">
        <f t="shared" si="66"/>
        <v>2.1666666666666665</v>
      </c>
      <c r="R182" s="24">
        <f t="shared" si="67"/>
        <v>4.4629629629629628</v>
      </c>
      <c r="S182" s="25">
        <f t="shared" si="68"/>
        <v>0.48547717842323651</v>
      </c>
      <c r="T182" s="22">
        <v>49</v>
      </c>
      <c r="U182" s="22">
        <v>152</v>
      </c>
      <c r="V182" s="24">
        <f t="shared" si="69"/>
        <v>0.90740740740740744</v>
      </c>
      <c r="W182" s="24">
        <f t="shared" si="70"/>
        <v>2.8148148148148149</v>
      </c>
      <c r="X182" s="25">
        <f t="shared" si="71"/>
        <v>0.32236842105263158</v>
      </c>
      <c r="Y182" s="22">
        <v>77</v>
      </c>
      <c r="Z182" s="22">
        <v>96</v>
      </c>
      <c r="AA182" s="24">
        <f t="shared" si="72"/>
        <v>1.4259259259259258</v>
      </c>
      <c r="AB182" s="24">
        <f t="shared" si="73"/>
        <v>1.7777777777777777</v>
      </c>
      <c r="AC182" s="25">
        <f t="shared" si="74"/>
        <v>0.80208333333333337</v>
      </c>
      <c r="AD182" s="22">
        <v>173</v>
      </c>
      <c r="AE182" s="24">
        <f t="shared" si="75"/>
        <v>3.2037037037037037</v>
      </c>
      <c r="AF182" s="22">
        <v>45</v>
      </c>
      <c r="AG182" s="24">
        <f t="shared" si="76"/>
        <v>0.83333333333333337</v>
      </c>
      <c r="AH182" s="22">
        <v>128</v>
      </c>
      <c r="AI182" s="24">
        <f t="shared" si="77"/>
        <v>2.3703703703703702</v>
      </c>
      <c r="AJ182" s="22">
        <v>152</v>
      </c>
      <c r="AK182" s="24">
        <f t="shared" si="78"/>
        <v>2.8148148148148149</v>
      </c>
      <c r="AL182" s="22">
        <v>51</v>
      </c>
      <c r="AM182" s="24">
        <f t="shared" si="79"/>
        <v>0.94444444444444442</v>
      </c>
      <c r="AN182" s="10">
        <v>6</v>
      </c>
      <c r="AO182" s="24">
        <f t="shared" si="80"/>
        <v>0.1111111111111111</v>
      </c>
      <c r="AP182" s="22">
        <v>59</v>
      </c>
      <c r="AQ182" s="24">
        <f t="shared" si="92"/>
        <v>1.0925925925925926</v>
      </c>
      <c r="AR182" s="22">
        <v>113</v>
      </c>
      <c r="AS182" s="24">
        <f t="shared" si="81"/>
        <v>2.0925925925925926</v>
      </c>
      <c r="AT182" s="26">
        <v>2.2092426530229203</v>
      </c>
      <c r="AU182" s="26">
        <v>6.1637515603624751E-2</v>
      </c>
      <c r="AV182" s="26">
        <v>1.7643909243323503</v>
      </c>
      <c r="AW182" s="26">
        <v>0.4448517286905701</v>
      </c>
      <c r="AX182" s="26">
        <v>110.4424558192834</v>
      </c>
      <c r="AY182" s="26">
        <v>114.44949248846764</v>
      </c>
      <c r="AZ182" s="26">
        <v>10.71310146645706</v>
      </c>
      <c r="BA182" s="26">
        <v>9.9074074074074066</v>
      </c>
      <c r="BB182" s="26">
        <v>14.926414173118506</v>
      </c>
      <c r="BC182" s="25">
        <v>0.52614649388842938</v>
      </c>
      <c r="BD182" s="25">
        <v>0.48473282442748089</v>
      </c>
      <c r="BE182" s="26">
        <v>16.064413670353186</v>
      </c>
      <c r="BF182" s="25">
        <v>0.38676844783715014</v>
      </c>
      <c r="BG182" s="25">
        <v>0.24427480916030533</v>
      </c>
      <c r="BH182" s="26">
        <v>3.5182465059414385</v>
      </c>
      <c r="BI182" s="26">
        <v>10.007456728011203</v>
      </c>
      <c r="BJ182" s="26">
        <v>6.4642931874570291</v>
      </c>
      <c r="BK182" s="26">
        <v>15.16663340650569</v>
      </c>
      <c r="BL182" s="26">
        <v>1.9347445326591477</v>
      </c>
      <c r="BM182" s="26">
        <v>0.37997259447662335</v>
      </c>
      <c r="BN182" s="26">
        <v>11.93752023308514</v>
      </c>
      <c r="BO182" s="27" t="s">
        <v>189</v>
      </c>
      <c r="BP182" s="28"/>
      <c r="BQ182" s="17" t="s">
        <v>253</v>
      </c>
      <c r="BR182" s="35">
        <v>988.45</v>
      </c>
      <c r="BS182" s="35">
        <v>1308.8499999999999</v>
      </c>
      <c r="BT182" s="35">
        <v>320.39999999999998</v>
      </c>
      <c r="BU182" s="35">
        <f t="shared" si="86"/>
        <v>18.304629629629627</v>
      </c>
      <c r="BV182" s="35">
        <f t="shared" si="87"/>
        <v>24.23796296296296</v>
      </c>
      <c r="BW182" s="35">
        <f t="shared" si="88"/>
        <v>5.9333333333333327</v>
      </c>
      <c r="BX182" s="36">
        <f t="shared" si="89"/>
        <v>27.577596428820534</v>
      </c>
      <c r="BY182" s="36">
        <f t="shared" si="90"/>
        <v>36.516705028946085</v>
      </c>
      <c r="BZ182" s="36">
        <f t="shared" si="91"/>
        <v>8.9391086001255484</v>
      </c>
      <c r="CA182" s="48">
        <v>24</v>
      </c>
      <c r="CB182" s="48">
        <v>30</v>
      </c>
    </row>
    <row r="183" spans="1:80" x14ac:dyDescent="0.4">
      <c r="A183" s="21" t="s">
        <v>231</v>
      </c>
      <c r="B183" s="17" t="s">
        <v>246</v>
      </c>
      <c r="C183" s="17" t="s">
        <v>252</v>
      </c>
      <c r="D183" s="22">
        <v>13</v>
      </c>
      <c r="E183" s="22">
        <v>10</v>
      </c>
      <c r="F183" s="22">
        <v>59</v>
      </c>
      <c r="G183" s="23">
        <v>8567</v>
      </c>
      <c r="H183" s="23">
        <v>35</v>
      </c>
      <c r="I183" s="24">
        <f t="shared" si="65"/>
        <v>2.6923076923076925</v>
      </c>
      <c r="J183" s="22">
        <v>10</v>
      </c>
      <c r="K183" s="22">
        <v>41</v>
      </c>
      <c r="L183" s="24">
        <f t="shared" si="82"/>
        <v>0.76923076923076927</v>
      </c>
      <c r="M183" s="24">
        <f t="shared" si="83"/>
        <v>3.1538461538461537</v>
      </c>
      <c r="N183" s="25">
        <f t="shared" si="84"/>
        <v>0.24390243902439024</v>
      </c>
      <c r="O183" s="23">
        <v>7</v>
      </c>
      <c r="P183" s="22">
        <v>19</v>
      </c>
      <c r="Q183" s="24">
        <f t="shared" si="66"/>
        <v>0.53846153846153844</v>
      </c>
      <c r="R183" s="24">
        <f t="shared" si="67"/>
        <v>1.4615384615384615</v>
      </c>
      <c r="S183" s="25">
        <f t="shared" si="68"/>
        <v>0.36842105263157893</v>
      </c>
      <c r="T183" s="22">
        <v>3</v>
      </c>
      <c r="U183" s="22">
        <v>22</v>
      </c>
      <c r="V183" s="24">
        <f t="shared" si="69"/>
        <v>0.23076923076923078</v>
      </c>
      <c r="W183" s="24">
        <f t="shared" si="70"/>
        <v>1.6923076923076923</v>
      </c>
      <c r="X183" s="25">
        <f t="shared" si="71"/>
        <v>0.13636363636363635</v>
      </c>
      <c r="Y183" s="22">
        <v>12</v>
      </c>
      <c r="Z183" s="22">
        <v>16</v>
      </c>
      <c r="AA183" s="24">
        <f t="shared" si="72"/>
        <v>0.92307692307692313</v>
      </c>
      <c r="AB183" s="24">
        <f t="shared" si="73"/>
        <v>1.2307692307692308</v>
      </c>
      <c r="AC183" s="25">
        <f t="shared" si="74"/>
        <v>0.75</v>
      </c>
      <c r="AD183" s="22">
        <v>20</v>
      </c>
      <c r="AE183" s="24">
        <f t="shared" si="75"/>
        <v>1.5384615384615385</v>
      </c>
      <c r="AF183" s="22">
        <v>5</v>
      </c>
      <c r="AG183" s="24">
        <f t="shared" si="76"/>
        <v>0.38461538461538464</v>
      </c>
      <c r="AH183" s="22">
        <v>15</v>
      </c>
      <c r="AI183" s="24">
        <f t="shared" si="77"/>
        <v>1.1538461538461537</v>
      </c>
      <c r="AJ183" s="22">
        <v>16</v>
      </c>
      <c r="AK183" s="24">
        <f t="shared" si="78"/>
        <v>1.2307692307692308</v>
      </c>
      <c r="AL183" s="22">
        <v>4</v>
      </c>
      <c r="AM183" s="24">
        <f t="shared" si="79"/>
        <v>0.30769230769230771</v>
      </c>
      <c r="AN183" s="10">
        <v>0</v>
      </c>
      <c r="AO183" s="24">
        <f t="shared" si="80"/>
        <v>0</v>
      </c>
      <c r="AP183" s="22">
        <v>16</v>
      </c>
      <c r="AQ183" s="24">
        <f t="shared" si="92"/>
        <v>1.2307692307692308</v>
      </c>
      <c r="AR183" s="22">
        <v>18</v>
      </c>
      <c r="AS183" s="24">
        <f t="shared" si="81"/>
        <v>1.3846153846153846</v>
      </c>
      <c r="AT183" s="26">
        <v>-0.52514306150608003</v>
      </c>
      <c r="AU183" s="26">
        <v>-0.14711606718975045</v>
      </c>
      <c r="AV183" s="26">
        <v>-0.56315000522549863</v>
      </c>
      <c r="AW183" s="26">
        <v>3.8006943719418589E-2</v>
      </c>
      <c r="AX183" s="26">
        <v>73.181525546697003</v>
      </c>
      <c r="AY183" s="26">
        <v>114.78856767528755</v>
      </c>
      <c r="AZ183" s="26">
        <v>-0.17555800285644452</v>
      </c>
      <c r="BA183" s="26">
        <v>1.8461538461538463</v>
      </c>
      <c r="BB183" s="26">
        <v>6.7234737947939767</v>
      </c>
      <c r="BC183" s="25">
        <v>0.36427976686094921</v>
      </c>
      <c r="BD183" s="25">
        <v>0.28048780487804881</v>
      </c>
      <c r="BE183" s="26">
        <v>5.0316297064149342</v>
      </c>
      <c r="BF183" s="25">
        <v>0.53658536585365857</v>
      </c>
      <c r="BG183" s="25">
        <v>0.3902439024390244</v>
      </c>
      <c r="BH183" s="26">
        <v>0.94496150463070516</v>
      </c>
      <c r="BI183" s="26">
        <v>2.8348845138921153</v>
      </c>
      <c r="BJ183" s="26">
        <v>1.8064889081581039</v>
      </c>
      <c r="BK183" s="26">
        <v>3.3807578532187628</v>
      </c>
      <c r="BL183" s="26">
        <v>1.5236815613803556</v>
      </c>
      <c r="BM183" s="26">
        <v>0</v>
      </c>
      <c r="BN183" s="26">
        <v>24.984384759525298</v>
      </c>
      <c r="BO183" s="27" t="s">
        <v>233</v>
      </c>
      <c r="BP183" s="27"/>
      <c r="BQ183" s="17" t="s">
        <v>255</v>
      </c>
      <c r="BR183" s="35">
        <v>64.89</v>
      </c>
      <c r="BS183" s="35">
        <v>121.19</v>
      </c>
      <c r="BT183" s="35">
        <v>56.3</v>
      </c>
      <c r="BU183" s="35">
        <f t="shared" si="86"/>
        <v>4.9915384615384619</v>
      </c>
      <c r="BV183" s="35">
        <f t="shared" si="87"/>
        <v>9.3223076923076924</v>
      </c>
      <c r="BW183" s="35">
        <f t="shared" si="88"/>
        <v>4.3307692307692305</v>
      </c>
      <c r="BX183" s="36">
        <f t="shared" si="89"/>
        <v>18.178592272674216</v>
      </c>
      <c r="BY183" s="36">
        <f t="shared" si="90"/>
        <v>33.950741216295086</v>
      </c>
      <c r="BZ183" s="36">
        <f t="shared" si="91"/>
        <v>15.77214894362087</v>
      </c>
      <c r="CA183" s="50">
        <v>3</v>
      </c>
      <c r="CB183" s="50">
        <v>10</v>
      </c>
    </row>
    <row r="184" spans="1:80" x14ac:dyDescent="0.4">
      <c r="A184" s="21" t="s">
        <v>231</v>
      </c>
      <c r="B184" s="17" t="s">
        <v>246</v>
      </c>
      <c r="C184" s="17" t="s">
        <v>76</v>
      </c>
      <c r="D184" s="22">
        <v>40</v>
      </c>
      <c r="E184" s="22">
        <v>29</v>
      </c>
      <c r="F184" s="22">
        <v>41</v>
      </c>
      <c r="G184" s="23">
        <v>71240</v>
      </c>
      <c r="H184" s="23">
        <v>627</v>
      </c>
      <c r="I184" s="24">
        <f t="shared" si="65"/>
        <v>15.675000000000001</v>
      </c>
      <c r="J184" s="22">
        <v>205</v>
      </c>
      <c r="K184" s="22">
        <v>474</v>
      </c>
      <c r="L184" s="24">
        <f t="shared" si="82"/>
        <v>5.125</v>
      </c>
      <c r="M184" s="24">
        <f t="shared" si="83"/>
        <v>11.85</v>
      </c>
      <c r="N184" s="25">
        <f t="shared" si="84"/>
        <v>0.43248945147679324</v>
      </c>
      <c r="O184" s="23">
        <v>115</v>
      </c>
      <c r="P184" s="22">
        <v>235</v>
      </c>
      <c r="Q184" s="24">
        <f t="shared" si="66"/>
        <v>2.875</v>
      </c>
      <c r="R184" s="24">
        <f t="shared" si="67"/>
        <v>5.875</v>
      </c>
      <c r="S184" s="25">
        <f t="shared" si="68"/>
        <v>0.48936170212765956</v>
      </c>
      <c r="T184" s="22">
        <v>90</v>
      </c>
      <c r="U184" s="22">
        <v>239</v>
      </c>
      <c r="V184" s="24">
        <f t="shared" si="69"/>
        <v>2.25</v>
      </c>
      <c r="W184" s="24">
        <f t="shared" si="70"/>
        <v>5.9749999999999996</v>
      </c>
      <c r="X184" s="25">
        <f t="shared" si="71"/>
        <v>0.37656903765690375</v>
      </c>
      <c r="Y184" s="22">
        <v>127</v>
      </c>
      <c r="Z184" s="22">
        <v>150</v>
      </c>
      <c r="AA184" s="24">
        <f t="shared" si="72"/>
        <v>3.1749999999999998</v>
      </c>
      <c r="AB184" s="24">
        <f t="shared" si="73"/>
        <v>3.75</v>
      </c>
      <c r="AC184" s="25">
        <f t="shared" si="74"/>
        <v>0.84666666666666668</v>
      </c>
      <c r="AD184" s="22">
        <v>105</v>
      </c>
      <c r="AE184" s="24">
        <f t="shared" si="75"/>
        <v>2.625</v>
      </c>
      <c r="AF184" s="22">
        <v>8</v>
      </c>
      <c r="AG184" s="24">
        <f t="shared" si="76"/>
        <v>0.2</v>
      </c>
      <c r="AH184" s="22">
        <v>97</v>
      </c>
      <c r="AI184" s="24">
        <f t="shared" si="77"/>
        <v>2.4249999999999998</v>
      </c>
      <c r="AJ184" s="22">
        <v>171</v>
      </c>
      <c r="AK184" s="24">
        <f t="shared" si="78"/>
        <v>4.2750000000000004</v>
      </c>
      <c r="AL184" s="22">
        <v>42</v>
      </c>
      <c r="AM184" s="24">
        <f t="shared" si="79"/>
        <v>1.05</v>
      </c>
      <c r="AN184" s="10">
        <v>0</v>
      </c>
      <c r="AO184" s="24">
        <f t="shared" si="80"/>
        <v>0</v>
      </c>
      <c r="AP184" s="22">
        <v>89</v>
      </c>
      <c r="AQ184" s="24">
        <f t="shared" si="92"/>
        <v>2.2250000000000001</v>
      </c>
      <c r="AR184" s="22">
        <v>72</v>
      </c>
      <c r="AS184" s="24">
        <f t="shared" si="81"/>
        <v>1.8</v>
      </c>
      <c r="AT184" s="26">
        <v>2.822347077049002</v>
      </c>
      <c r="AU184" s="26">
        <v>9.5081877946625565E-2</v>
      </c>
      <c r="AV184" s="26">
        <v>2.5550831932748852</v>
      </c>
      <c r="AW184" s="26">
        <v>0.26726388377411675</v>
      </c>
      <c r="AX184" s="26">
        <v>112.32410211839672</v>
      </c>
      <c r="AY184" s="26">
        <v>115.10452883062082</v>
      </c>
      <c r="AZ184" s="26">
        <v>11.498142082762437</v>
      </c>
      <c r="BA184" s="26">
        <v>14.1</v>
      </c>
      <c r="BB184" s="26">
        <v>19.000561482313309</v>
      </c>
      <c r="BC184" s="25">
        <v>0.5805555555555556</v>
      </c>
      <c r="BD184" s="25">
        <v>0.52742616033755274</v>
      </c>
      <c r="BE184" s="26">
        <v>18.286453662591576</v>
      </c>
      <c r="BF184" s="25">
        <v>0.50421940928270037</v>
      </c>
      <c r="BG184" s="25">
        <v>0.31645569620253167</v>
      </c>
      <c r="BH184" s="26">
        <v>0.55944267854161445</v>
      </c>
      <c r="BI184" s="26">
        <v>6.783242477317077</v>
      </c>
      <c r="BJ184" s="26">
        <v>3.5092644581695676</v>
      </c>
      <c r="BK184" s="26">
        <v>15.530394768709131</v>
      </c>
      <c r="BL184" s="26">
        <v>1.9239260153232427</v>
      </c>
      <c r="BM184" s="26">
        <v>0</v>
      </c>
      <c r="BN184" s="26">
        <v>14.149443561208267</v>
      </c>
      <c r="BO184" s="27" t="s">
        <v>189</v>
      </c>
      <c r="BP184" s="28"/>
      <c r="BQ184" s="17" t="s">
        <v>255</v>
      </c>
      <c r="BR184" s="35">
        <v>928.36</v>
      </c>
      <c r="BS184" s="35">
        <v>1334.36</v>
      </c>
      <c r="BT184" s="35">
        <v>406</v>
      </c>
      <c r="BU184" s="35">
        <f t="shared" si="86"/>
        <v>23.208999999999996</v>
      </c>
      <c r="BV184" s="35">
        <f t="shared" si="87"/>
        <v>33.358999999999995</v>
      </c>
      <c r="BW184" s="35">
        <f t="shared" si="88"/>
        <v>10.15</v>
      </c>
      <c r="BX184" s="36">
        <f t="shared" si="89"/>
        <v>31.275463222908474</v>
      </c>
      <c r="BY184" s="36">
        <f t="shared" si="90"/>
        <v>44.953172375070181</v>
      </c>
      <c r="BZ184" s="36">
        <f t="shared" si="91"/>
        <v>13.677709152161707</v>
      </c>
      <c r="CA184" s="48">
        <v>18</v>
      </c>
      <c r="CB184" s="48">
        <v>22</v>
      </c>
    </row>
    <row r="185" spans="1:80" x14ac:dyDescent="0.4">
      <c r="A185" s="21" t="s">
        <v>231</v>
      </c>
      <c r="B185" s="17" t="s">
        <v>197</v>
      </c>
      <c r="C185" s="17" t="s">
        <v>86</v>
      </c>
      <c r="D185" s="22">
        <v>51</v>
      </c>
      <c r="E185" s="22">
        <v>15</v>
      </c>
      <c r="F185" s="22">
        <v>35</v>
      </c>
      <c r="G185" s="23">
        <v>47685</v>
      </c>
      <c r="H185" s="23">
        <v>416</v>
      </c>
      <c r="I185" s="24">
        <f t="shared" si="65"/>
        <v>8.1568627450980387</v>
      </c>
      <c r="J185" s="22">
        <v>162</v>
      </c>
      <c r="K185" s="22">
        <v>302</v>
      </c>
      <c r="L185" s="24">
        <f t="shared" si="82"/>
        <v>3.1764705882352939</v>
      </c>
      <c r="M185" s="24">
        <f t="shared" si="83"/>
        <v>5.9215686274509807</v>
      </c>
      <c r="N185" s="25">
        <f t="shared" si="84"/>
        <v>0.53642384105960261</v>
      </c>
      <c r="O185" s="23">
        <v>162</v>
      </c>
      <c r="P185" s="22">
        <v>301</v>
      </c>
      <c r="Q185" s="24">
        <f t="shared" si="66"/>
        <v>3.1764705882352939</v>
      </c>
      <c r="R185" s="24">
        <f t="shared" si="67"/>
        <v>5.9019607843137258</v>
      </c>
      <c r="S185" s="25">
        <f t="shared" si="68"/>
        <v>0.53820598006644516</v>
      </c>
      <c r="T185" s="22">
        <v>0</v>
      </c>
      <c r="U185" s="22">
        <v>1</v>
      </c>
      <c r="V185" s="24">
        <f t="shared" si="69"/>
        <v>0</v>
      </c>
      <c r="W185" s="24">
        <f t="shared" si="70"/>
        <v>1.9607843137254902E-2</v>
      </c>
      <c r="X185" s="25">
        <f t="shared" si="71"/>
        <v>0</v>
      </c>
      <c r="Y185" s="22">
        <v>92</v>
      </c>
      <c r="Z185" s="22">
        <v>123</v>
      </c>
      <c r="AA185" s="24">
        <f t="shared" si="72"/>
        <v>1.803921568627451</v>
      </c>
      <c r="AB185" s="24">
        <f t="shared" si="73"/>
        <v>2.4117647058823528</v>
      </c>
      <c r="AC185" s="25">
        <f t="shared" si="74"/>
        <v>0.74796747967479671</v>
      </c>
      <c r="AD185" s="22">
        <v>169</v>
      </c>
      <c r="AE185" s="24">
        <f t="shared" si="75"/>
        <v>3.3137254901960786</v>
      </c>
      <c r="AF185" s="22">
        <v>50</v>
      </c>
      <c r="AG185" s="24">
        <f t="shared" si="76"/>
        <v>0.98039215686274506</v>
      </c>
      <c r="AH185" s="22">
        <v>119</v>
      </c>
      <c r="AI185" s="24">
        <f t="shared" si="77"/>
        <v>2.3333333333333335</v>
      </c>
      <c r="AJ185" s="22">
        <v>75</v>
      </c>
      <c r="AK185" s="24">
        <f t="shared" si="78"/>
        <v>1.4705882352941178</v>
      </c>
      <c r="AL185" s="22">
        <v>16</v>
      </c>
      <c r="AM185" s="24">
        <f t="shared" si="79"/>
        <v>0.31372549019607843</v>
      </c>
      <c r="AN185" s="10">
        <v>20</v>
      </c>
      <c r="AO185" s="24">
        <f t="shared" si="80"/>
        <v>0.39215686274509803</v>
      </c>
      <c r="AP185" s="22">
        <v>63</v>
      </c>
      <c r="AQ185" s="24">
        <f t="shared" si="92"/>
        <v>1.2352941176470589</v>
      </c>
      <c r="AR185" s="22">
        <v>108</v>
      </c>
      <c r="AS185" s="24">
        <f t="shared" si="81"/>
        <v>2.1176470588235294</v>
      </c>
      <c r="AT185" s="26">
        <v>2.1801516320427528</v>
      </c>
      <c r="AU185" s="26">
        <v>0.10972766943279033</v>
      </c>
      <c r="AV185" s="26">
        <v>1.2141574954773773</v>
      </c>
      <c r="AW185" s="26">
        <v>0.96599413656537569</v>
      </c>
      <c r="AX185" s="26">
        <v>110.77202837402258</v>
      </c>
      <c r="AY185" s="26">
        <v>105.66353034748043</v>
      </c>
      <c r="AZ185" s="26">
        <v>11.718158514696096</v>
      </c>
      <c r="BA185" s="26">
        <v>9.0588235294117645</v>
      </c>
      <c r="BB185" s="26">
        <v>23.252595155709344</v>
      </c>
      <c r="BC185" s="25">
        <v>0.58407278445467814</v>
      </c>
      <c r="BD185" s="25">
        <v>0.53642384105960261</v>
      </c>
      <c r="BE185" s="26">
        <v>23.209700612287467</v>
      </c>
      <c r="BF185" s="25">
        <v>3.3112582781456954E-3</v>
      </c>
      <c r="BG185" s="25">
        <v>0.40728476821192056</v>
      </c>
      <c r="BH185" s="26">
        <v>6.6602099631190876</v>
      </c>
      <c r="BI185" s="26">
        <v>15.851299712223426</v>
      </c>
      <c r="BJ185" s="26">
        <v>10.758848994143111</v>
      </c>
      <c r="BK185" s="26">
        <v>14.322087842138766</v>
      </c>
      <c r="BL185" s="26">
        <v>1.0949673848250396</v>
      </c>
      <c r="BM185" s="26">
        <v>2.1579192263859572</v>
      </c>
      <c r="BN185" s="26">
        <v>15.03149456003054</v>
      </c>
      <c r="BO185" s="27" t="s">
        <v>189</v>
      </c>
      <c r="BP185" s="28"/>
      <c r="BQ185" s="17" t="s">
        <v>255</v>
      </c>
      <c r="BR185" s="57">
        <v>699.43</v>
      </c>
      <c r="BS185" s="57">
        <v>958.63</v>
      </c>
      <c r="BT185" s="57">
        <v>259.2</v>
      </c>
      <c r="BU185" s="35">
        <f t="shared" si="86"/>
        <v>13.714313725490197</v>
      </c>
      <c r="BV185" s="35">
        <f t="shared" si="87"/>
        <v>18.796666666666667</v>
      </c>
      <c r="BW185" s="35">
        <f t="shared" si="88"/>
        <v>5.0823529411764703</v>
      </c>
      <c r="BX185" s="36">
        <f t="shared" si="89"/>
        <v>35.202516514627241</v>
      </c>
      <c r="BY185" s="36">
        <f t="shared" si="90"/>
        <v>48.248128342245991</v>
      </c>
      <c r="BZ185" s="36">
        <f t="shared" si="91"/>
        <v>13.045611827618748</v>
      </c>
      <c r="CA185" s="50">
        <v>35</v>
      </c>
      <c r="CB185" s="50">
        <v>16</v>
      </c>
    </row>
    <row r="186" spans="1:80" x14ac:dyDescent="0.4">
      <c r="A186" s="21" t="s">
        <v>231</v>
      </c>
      <c r="B186" s="17" t="s">
        <v>197</v>
      </c>
      <c r="C186" s="17" t="s">
        <v>148</v>
      </c>
      <c r="D186" s="22">
        <v>2</v>
      </c>
      <c r="E186" s="22">
        <v>4</v>
      </c>
      <c r="F186" s="22">
        <v>6</v>
      </c>
      <c r="G186" s="23">
        <v>492</v>
      </c>
      <c r="H186" s="23">
        <v>5</v>
      </c>
      <c r="I186" s="24">
        <f t="shared" si="65"/>
        <v>2.5</v>
      </c>
      <c r="J186" s="22">
        <v>2</v>
      </c>
      <c r="K186" s="22">
        <v>3</v>
      </c>
      <c r="L186" s="24">
        <f t="shared" si="82"/>
        <v>1</v>
      </c>
      <c r="M186" s="24">
        <f t="shared" si="83"/>
        <v>1.5</v>
      </c>
      <c r="N186" s="25">
        <f t="shared" si="84"/>
        <v>0.66666666666666663</v>
      </c>
      <c r="O186" s="23">
        <v>1</v>
      </c>
      <c r="P186" s="22">
        <v>1</v>
      </c>
      <c r="Q186" s="24">
        <f t="shared" si="66"/>
        <v>0.5</v>
      </c>
      <c r="R186" s="24">
        <f t="shared" si="67"/>
        <v>0.5</v>
      </c>
      <c r="S186" s="25">
        <f t="shared" si="68"/>
        <v>1</v>
      </c>
      <c r="T186" s="22">
        <v>1</v>
      </c>
      <c r="U186" s="22">
        <v>2</v>
      </c>
      <c r="V186" s="24">
        <f t="shared" si="69"/>
        <v>0.5</v>
      </c>
      <c r="W186" s="24">
        <f t="shared" si="70"/>
        <v>1</v>
      </c>
      <c r="X186" s="25">
        <f t="shared" si="71"/>
        <v>0.5</v>
      </c>
      <c r="Y186" s="22">
        <v>0</v>
      </c>
      <c r="Z186" s="22">
        <v>0</v>
      </c>
      <c r="AA186" s="24">
        <f t="shared" si="72"/>
        <v>0</v>
      </c>
      <c r="AB186" s="24">
        <f t="shared" si="73"/>
        <v>0</v>
      </c>
      <c r="AC186" s="25" t="e">
        <f t="shared" si="74"/>
        <v>#DIV/0!</v>
      </c>
      <c r="AD186" s="22">
        <v>2</v>
      </c>
      <c r="AE186" s="24">
        <f t="shared" si="75"/>
        <v>1</v>
      </c>
      <c r="AF186" s="22">
        <v>0</v>
      </c>
      <c r="AG186" s="24">
        <f t="shared" si="76"/>
        <v>0</v>
      </c>
      <c r="AH186" s="22">
        <v>2</v>
      </c>
      <c r="AI186" s="24">
        <f t="shared" si="77"/>
        <v>1</v>
      </c>
      <c r="AJ186" s="22">
        <v>1</v>
      </c>
      <c r="AK186" s="24">
        <f t="shared" si="78"/>
        <v>0.5</v>
      </c>
      <c r="AL186" s="22">
        <v>0</v>
      </c>
      <c r="AM186" s="24">
        <f t="shared" si="79"/>
        <v>0</v>
      </c>
      <c r="AN186" s="10">
        <v>0</v>
      </c>
      <c r="AO186" s="24">
        <f t="shared" si="80"/>
        <v>0</v>
      </c>
      <c r="AP186" s="22">
        <v>0</v>
      </c>
      <c r="AQ186" s="24">
        <f t="shared" si="92"/>
        <v>0</v>
      </c>
      <c r="AR186" s="22">
        <v>1</v>
      </c>
      <c r="AS186" s="24">
        <f t="shared" si="81"/>
        <v>0.5</v>
      </c>
      <c r="AT186" s="26">
        <v>5.8818841823196674E-2</v>
      </c>
      <c r="AU186" s="26">
        <v>0.28692117962534963</v>
      </c>
      <c r="AV186" s="26">
        <v>4.9169347215367899E-2</v>
      </c>
      <c r="AW186" s="26">
        <v>9.6494946078287732E-3</v>
      </c>
      <c r="AX186" s="26">
        <v>171.34851623013046</v>
      </c>
      <c r="AY186" s="26">
        <v>106.01925174878994</v>
      </c>
      <c r="AZ186" s="26">
        <v>0.78810270264786431</v>
      </c>
      <c r="BA186" s="26">
        <v>3.5</v>
      </c>
      <c r="BB186" s="26">
        <v>34.146341463414636</v>
      </c>
      <c r="BC186" s="25">
        <v>0.83333333333333337</v>
      </c>
      <c r="BD186" s="25">
        <v>0.83333333333333337</v>
      </c>
      <c r="BE186" s="26">
        <v>0.63143537890332302</v>
      </c>
      <c r="BF186" s="25">
        <v>0.66666666666666663</v>
      </c>
      <c r="BG186" s="25">
        <v>0</v>
      </c>
      <c r="BH186" s="26">
        <v>0</v>
      </c>
      <c r="BI186" s="26">
        <v>1.0125685065880237</v>
      </c>
      <c r="BJ186" s="26">
        <v>0.48393341076267904</v>
      </c>
      <c r="BK186" s="26">
        <v>0.56053811659192831</v>
      </c>
      <c r="BL186" s="26">
        <v>0</v>
      </c>
      <c r="BM186" s="26">
        <v>0</v>
      </c>
      <c r="BN186" s="26">
        <v>0</v>
      </c>
      <c r="BO186" s="27" t="s">
        <v>189</v>
      </c>
      <c r="BP186" s="28"/>
      <c r="BQ186" s="17" t="s">
        <v>254</v>
      </c>
      <c r="BR186" s="57">
        <v>9.65</v>
      </c>
      <c r="BS186" s="57">
        <v>10.55</v>
      </c>
      <c r="BT186" s="57">
        <v>0.9</v>
      </c>
      <c r="BU186" s="35">
        <f t="shared" si="86"/>
        <v>4.8250000000000002</v>
      </c>
      <c r="BV186" s="35">
        <f t="shared" si="87"/>
        <v>5.2750000000000004</v>
      </c>
      <c r="BW186" s="35">
        <f t="shared" si="88"/>
        <v>0.45</v>
      </c>
      <c r="BX186" s="36">
        <f t="shared" si="89"/>
        <v>47.073170731707314</v>
      </c>
      <c r="BY186" s="36">
        <f t="shared" si="90"/>
        <v>51.463414634146339</v>
      </c>
      <c r="BZ186" s="36">
        <f t="shared" si="91"/>
        <v>4.3902439024390247</v>
      </c>
      <c r="CA186" s="48">
        <v>1</v>
      </c>
      <c r="CB186" s="48">
        <v>1</v>
      </c>
    </row>
    <row r="187" spans="1:80" x14ac:dyDescent="0.4">
      <c r="A187" s="21" t="s">
        <v>231</v>
      </c>
      <c r="B187" s="17" t="s">
        <v>197</v>
      </c>
      <c r="C187" s="17" t="s">
        <v>142</v>
      </c>
      <c r="D187" s="22">
        <v>54</v>
      </c>
      <c r="E187" s="22">
        <v>15</v>
      </c>
      <c r="F187" s="22">
        <v>0</v>
      </c>
      <c r="G187" s="23">
        <v>48600</v>
      </c>
      <c r="H187" s="23">
        <v>457</v>
      </c>
      <c r="I187" s="24">
        <f t="shared" si="65"/>
        <v>8.4629629629629637</v>
      </c>
      <c r="J187" s="22">
        <v>185</v>
      </c>
      <c r="K187" s="22">
        <v>359</v>
      </c>
      <c r="L187" s="24">
        <f t="shared" si="82"/>
        <v>3.425925925925926</v>
      </c>
      <c r="M187" s="24">
        <f t="shared" si="83"/>
        <v>6.6481481481481479</v>
      </c>
      <c r="N187" s="25">
        <f t="shared" si="84"/>
        <v>0.51532033426183843</v>
      </c>
      <c r="O187" s="23">
        <v>183</v>
      </c>
      <c r="P187" s="22">
        <v>347</v>
      </c>
      <c r="Q187" s="24">
        <f t="shared" si="66"/>
        <v>3.3888888888888888</v>
      </c>
      <c r="R187" s="24">
        <f t="shared" si="67"/>
        <v>6.4259259259259256</v>
      </c>
      <c r="S187" s="25">
        <f t="shared" si="68"/>
        <v>0.52737752161383289</v>
      </c>
      <c r="T187" s="22">
        <v>2</v>
      </c>
      <c r="U187" s="22">
        <v>12</v>
      </c>
      <c r="V187" s="24">
        <f t="shared" si="69"/>
        <v>3.7037037037037035E-2</v>
      </c>
      <c r="W187" s="24">
        <f t="shared" si="70"/>
        <v>0.22222222222222221</v>
      </c>
      <c r="X187" s="25">
        <f t="shared" si="71"/>
        <v>0.16666666666666666</v>
      </c>
      <c r="Y187" s="22">
        <v>85</v>
      </c>
      <c r="Z187" s="22">
        <v>113</v>
      </c>
      <c r="AA187" s="24">
        <f t="shared" si="72"/>
        <v>1.5740740740740742</v>
      </c>
      <c r="AB187" s="24">
        <f t="shared" si="73"/>
        <v>2.0925925925925926</v>
      </c>
      <c r="AC187" s="25">
        <f t="shared" si="74"/>
        <v>0.75221238938053092</v>
      </c>
      <c r="AD187" s="22">
        <v>278</v>
      </c>
      <c r="AE187" s="24">
        <f t="shared" si="75"/>
        <v>5.1481481481481479</v>
      </c>
      <c r="AF187" s="22">
        <v>79</v>
      </c>
      <c r="AG187" s="24">
        <f t="shared" si="76"/>
        <v>1.462962962962963</v>
      </c>
      <c r="AH187" s="22">
        <v>199</v>
      </c>
      <c r="AI187" s="24">
        <f t="shared" si="77"/>
        <v>3.6851851851851851</v>
      </c>
      <c r="AJ187" s="22">
        <v>57</v>
      </c>
      <c r="AK187" s="24">
        <f t="shared" si="78"/>
        <v>1.0555555555555556</v>
      </c>
      <c r="AL187" s="22">
        <v>45</v>
      </c>
      <c r="AM187" s="24">
        <f t="shared" si="79"/>
        <v>0.83333333333333337</v>
      </c>
      <c r="AN187" s="10">
        <v>40</v>
      </c>
      <c r="AO187" s="24">
        <f t="shared" si="80"/>
        <v>0.7407407407407407</v>
      </c>
      <c r="AP187" s="22">
        <v>51</v>
      </c>
      <c r="AQ187" s="24">
        <f t="shared" si="92"/>
        <v>0.94444444444444442</v>
      </c>
      <c r="AR187" s="22">
        <v>88</v>
      </c>
      <c r="AS187" s="24">
        <f t="shared" si="81"/>
        <v>1.6296296296296295</v>
      </c>
      <c r="AT187" s="26">
        <v>3.2291259594351267</v>
      </c>
      <c r="AU187" s="26">
        <v>0.1594630103424754</v>
      </c>
      <c r="AV187" s="26">
        <v>1.4300824729510715</v>
      </c>
      <c r="AW187" s="26">
        <v>1.799043486484055</v>
      </c>
      <c r="AX187" s="26">
        <v>111.80288375105</v>
      </c>
      <c r="AY187" s="26">
        <v>96.420915622042969</v>
      </c>
      <c r="AZ187" s="26">
        <v>18.203704933305744</v>
      </c>
      <c r="BA187" s="26">
        <v>11.555555555555555</v>
      </c>
      <c r="BB187" s="26">
        <v>30.814814814814817</v>
      </c>
      <c r="BC187" s="25">
        <v>0.55906243883343121</v>
      </c>
      <c r="BD187" s="25">
        <v>0.51810584958217265</v>
      </c>
      <c r="BE187" s="26">
        <v>26.448049706593029</v>
      </c>
      <c r="BF187" s="25">
        <v>3.3426183844011144E-2</v>
      </c>
      <c r="BG187" s="25">
        <v>0.31476323119777161</v>
      </c>
      <c r="BH187" s="26">
        <v>10.932364642795363</v>
      </c>
      <c r="BI187" s="26">
        <v>27.538488150838958</v>
      </c>
      <c r="BJ187" s="26">
        <v>18.386243386243386</v>
      </c>
      <c r="BK187" s="26">
        <v>12</v>
      </c>
      <c r="BL187" s="26">
        <v>3.0216157260059044</v>
      </c>
      <c r="BM187" s="26">
        <v>4.483676614824156</v>
      </c>
      <c r="BN187" s="26">
        <v>11.093709214304358</v>
      </c>
      <c r="BO187" s="27" t="s">
        <v>232</v>
      </c>
      <c r="BP187" s="28"/>
      <c r="BQ187" s="17" t="s">
        <v>253</v>
      </c>
      <c r="BR187" s="58">
        <v>875.69</v>
      </c>
      <c r="BS187" s="58">
        <v>1147.5899999999999</v>
      </c>
      <c r="BT187" s="58">
        <v>271.89999999999998</v>
      </c>
      <c r="BU187" s="35">
        <f t="shared" si="86"/>
        <v>16.21648148148148</v>
      </c>
      <c r="BV187" s="35">
        <f t="shared" si="87"/>
        <v>21.251666666666665</v>
      </c>
      <c r="BW187" s="35">
        <f t="shared" si="88"/>
        <v>5.0351851851851848</v>
      </c>
      <c r="BX187" s="36">
        <f t="shared" si="89"/>
        <v>43.24395061728395</v>
      </c>
      <c r="BY187" s="36">
        <f t="shared" si="90"/>
        <v>56.671111111111109</v>
      </c>
      <c r="BZ187" s="36">
        <f t="shared" si="91"/>
        <v>13.427160493827161</v>
      </c>
      <c r="CA187" s="50">
        <v>36</v>
      </c>
      <c r="CB187" s="50">
        <v>18</v>
      </c>
    </row>
    <row r="188" spans="1:80" x14ac:dyDescent="0.4">
      <c r="A188" s="21" t="s">
        <v>231</v>
      </c>
      <c r="B188" s="17" t="s">
        <v>197</v>
      </c>
      <c r="C188" s="17" t="s">
        <v>149</v>
      </c>
      <c r="D188" s="22">
        <v>7</v>
      </c>
      <c r="E188" s="22">
        <v>2</v>
      </c>
      <c r="F188" s="22">
        <v>44</v>
      </c>
      <c r="G188" s="23">
        <v>1148</v>
      </c>
      <c r="H188" s="23">
        <v>2</v>
      </c>
      <c r="I188" s="24">
        <f t="shared" si="65"/>
        <v>0.2857142857142857</v>
      </c>
      <c r="J188" s="22">
        <v>1</v>
      </c>
      <c r="K188" s="22">
        <v>6</v>
      </c>
      <c r="L188" s="24">
        <f t="shared" si="82"/>
        <v>0.14285714285714285</v>
      </c>
      <c r="M188" s="24">
        <f t="shared" si="83"/>
        <v>0.8571428571428571</v>
      </c>
      <c r="N188" s="25">
        <f t="shared" si="84"/>
        <v>0.16666666666666666</v>
      </c>
      <c r="O188" s="23">
        <v>1</v>
      </c>
      <c r="P188" s="22">
        <v>5</v>
      </c>
      <c r="Q188" s="24">
        <f t="shared" si="66"/>
        <v>0.14285714285714285</v>
      </c>
      <c r="R188" s="24">
        <f t="shared" si="67"/>
        <v>0.7142857142857143</v>
      </c>
      <c r="S188" s="25">
        <f t="shared" si="68"/>
        <v>0.2</v>
      </c>
      <c r="T188" s="22">
        <v>0</v>
      </c>
      <c r="U188" s="22">
        <v>1</v>
      </c>
      <c r="V188" s="24">
        <f t="shared" si="69"/>
        <v>0</v>
      </c>
      <c r="W188" s="24">
        <f t="shared" si="70"/>
        <v>0.14285714285714285</v>
      </c>
      <c r="X188" s="25">
        <f t="shared" si="71"/>
        <v>0</v>
      </c>
      <c r="Y188" s="22">
        <v>0</v>
      </c>
      <c r="Z188" s="22">
        <v>0</v>
      </c>
      <c r="AA188" s="24">
        <f t="shared" si="72"/>
        <v>0</v>
      </c>
      <c r="AB188" s="24">
        <f t="shared" si="73"/>
        <v>0</v>
      </c>
      <c r="AC188" s="25" t="e">
        <f t="shared" si="74"/>
        <v>#DIV/0!</v>
      </c>
      <c r="AD188" s="22">
        <v>3</v>
      </c>
      <c r="AE188" s="24">
        <f t="shared" si="75"/>
        <v>0.42857142857142855</v>
      </c>
      <c r="AF188" s="22">
        <v>1</v>
      </c>
      <c r="AG188" s="24">
        <f t="shared" si="76"/>
        <v>0.14285714285714285</v>
      </c>
      <c r="AH188" s="22">
        <v>2</v>
      </c>
      <c r="AI188" s="24">
        <f t="shared" si="77"/>
        <v>0.2857142857142857</v>
      </c>
      <c r="AJ188" s="22">
        <v>2</v>
      </c>
      <c r="AK188" s="24">
        <f t="shared" si="78"/>
        <v>0.2857142857142857</v>
      </c>
      <c r="AL188" s="22">
        <v>0</v>
      </c>
      <c r="AM188" s="24">
        <f t="shared" si="79"/>
        <v>0</v>
      </c>
      <c r="AN188" s="41">
        <v>1</v>
      </c>
      <c r="AO188" s="24">
        <f t="shared" si="80"/>
        <v>0.14285714285714285</v>
      </c>
      <c r="AP188" s="22">
        <v>0</v>
      </c>
      <c r="AQ188" s="24">
        <f t="shared" si="92"/>
        <v>0</v>
      </c>
      <c r="AR188" s="22">
        <v>4</v>
      </c>
      <c r="AS188" s="24">
        <f t="shared" si="81"/>
        <v>0.5714285714285714</v>
      </c>
      <c r="AT188" s="26">
        <v>-3.251465962886016E-2</v>
      </c>
      <c r="AU188" s="26">
        <v>-6.7974898178801729E-2</v>
      </c>
      <c r="AV188" s="26">
        <v>-5.0909216505756971E-2</v>
      </c>
      <c r="AW188" s="26">
        <v>1.8394556876896808E-2</v>
      </c>
      <c r="AX188" s="26">
        <v>66.168588411286677</v>
      </c>
      <c r="AY188" s="26">
        <v>107.99889196706573</v>
      </c>
      <c r="AZ188" s="26">
        <v>-0.31502509138070539</v>
      </c>
      <c r="BA188" s="26">
        <v>0.42857142857142855</v>
      </c>
      <c r="BB188" s="26">
        <v>6.2717770034843214</v>
      </c>
      <c r="BC188" s="25">
        <v>0.16666666666666666</v>
      </c>
      <c r="BD188" s="25">
        <v>0.16666666666666666</v>
      </c>
      <c r="BE188" s="26">
        <v>1.8943061367099692</v>
      </c>
      <c r="BF188" s="25">
        <v>0.16666666666666666</v>
      </c>
      <c r="BG188" s="25">
        <v>0</v>
      </c>
      <c r="BH188" s="26">
        <v>0.75942637994101791</v>
      </c>
      <c r="BI188" s="26">
        <v>1.5188527598820358</v>
      </c>
      <c r="BJ188" s="26">
        <v>1.0888501742160279</v>
      </c>
      <c r="BK188" s="26">
        <v>1.6769144773616547</v>
      </c>
      <c r="BL188" s="26">
        <v>0</v>
      </c>
      <c r="BM188" s="26">
        <v>0.61513855996063116</v>
      </c>
      <c r="BN188" s="26">
        <v>0</v>
      </c>
      <c r="BO188" s="27" t="s">
        <v>189</v>
      </c>
      <c r="BP188" s="28"/>
      <c r="BQ188" s="17" t="s">
        <v>254</v>
      </c>
      <c r="BR188" s="58">
        <v>9.3800000000000008</v>
      </c>
      <c r="BS188" s="58">
        <v>14.28</v>
      </c>
      <c r="BT188" s="58">
        <v>4.9000000000000004</v>
      </c>
      <c r="BU188" s="35">
        <f t="shared" si="86"/>
        <v>1.3399999999999999</v>
      </c>
      <c r="BV188" s="35">
        <f t="shared" si="87"/>
        <v>2.04</v>
      </c>
      <c r="BW188" s="35">
        <f t="shared" si="88"/>
        <v>0.70000000000000007</v>
      </c>
      <c r="BX188" s="36">
        <f t="shared" si="89"/>
        <v>19.609756097560975</v>
      </c>
      <c r="BY188" s="36">
        <f t="shared" si="90"/>
        <v>29.853658536585368</v>
      </c>
      <c r="BZ188" s="36">
        <f t="shared" si="91"/>
        <v>10.24390243902439</v>
      </c>
      <c r="CA188" s="48">
        <v>4</v>
      </c>
      <c r="CB188" s="48">
        <v>3</v>
      </c>
    </row>
    <row r="189" spans="1:80" x14ac:dyDescent="0.4">
      <c r="A189" s="21" t="s">
        <v>231</v>
      </c>
      <c r="B189" s="17" t="s">
        <v>197</v>
      </c>
      <c r="C189" s="17" t="s">
        <v>102</v>
      </c>
      <c r="D189" s="16">
        <v>33</v>
      </c>
      <c r="E189" s="16">
        <v>11</v>
      </c>
      <c r="F189" s="16">
        <v>52</v>
      </c>
      <c r="G189" s="23">
        <v>23496</v>
      </c>
      <c r="H189" s="23">
        <v>90</v>
      </c>
      <c r="I189" s="24">
        <f t="shared" si="65"/>
        <v>2.7272727272727271</v>
      </c>
      <c r="J189" s="22">
        <v>35</v>
      </c>
      <c r="K189" s="22">
        <v>104</v>
      </c>
      <c r="L189" s="24">
        <f t="shared" si="82"/>
        <v>1.0606060606060606</v>
      </c>
      <c r="M189" s="24">
        <f t="shared" si="83"/>
        <v>3.1515151515151514</v>
      </c>
      <c r="N189" s="25">
        <f t="shared" si="84"/>
        <v>0.33653846153846156</v>
      </c>
      <c r="O189" s="23">
        <v>22</v>
      </c>
      <c r="P189" s="22">
        <v>51</v>
      </c>
      <c r="Q189" s="24">
        <f t="shared" si="66"/>
        <v>0.66666666666666663</v>
      </c>
      <c r="R189" s="24">
        <f t="shared" si="67"/>
        <v>1.5454545454545454</v>
      </c>
      <c r="S189" s="25">
        <f t="shared" si="68"/>
        <v>0.43137254901960786</v>
      </c>
      <c r="T189" s="22">
        <v>13</v>
      </c>
      <c r="U189" s="22">
        <v>53</v>
      </c>
      <c r="V189" s="24">
        <f t="shared" si="69"/>
        <v>0.39393939393939392</v>
      </c>
      <c r="W189" s="24">
        <f t="shared" si="70"/>
        <v>1.606060606060606</v>
      </c>
      <c r="X189" s="25">
        <f t="shared" si="71"/>
        <v>0.24528301886792453</v>
      </c>
      <c r="Y189" s="15">
        <v>7</v>
      </c>
      <c r="Z189" s="15">
        <v>10</v>
      </c>
      <c r="AA189" s="24">
        <f t="shared" si="72"/>
        <v>0.21212121212121213</v>
      </c>
      <c r="AB189" s="24">
        <f t="shared" si="73"/>
        <v>0.30303030303030304</v>
      </c>
      <c r="AC189" s="25">
        <f t="shared" si="74"/>
        <v>0.7</v>
      </c>
      <c r="AD189" s="22">
        <v>39</v>
      </c>
      <c r="AE189" s="24">
        <f t="shared" si="75"/>
        <v>1.1818181818181819</v>
      </c>
      <c r="AF189" s="22">
        <v>17</v>
      </c>
      <c r="AG189" s="24">
        <f t="shared" si="76"/>
        <v>0.51515151515151514</v>
      </c>
      <c r="AH189" s="22">
        <v>22</v>
      </c>
      <c r="AI189" s="24">
        <f t="shared" si="77"/>
        <v>0.66666666666666663</v>
      </c>
      <c r="AJ189" s="22">
        <v>39</v>
      </c>
      <c r="AK189" s="24">
        <f t="shared" si="78"/>
        <v>1.1818181818181819</v>
      </c>
      <c r="AL189" s="13">
        <v>6</v>
      </c>
      <c r="AM189" s="24">
        <f t="shared" si="79"/>
        <v>0.18181818181818182</v>
      </c>
      <c r="AN189" s="12">
        <v>3</v>
      </c>
      <c r="AO189" s="24">
        <f t="shared" si="80"/>
        <v>9.0909090909090912E-2</v>
      </c>
      <c r="AP189" s="22">
        <v>16</v>
      </c>
      <c r="AQ189" s="24">
        <f t="shared" si="92"/>
        <v>0.48484848484848486</v>
      </c>
      <c r="AR189" s="22">
        <v>60</v>
      </c>
      <c r="AS189" s="24">
        <f t="shared" si="81"/>
        <v>1.8181818181818181</v>
      </c>
      <c r="AT189" s="26">
        <v>0.10171985129512343</v>
      </c>
      <c r="AU189" s="26">
        <v>1.0390178886120881E-2</v>
      </c>
      <c r="AV189" s="26">
        <v>-0.15672640487066639</v>
      </c>
      <c r="AW189" s="26">
        <v>0.25844625616578981</v>
      </c>
      <c r="AX189" s="26">
        <v>94.773332642512443</v>
      </c>
      <c r="AY189" s="26">
        <v>110.76929788932819</v>
      </c>
      <c r="AZ189" s="26">
        <v>1.4656264769093788</v>
      </c>
      <c r="BA189" s="26">
        <v>2.6969696969696968</v>
      </c>
      <c r="BB189" s="26">
        <v>9.0909090909090899</v>
      </c>
      <c r="BC189" s="25">
        <v>0.4151291512915129</v>
      </c>
      <c r="BD189" s="25">
        <v>0.39903846153846156</v>
      </c>
      <c r="BE189" s="26">
        <v>9.0465533892092935</v>
      </c>
      <c r="BF189" s="25">
        <v>0.50961538461538458</v>
      </c>
      <c r="BG189" s="25">
        <v>9.6153846153846159E-2</v>
      </c>
      <c r="BH189" s="26">
        <v>2.9737089147128621</v>
      </c>
      <c r="BI189" s="26">
        <v>3.8483291837460567</v>
      </c>
      <c r="BJ189" s="26">
        <v>3.2604333868378812</v>
      </c>
      <c r="BK189" s="26">
        <v>8.0060216231011356</v>
      </c>
      <c r="BL189" s="26">
        <v>0.8333363085000961</v>
      </c>
      <c r="BM189" s="26">
        <v>0.42506765660200913</v>
      </c>
      <c r="BN189" s="26">
        <v>12.861736334405144</v>
      </c>
      <c r="BO189" s="27" t="s">
        <v>189</v>
      </c>
      <c r="BP189" s="28"/>
      <c r="BQ189" s="17" t="s">
        <v>254</v>
      </c>
      <c r="BR189" s="58">
        <v>219.06</v>
      </c>
      <c r="BS189" s="58">
        <v>310.45999999999998</v>
      </c>
      <c r="BT189" s="58">
        <v>91.4</v>
      </c>
      <c r="BU189" s="35">
        <f t="shared" si="86"/>
        <v>6.6381818181818169</v>
      </c>
      <c r="BV189" s="35">
        <f t="shared" si="87"/>
        <v>9.4078787878787864</v>
      </c>
      <c r="BW189" s="35">
        <f t="shared" si="88"/>
        <v>2.76969696969697</v>
      </c>
      <c r="BX189" s="36">
        <f t="shared" si="89"/>
        <v>22.375893769152199</v>
      </c>
      <c r="BY189" s="36">
        <f t="shared" si="90"/>
        <v>31.711950970377938</v>
      </c>
      <c r="BZ189" s="36">
        <f t="shared" si="91"/>
        <v>9.3360572012257403</v>
      </c>
      <c r="CA189" s="48">
        <v>19</v>
      </c>
      <c r="CB189" s="48">
        <v>14</v>
      </c>
    </row>
    <row r="190" spans="1:80" x14ac:dyDescent="0.4">
      <c r="A190" s="21" t="s">
        <v>231</v>
      </c>
      <c r="B190" s="17" t="s">
        <v>197</v>
      </c>
      <c r="C190" s="17" t="s">
        <v>136</v>
      </c>
      <c r="D190" s="22">
        <v>54</v>
      </c>
      <c r="E190" s="22">
        <v>24</v>
      </c>
      <c r="F190" s="22">
        <v>49</v>
      </c>
      <c r="G190" s="23">
        <v>80406</v>
      </c>
      <c r="H190" s="23">
        <v>808</v>
      </c>
      <c r="I190" s="24">
        <f t="shared" si="65"/>
        <v>14.962962962962964</v>
      </c>
      <c r="J190" s="22">
        <v>328</v>
      </c>
      <c r="K190" s="22">
        <v>566</v>
      </c>
      <c r="L190" s="24">
        <f t="shared" si="82"/>
        <v>6.0740740740740744</v>
      </c>
      <c r="M190" s="24">
        <f t="shared" si="83"/>
        <v>10.481481481481481</v>
      </c>
      <c r="N190" s="25">
        <f t="shared" si="84"/>
        <v>0.5795053003533569</v>
      </c>
      <c r="O190" s="23">
        <v>328</v>
      </c>
      <c r="P190" s="22">
        <v>565</v>
      </c>
      <c r="Q190" s="24">
        <f t="shared" si="66"/>
        <v>6.0740740740740744</v>
      </c>
      <c r="R190" s="24">
        <f t="shared" si="67"/>
        <v>10.462962962962964</v>
      </c>
      <c r="S190" s="25">
        <f t="shared" si="68"/>
        <v>0.58053097345132743</v>
      </c>
      <c r="T190" s="22">
        <v>0</v>
      </c>
      <c r="U190" s="22">
        <v>1</v>
      </c>
      <c r="V190" s="24">
        <f t="shared" si="69"/>
        <v>0</v>
      </c>
      <c r="W190" s="24">
        <f t="shared" si="70"/>
        <v>1.8518518518518517E-2</v>
      </c>
      <c r="X190" s="25">
        <f t="shared" si="71"/>
        <v>0</v>
      </c>
      <c r="Y190" s="22">
        <v>152</v>
      </c>
      <c r="Z190" s="22">
        <v>290</v>
      </c>
      <c r="AA190" s="24">
        <f t="shared" si="72"/>
        <v>2.8148148148148149</v>
      </c>
      <c r="AB190" s="24">
        <f t="shared" si="73"/>
        <v>5.3703703703703702</v>
      </c>
      <c r="AC190" s="25">
        <f t="shared" si="74"/>
        <v>0.52413793103448281</v>
      </c>
      <c r="AD190" s="22">
        <v>674</v>
      </c>
      <c r="AE190" s="24">
        <f t="shared" si="75"/>
        <v>12.481481481481481</v>
      </c>
      <c r="AF190" s="22">
        <v>232</v>
      </c>
      <c r="AG190" s="24">
        <f t="shared" si="76"/>
        <v>4.2962962962962967</v>
      </c>
      <c r="AH190" s="22">
        <v>442</v>
      </c>
      <c r="AI190" s="24">
        <f t="shared" si="77"/>
        <v>8.1851851851851851</v>
      </c>
      <c r="AJ190" s="22">
        <v>110</v>
      </c>
      <c r="AK190" s="24">
        <f t="shared" si="78"/>
        <v>2.0370370370370372</v>
      </c>
      <c r="AL190" s="22">
        <v>98</v>
      </c>
      <c r="AM190" s="24">
        <f t="shared" si="79"/>
        <v>1.8148148148148149</v>
      </c>
      <c r="AN190" s="10">
        <v>21</v>
      </c>
      <c r="AO190" s="24">
        <f t="shared" si="80"/>
        <v>0.3888888888888889</v>
      </c>
      <c r="AP190" s="22">
        <v>106</v>
      </c>
      <c r="AQ190" s="24">
        <f t="shared" si="92"/>
        <v>1.962962962962963</v>
      </c>
      <c r="AR190" s="22">
        <v>130</v>
      </c>
      <c r="AS190" s="24">
        <f t="shared" si="81"/>
        <v>2.4074074074074074</v>
      </c>
      <c r="AT190" s="26">
        <v>6.7336134682851485</v>
      </c>
      <c r="AU190" s="26">
        <v>0.2009883879795582</v>
      </c>
      <c r="AV190" s="26">
        <v>3.2749541582185762</v>
      </c>
      <c r="AW190" s="26">
        <v>3.4586593100665723</v>
      </c>
      <c r="AX190" s="26">
        <v>114.79064401184742</v>
      </c>
      <c r="AY190" s="26">
        <v>93.113343950444175</v>
      </c>
      <c r="AZ190" s="26">
        <v>22.635985287081208</v>
      </c>
      <c r="BA190" s="26">
        <v>22.75925925925926</v>
      </c>
      <c r="BB190" s="26">
        <v>36.68382956495784</v>
      </c>
      <c r="BC190" s="25">
        <v>0.58246828143021911</v>
      </c>
      <c r="BD190" s="25">
        <v>0.5795053003533569</v>
      </c>
      <c r="BE190" s="26">
        <v>27.804868888938859</v>
      </c>
      <c r="BF190" s="25">
        <v>1.7667844522968198E-3</v>
      </c>
      <c r="BG190" s="25">
        <v>0.51236749116607772</v>
      </c>
      <c r="BH190" s="26">
        <v>19.405409606444493</v>
      </c>
      <c r="BI190" s="26">
        <v>36.970651060553735</v>
      </c>
      <c r="BJ190" s="26">
        <v>26.943618280085708</v>
      </c>
      <c r="BK190" s="26">
        <v>14.399162230561133</v>
      </c>
      <c r="BL190" s="26">
        <v>3.977412238395952</v>
      </c>
      <c r="BM190" s="26">
        <v>1.4227919412386929</v>
      </c>
      <c r="BN190" s="26">
        <v>13.256628314157078</v>
      </c>
      <c r="BO190" s="27" t="s">
        <v>232</v>
      </c>
      <c r="BP190" s="28"/>
      <c r="BQ190" s="17" t="s">
        <v>253</v>
      </c>
      <c r="BR190" s="58">
        <v>1715.7</v>
      </c>
      <c r="BS190" s="58">
        <v>2223</v>
      </c>
      <c r="BT190" s="58">
        <v>507.3</v>
      </c>
      <c r="BU190" s="35">
        <f t="shared" si="86"/>
        <v>31.772222222222219</v>
      </c>
      <c r="BV190" s="35">
        <f t="shared" si="87"/>
        <v>41.166666666666664</v>
      </c>
      <c r="BW190" s="35">
        <f t="shared" si="88"/>
        <v>9.3944444444444439</v>
      </c>
      <c r="BX190" s="36">
        <f t="shared" si="89"/>
        <v>51.211103648981428</v>
      </c>
      <c r="BY190" s="36">
        <f t="shared" si="90"/>
        <v>66.353257219610484</v>
      </c>
      <c r="BZ190" s="36">
        <f t="shared" si="91"/>
        <v>15.142153570629057</v>
      </c>
      <c r="CA190" s="48">
        <v>36</v>
      </c>
      <c r="CB190" s="48">
        <v>18</v>
      </c>
    </row>
    <row r="191" spans="1:80" x14ac:dyDescent="0.4">
      <c r="A191" s="21" t="s">
        <v>231</v>
      </c>
      <c r="B191" s="17" t="s">
        <v>197</v>
      </c>
      <c r="C191" s="17" t="s">
        <v>143</v>
      </c>
      <c r="D191" s="16">
        <v>18</v>
      </c>
      <c r="E191" s="16">
        <v>9</v>
      </c>
      <c r="F191" s="16">
        <v>0</v>
      </c>
      <c r="G191" s="23">
        <v>9720</v>
      </c>
      <c r="H191" s="23">
        <v>47</v>
      </c>
      <c r="I191" s="24">
        <f t="shared" si="65"/>
        <v>2.6111111111111112</v>
      </c>
      <c r="J191" s="22">
        <v>18</v>
      </c>
      <c r="K191" s="22">
        <v>50</v>
      </c>
      <c r="L191" s="24">
        <f t="shared" si="82"/>
        <v>1</v>
      </c>
      <c r="M191" s="24">
        <f t="shared" si="83"/>
        <v>2.7777777777777777</v>
      </c>
      <c r="N191" s="25">
        <f t="shared" si="84"/>
        <v>0.36</v>
      </c>
      <c r="O191" s="23">
        <v>15</v>
      </c>
      <c r="P191" s="22">
        <v>30</v>
      </c>
      <c r="Q191" s="24">
        <f t="shared" si="66"/>
        <v>0.83333333333333337</v>
      </c>
      <c r="R191" s="24">
        <f t="shared" si="67"/>
        <v>1.6666666666666667</v>
      </c>
      <c r="S191" s="25">
        <f t="shared" si="68"/>
        <v>0.5</v>
      </c>
      <c r="T191" s="22">
        <v>3</v>
      </c>
      <c r="U191" s="22">
        <v>20</v>
      </c>
      <c r="V191" s="24">
        <f t="shared" si="69"/>
        <v>0.16666666666666666</v>
      </c>
      <c r="W191" s="24">
        <f t="shared" si="70"/>
        <v>1.1111111111111112</v>
      </c>
      <c r="X191" s="25">
        <f t="shared" si="71"/>
        <v>0.15</v>
      </c>
      <c r="Y191" s="15">
        <v>8</v>
      </c>
      <c r="Z191" s="15">
        <v>10</v>
      </c>
      <c r="AA191" s="24">
        <f t="shared" si="72"/>
        <v>0.44444444444444442</v>
      </c>
      <c r="AB191" s="24">
        <f t="shared" si="73"/>
        <v>0.55555555555555558</v>
      </c>
      <c r="AC191" s="25">
        <f t="shared" si="74"/>
        <v>0.8</v>
      </c>
      <c r="AD191" s="22">
        <v>11</v>
      </c>
      <c r="AE191" s="24">
        <f t="shared" si="75"/>
        <v>0.61111111111111116</v>
      </c>
      <c r="AF191" s="22">
        <v>2</v>
      </c>
      <c r="AG191" s="24">
        <f t="shared" si="76"/>
        <v>0.1111111111111111</v>
      </c>
      <c r="AH191" s="22">
        <v>9</v>
      </c>
      <c r="AI191" s="24">
        <f t="shared" si="77"/>
        <v>0.5</v>
      </c>
      <c r="AJ191" s="22">
        <v>16</v>
      </c>
      <c r="AK191" s="24">
        <f t="shared" si="78"/>
        <v>0.88888888888888884</v>
      </c>
      <c r="AL191" s="13">
        <v>7</v>
      </c>
      <c r="AM191" s="24">
        <f t="shared" si="79"/>
        <v>0.3888888888888889</v>
      </c>
      <c r="AN191" s="12">
        <v>0</v>
      </c>
      <c r="AO191" s="24">
        <f t="shared" si="80"/>
        <v>0</v>
      </c>
      <c r="AP191" s="22">
        <v>10</v>
      </c>
      <c r="AQ191" s="24">
        <f t="shared" si="92"/>
        <v>0.55555555555555558</v>
      </c>
      <c r="AR191" s="22">
        <v>12</v>
      </c>
      <c r="AS191" s="24">
        <f t="shared" si="81"/>
        <v>0.66666666666666663</v>
      </c>
      <c r="AT191" s="26">
        <v>-2.4676841968249735E-2</v>
      </c>
      <c r="AU191" s="26">
        <v>-6.0930473995678362E-3</v>
      </c>
      <c r="AV191" s="26">
        <v>-0.17820508059152668</v>
      </c>
      <c r="AW191" s="26">
        <v>0.15352823862327694</v>
      </c>
      <c r="AX191" s="26">
        <v>88.680665413074905</v>
      </c>
      <c r="AY191" s="26">
        <v>108.12465616216001</v>
      </c>
      <c r="AZ191" s="26">
        <v>1.513973208841332</v>
      </c>
      <c r="BA191" s="26">
        <v>2.0555555555555554</v>
      </c>
      <c r="BB191" s="26">
        <v>9.1358024691358022</v>
      </c>
      <c r="BC191" s="25">
        <v>0.43198529411764708</v>
      </c>
      <c r="BD191" s="25">
        <v>0.39</v>
      </c>
      <c r="BE191" s="26">
        <v>6.1749702757642009</v>
      </c>
      <c r="BF191" s="25">
        <v>0.4</v>
      </c>
      <c r="BG191" s="25">
        <v>0.2</v>
      </c>
      <c r="BH191" s="26">
        <v>0.46128120855676641</v>
      </c>
      <c r="BI191" s="26">
        <v>2.0757654385054489</v>
      </c>
      <c r="BJ191" s="26">
        <v>1.2125220458553791</v>
      </c>
      <c r="BK191" s="26">
        <v>4.2328042328042326</v>
      </c>
      <c r="BL191" s="26">
        <v>2.350145564671259</v>
      </c>
      <c r="BM191" s="26">
        <v>0</v>
      </c>
      <c r="BN191" s="26">
        <v>15.527950310559005</v>
      </c>
      <c r="BO191" s="27" t="s">
        <v>189</v>
      </c>
      <c r="BP191" s="28"/>
      <c r="BQ191" s="17" t="s">
        <v>254</v>
      </c>
      <c r="BR191" s="58">
        <v>86.56</v>
      </c>
      <c r="BS191" s="58">
        <v>133.46</v>
      </c>
      <c r="BT191" s="58">
        <v>46.9</v>
      </c>
      <c r="BU191" s="35">
        <f t="shared" si="86"/>
        <v>4.8088888888888892</v>
      </c>
      <c r="BV191" s="35">
        <f t="shared" si="87"/>
        <v>7.4144444444444453</v>
      </c>
      <c r="BW191" s="35">
        <f t="shared" si="88"/>
        <v>2.6055555555555556</v>
      </c>
      <c r="BX191" s="36">
        <f t="shared" si="89"/>
        <v>21.372839506172838</v>
      </c>
      <c r="BY191" s="36">
        <f t="shared" si="90"/>
        <v>32.953086419753085</v>
      </c>
      <c r="BZ191" s="36">
        <f t="shared" si="91"/>
        <v>11.580246913580247</v>
      </c>
      <c r="CA191" s="50">
        <v>12</v>
      </c>
      <c r="CB191" s="50">
        <v>6</v>
      </c>
    </row>
    <row r="192" spans="1:80" x14ac:dyDescent="0.4">
      <c r="A192" s="21" t="s">
        <v>231</v>
      </c>
      <c r="B192" s="17" t="s">
        <v>197</v>
      </c>
      <c r="C192" s="17" t="s">
        <v>145</v>
      </c>
      <c r="D192" s="22">
        <v>54</v>
      </c>
      <c r="E192" s="22">
        <v>25</v>
      </c>
      <c r="F192" s="22">
        <v>9</v>
      </c>
      <c r="G192" s="23">
        <v>81486</v>
      </c>
      <c r="H192" s="23">
        <v>346</v>
      </c>
      <c r="I192" s="24">
        <f t="shared" si="65"/>
        <v>6.4074074074074074</v>
      </c>
      <c r="J192" s="22">
        <v>119</v>
      </c>
      <c r="K192" s="22">
        <v>318</v>
      </c>
      <c r="L192" s="24">
        <f t="shared" si="82"/>
        <v>2.2037037037037037</v>
      </c>
      <c r="M192" s="24">
        <f t="shared" si="83"/>
        <v>5.8888888888888893</v>
      </c>
      <c r="N192" s="25">
        <f t="shared" si="84"/>
        <v>0.37421383647798739</v>
      </c>
      <c r="O192" s="23">
        <v>50</v>
      </c>
      <c r="P192" s="22">
        <v>120</v>
      </c>
      <c r="Q192" s="24">
        <f t="shared" si="66"/>
        <v>0.92592592592592593</v>
      </c>
      <c r="R192" s="24">
        <f t="shared" si="67"/>
        <v>2.2222222222222223</v>
      </c>
      <c r="S192" s="25">
        <f t="shared" si="68"/>
        <v>0.41666666666666669</v>
      </c>
      <c r="T192" s="22">
        <v>69</v>
      </c>
      <c r="U192" s="22">
        <v>198</v>
      </c>
      <c r="V192" s="24">
        <f t="shared" si="69"/>
        <v>1.2777777777777777</v>
      </c>
      <c r="W192" s="24">
        <f t="shared" si="70"/>
        <v>3.6666666666666665</v>
      </c>
      <c r="X192" s="25">
        <f t="shared" si="71"/>
        <v>0.34848484848484851</v>
      </c>
      <c r="Y192" s="22">
        <v>39</v>
      </c>
      <c r="Z192" s="22">
        <v>47</v>
      </c>
      <c r="AA192" s="24">
        <f t="shared" si="72"/>
        <v>0.72222222222222221</v>
      </c>
      <c r="AB192" s="24">
        <f t="shared" si="73"/>
        <v>0.87037037037037035</v>
      </c>
      <c r="AC192" s="25">
        <f t="shared" si="74"/>
        <v>0.82978723404255317</v>
      </c>
      <c r="AD192" s="22">
        <v>74</v>
      </c>
      <c r="AE192" s="24">
        <f t="shared" si="75"/>
        <v>1.3703703703703705</v>
      </c>
      <c r="AF192" s="22">
        <v>24</v>
      </c>
      <c r="AG192" s="24">
        <f t="shared" si="76"/>
        <v>0.44444444444444442</v>
      </c>
      <c r="AH192" s="22">
        <v>50</v>
      </c>
      <c r="AI192" s="24">
        <f t="shared" si="77"/>
        <v>0.92592592592592593</v>
      </c>
      <c r="AJ192" s="22">
        <v>56</v>
      </c>
      <c r="AK192" s="24">
        <f t="shared" si="78"/>
        <v>1.037037037037037</v>
      </c>
      <c r="AL192" s="22">
        <v>23</v>
      </c>
      <c r="AM192" s="24">
        <f t="shared" si="79"/>
        <v>0.42592592592592593</v>
      </c>
      <c r="AN192" s="10">
        <v>0</v>
      </c>
      <c r="AO192" s="24">
        <f t="shared" si="80"/>
        <v>0</v>
      </c>
      <c r="AP192" s="22">
        <v>25</v>
      </c>
      <c r="AQ192" s="24">
        <f t="shared" si="92"/>
        <v>0.46296296296296297</v>
      </c>
      <c r="AR192" s="22">
        <v>129</v>
      </c>
      <c r="AS192" s="24">
        <f t="shared" si="81"/>
        <v>2.3888888888888888</v>
      </c>
      <c r="AT192" s="26">
        <v>1.5039599662208609</v>
      </c>
      <c r="AU192" s="26">
        <v>4.4296000772280714E-2</v>
      </c>
      <c r="AV192" s="26">
        <v>0.77991742695192778</v>
      </c>
      <c r="AW192" s="26">
        <v>0.72404253926893314</v>
      </c>
      <c r="AX192" s="26">
        <v>108.42045436525383</v>
      </c>
      <c r="AY192" s="26">
        <v>111.93519084922418</v>
      </c>
      <c r="AZ192" s="26">
        <v>3.9318844921764682</v>
      </c>
      <c r="BA192" s="26">
        <v>4.9444444444444446</v>
      </c>
      <c r="BB192" s="26">
        <v>7.8639275458360949</v>
      </c>
      <c r="BC192" s="25">
        <v>0.51080666115507267</v>
      </c>
      <c r="BD192" s="25">
        <v>0.48270440251572327</v>
      </c>
      <c r="BE192" s="26">
        <v>12.478803396397591</v>
      </c>
      <c r="BF192" s="25">
        <v>0.62264150943396224</v>
      </c>
      <c r="BG192" s="25">
        <v>0.14779874213836477</v>
      </c>
      <c r="BH192" s="26">
        <v>1.9808497226294544</v>
      </c>
      <c r="BI192" s="26">
        <v>4.1267702554780294</v>
      </c>
      <c r="BJ192" s="26">
        <v>2.9189939726719052</v>
      </c>
      <c r="BK192" s="26">
        <v>5.6703118671526926</v>
      </c>
      <c r="BL192" s="26">
        <v>0.92110220938549769</v>
      </c>
      <c r="BM192" s="26">
        <v>0</v>
      </c>
      <c r="BN192" s="26">
        <v>6.874175098988121</v>
      </c>
      <c r="BO192" s="27" t="s">
        <v>189</v>
      </c>
      <c r="BP192" s="28"/>
      <c r="BQ192" s="17" t="s">
        <v>255</v>
      </c>
      <c r="BR192" s="57">
        <v>665.05</v>
      </c>
      <c r="BS192" s="57">
        <v>895.05</v>
      </c>
      <c r="BT192" s="57">
        <v>230</v>
      </c>
      <c r="BU192" s="35">
        <f t="shared" si="86"/>
        <v>12.31574074074074</v>
      </c>
      <c r="BV192" s="35">
        <f t="shared" si="87"/>
        <v>16.574999999999999</v>
      </c>
      <c r="BW192" s="35">
        <f t="shared" si="88"/>
        <v>4.2592592592592595</v>
      </c>
      <c r="BX192" s="36">
        <f t="shared" si="89"/>
        <v>19.587659229806349</v>
      </c>
      <c r="BY192" s="36">
        <f t="shared" si="90"/>
        <v>26.36182902584493</v>
      </c>
      <c r="BZ192" s="36">
        <f t="shared" si="91"/>
        <v>6.7741697960385832</v>
      </c>
      <c r="CA192" s="48">
        <v>36</v>
      </c>
      <c r="CB192" s="48">
        <v>18</v>
      </c>
    </row>
    <row r="193" spans="1:80" x14ac:dyDescent="0.4">
      <c r="A193" s="21" t="s">
        <v>231</v>
      </c>
      <c r="B193" s="17" t="s">
        <v>197</v>
      </c>
      <c r="C193" s="17" t="s">
        <v>141</v>
      </c>
      <c r="D193" s="22">
        <v>54</v>
      </c>
      <c r="E193" s="22">
        <v>24</v>
      </c>
      <c r="F193" s="22">
        <v>41</v>
      </c>
      <c r="G193" s="23">
        <v>79974</v>
      </c>
      <c r="H193" s="23">
        <v>612</v>
      </c>
      <c r="I193" s="24">
        <f t="shared" si="65"/>
        <v>11.333333333333334</v>
      </c>
      <c r="J193" s="22">
        <v>223</v>
      </c>
      <c r="K193" s="22">
        <v>573</v>
      </c>
      <c r="L193" s="24">
        <f t="shared" si="82"/>
        <v>4.1296296296296298</v>
      </c>
      <c r="M193" s="24">
        <f t="shared" si="83"/>
        <v>10.611111111111111</v>
      </c>
      <c r="N193" s="25">
        <f t="shared" si="84"/>
        <v>0.38917975567190227</v>
      </c>
      <c r="O193" s="23">
        <v>121</v>
      </c>
      <c r="P193" s="22">
        <v>273</v>
      </c>
      <c r="Q193" s="24">
        <f t="shared" si="66"/>
        <v>2.2407407407407409</v>
      </c>
      <c r="R193" s="24">
        <f t="shared" si="67"/>
        <v>5.0555555555555554</v>
      </c>
      <c r="S193" s="25">
        <f t="shared" si="68"/>
        <v>0.4432234432234432</v>
      </c>
      <c r="T193" s="22">
        <v>102</v>
      </c>
      <c r="U193" s="22">
        <v>300</v>
      </c>
      <c r="V193" s="24">
        <f t="shared" si="69"/>
        <v>1.8888888888888888</v>
      </c>
      <c r="W193" s="24">
        <f t="shared" si="70"/>
        <v>5.5555555555555554</v>
      </c>
      <c r="X193" s="25">
        <f t="shared" si="71"/>
        <v>0.34</v>
      </c>
      <c r="Y193" s="22">
        <v>64</v>
      </c>
      <c r="Z193" s="22">
        <v>89</v>
      </c>
      <c r="AA193" s="24">
        <f t="shared" si="72"/>
        <v>1.1851851851851851</v>
      </c>
      <c r="AB193" s="24">
        <f t="shared" si="73"/>
        <v>1.6481481481481481</v>
      </c>
      <c r="AC193" s="25">
        <f t="shared" si="74"/>
        <v>0.7191011235955056</v>
      </c>
      <c r="AD193" s="22">
        <v>146</v>
      </c>
      <c r="AE193" s="24">
        <f t="shared" si="75"/>
        <v>2.7037037037037037</v>
      </c>
      <c r="AF193" s="22">
        <v>16</v>
      </c>
      <c r="AG193" s="24">
        <f t="shared" si="76"/>
        <v>0.29629629629629628</v>
      </c>
      <c r="AH193" s="22">
        <v>130</v>
      </c>
      <c r="AI193" s="24">
        <f t="shared" si="77"/>
        <v>2.4074074074074074</v>
      </c>
      <c r="AJ193" s="22">
        <v>104</v>
      </c>
      <c r="AK193" s="24">
        <f t="shared" si="78"/>
        <v>1.9259259259259258</v>
      </c>
      <c r="AL193" s="22">
        <v>57</v>
      </c>
      <c r="AM193" s="24">
        <f t="shared" si="79"/>
        <v>1.0555555555555556</v>
      </c>
      <c r="AN193" s="10">
        <v>13</v>
      </c>
      <c r="AO193" s="24">
        <f t="shared" si="80"/>
        <v>0.24074074074074073</v>
      </c>
      <c r="AP193" s="22">
        <v>62</v>
      </c>
      <c r="AQ193" s="24">
        <f t="shared" si="92"/>
        <v>1.1481481481481481</v>
      </c>
      <c r="AR193" s="22">
        <v>83</v>
      </c>
      <c r="AS193" s="24">
        <f t="shared" si="81"/>
        <v>1.537037037037037</v>
      </c>
      <c r="AT193" s="26">
        <v>1.9222064575124942</v>
      </c>
      <c r="AU193" s="26">
        <v>5.7684941331307492E-2</v>
      </c>
      <c r="AV193" s="26">
        <v>0.35790628218190979</v>
      </c>
      <c r="AW193" s="26">
        <v>1.5643001753305843</v>
      </c>
      <c r="AX193" s="26">
        <v>101.73553660228185</v>
      </c>
      <c r="AY193" s="26">
        <v>106.04830650935952</v>
      </c>
      <c r="AZ193" s="26">
        <v>9.8407913577359771</v>
      </c>
      <c r="BA193" s="26">
        <v>9.1666666666666661</v>
      </c>
      <c r="BB193" s="26">
        <v>14.854827819041187</v>
      </c>
      <c r="BC193" s="25">
        <v>0.49986931521170941</v>
      </c>
      <c r="BD193" s="25">
        <v>0.4781849912739965</v>
      </c>
      <c r="BE193" s="26">
        <v>23.569517186630701</v>
      </c>
      <c r="BF193" s="25">
        <v>0.52356020942408377</v>
      </c>
      <c r="BG193" s="25">
        <v>0.15532286212914484</v>
      </c>
      <c r="BH193" s="26">
        <v>1.3455333024748353</v>
      </c>
      <c r="BI193" s="26">
        <v>10.932458082608036</v>
      </c>
      <c r="BJ193" s="26">
        <v>5.8679785215909455</v>
      </c>
      <c r="BK193" s="26">
        <v>12.050054070755447</v>
      </c>
      <c r="BL193" s="26">
        <v>2.3258892151564692</v>
      </c>
      <c r="BM193" s="26">
        <v>0.88553370009187404</v>
      </c>
      <c r="BN193" s="26">
        <v>9.196629880147146</v>
      </c>
      <c r="BO193" s="27" t="s">
        <v>189</v>
      </c>
      <c r="BP193" s="27"/>
      <c r="BQ193" s="17" t="s">
        <v>255</v>
      </c>
      <c r="BR193" s="57">
        <v>889.57</v>
      </c>
      <c r="BS193" s="57">
        <v>1332.78</v>
      </c>
      <c r="BT193" s="57">
        <v>443.2</v>
      </c>
      <c r="BU193" s="35">
        <f t="shared" si="86"/>
        <v>16.473703703703706</v>
      </c>
      <c r="BV193" s="35">
        <f t="shared" si="87"/>
        <v>24.681111111111111</v>
      </c>
      <c r="BW193" s="35">
        <f t="shared" si="88"/>
        <v>8.2074074074074073</v>
      </c>
      <c r="BX193" s="36">
        <f t="shared" si="89"/>
        <v>26.696076224773051</v>
      </c>
      <c r="BY193" s="36">
        <f t="shared" si="90"/>
        <v>39.996398829619629</v>
      </c>
      <c r="BZ193" s="36">
        <f t="shared" si="91"/>
        <v>13.300322604846576</v>
      </c>
      <c r="CA193" s="48">
        <v>36</v>
      </c>
      <c r="CB193" s="48">
        <v>18</v>
      </c>
    </row>
    <row r="194" spans="1:80" x14ac:dyDescent="0.4">
      <c r="A194" s="21" t="s">
        <v>231</v>
      </c>
      <c r="B194" s="17" t="s">
        <v>197</v>
      </c>
      <c r="C194" s="17" t="s">
        <v>220</v>
      </c>
      <c r="D194" s="22">
        <v>2</v>
      </c>
      <c r="E194" s="22">
        <v>8</v>
      </c>
      <c r="F194" s="22">
        <v>3</v>
      </c>
      <c r="G194" s="23">
        <v>966</v>
      </c>
      <c r="H194" s="23">
        <v>2</v>
      </c>
      <c r="I194" s="24">
        <f t="shared" ref="I194:I203" si="93">H194/$D194</f>
        <v>1</v>
      </c>
      <c r="J194" s="22">
        <v>1</v>
      </c>
      <c r="K194" s="22">
        <v>4</v>
      </c>
      <c r="L194" s="24">
        <f t="shared" si="82"/>
        <v>0.5</v>
      </c>
      <c r="M194" s="24">
        <f t="shared" si="83"/>
        <v>2</v>
      </c>
      <c r="N194" s="25">
        <f t="shared" si="84"/>
        <v>0.25</v>
      </c>
      <c r="O194" s="23">
        <v>1</v>
      </c>
      <c r="P194" s="22">
        <v>1</v>
      </c>
      <c r="Q194" s="24">
        <f t="shared" ref="Q194:Q203" si="94">O194/$D194</f>
        <v>0.5</v>
      </c>
      <c r="R194" s="24">
        <f t="shared" ref="R194:R203" si="95">P194/$D194</f>
        <v>0.5</v>
      </c>
      <c r="S194" s="25">
        <f t="shared" ref="S194:S203" si="96">O194/P194</f>
        <v>1</v>
      </c>
      <c r="T194" s="22">
        <v>0</v>
      </c>
      <c r="U194" s="22">
        <v>3</v>
      </c>
      <c r="V194" s="24">
        <f t="shared" ref="V194:V203" si="97">T194/$D194</f>
        <v>0</v>
      </c>
      <c r="W194" s="24">
        <f t="shared" ref="W194:W203" si="98">U194/$D194</f>
        <v>1.5</v>
      </c>
      <c r="X194" s="25">
        <f t="shared" ref="X194:X203" si="99">T194/U194</f>
        <v>0</v>
      </c>
      <c r="Y194" s="22">
        <v>0</v>
      </c>
      <c r="Z194" s="22">
        <v>0</v>
      </c>
      <c r="AA194" s="24">
        <f t="shared" ref="AA194:AA203" si="100">Y194/$D194</f>
        <v>0</v>
      </c>
      <c r="AB194" s="24">
        <f t="shared" ref="AB194:AB203" si="101">Z194/$D194</f>
        <v>0</v>
      </c>
      <c r="AC194" s="25" t="e">
        <f t="shared" ref="AC194:AC203" si="102">Y194/Z194</f>
        <v>#DIV/0!</v>
      </c>
      <c r="AD194" s="22">
        <v>5</v>
      </c>
      <c r="AE194" s="24">
        <f t="shared" ref="AE194:AE203" si="103">AD194/$D194</f>
        <v>2.5</v>
      </c>
      <c r="AF194" s="22">
        <v>1</v>
      </c>
      <c r="AG194" s="24">
        <f t="shared" ref="AG194:AG203" si="104">AF194/$D194</f>
        <v>0.5</v>
      </c>
      <c r="AH194" s="22">
        <v>4</v>
      </c>
      <c r="AI194" s="24">
        <f t="shared" ref="AI194:AI203" si="105">AH194/$D194</f>
        <v>2</v>
      </c>
      <c r="AJ194" s="22">
        <v>0</v>
      </c>
      <c r="AK194" s="24">
        <f t="shared" ref="AK194:AK203" si="106">AJ194/$D194</f>
        <v>0</v>
      </c>
      <c r="AL194" s="22">
        <v>0</v>
      </c>
      <c r="AM194" s="24">
        <f t="shared" ref="AM194:AM203" si="107">AL194/$D194</f>
        <v>0</v>
      </c>
      <c r="AN194" s="10">
        <v>0</v>
      </c>
      <c r="AO194" s="24">
        <f t="shared" ref="AO194:AO203" si="108">AN194/$D194</f>
        <v>0</v>
      </c>
      <c r="AP194" s="22">
        <v>0</v>
      </c>
      <c r="AQ194" s="24">
        <f t="shared" si="92"/>
        <v>0</v>
      </c>
      <c r="AR194" s="22">
        <v>1</v>
      </c>
      <c r="AS194" s="24">
        <f t="shared" ref="AS194:AS203" si="109">AR194/$D194</f>
        <v>0.5</v>
      </c>
      <c r="AT194" s="26">
        <v>-8.773093709954629E-3</v>
      </c>
      <c r="AU194" s="26">
        <v>-2.1796506111688516E-2</v>
      </c>
      <c r="AV194" s="26">
        <v>-2.7704506682596466E-2</v>
      </c>
      <c r="AW194" s="26">
        <v>1.8931412972641837E-2</v>
      </c>
      <c r="AX194" s="26">
        <v>70.702425008199853</v>
      </c>
      <c r="AY194" s="26">
        <v>106.02755595069837</v>
      </c>
      <c r="AZ194" s="26">
        <v>7.5938963788012875E-2</v>
      </c>
      <c r="BA194" s="26">
        <v>2</v>
      </c>
      <c r="BB194" s="26">
        <v>9.9378881987577632</v>
      </c>
      <c r="BC194" s="25">
        <v>0.25</v>
      </c>
      <c r="BD194" s="25">
        <v>0.25</v>
      </c>
      <c r="BE194" s="26">
        <v>0.42880083701923388</v>
      </c>
      <c r="BF194" s="25">
        <v>0.75</v>
      </c>
      <c r="BG194" s="25">
        <v>0</v>
      </c>
      <c r="BH194" s="26">
        <v>0.25785906068390668</v>
      </c>
      <c r="BI194" s="26">
        <v>1.0314362427356267</v>
      </c>
      <c r="BJ194" s="26">
        <v>0.61618850438726214</v>
      </c>
      <c r="BK194" s="26">
        <v>0</v>
      </c>
      <c r="BL194" s="26">
        <v>0</v>
      </c>
      <c r="BM194" s="26">
        <v>0</v>
      </c>
      <c r="BN194" s="26">
        <v>0</v>
      </c>
      <c r="BO194" s="27" t="s">
        <v>189</v>
      </c>
      <c r="BP194" s="28"/>
      <c r="BQ194" s="17" t="s">
        <v>255</v>
      </c>
      <c r="BR194" s="57">
        <v>8.82</v>
      </c>
      <c r="BS194" s="57">
        <v>11.52</v>
      </c>
      <c r="BT194" s="57">
        <v>2.7</v>
      </c>
      <c r="BU194" s="35">
        <f t="shared" si="86"/>
        <v>4.41</v>
      </c>
      <c r="BV194" s="35">
        <f t="shared" si="87"/>
        <v>5.76</v>
      </c>
      <c r="BW194" s="35">
        <f t="shared" si="88"/>
        <v>1.35</v>
      </c>
      <c r="BX194" s="36">
        <f t="shared" si="89"/>
        <v>21.913043478260871</v>
      </c>
      <c r="BY194" s="36">
        <f t="shared" si="90"/>
        <v>28.621118012422361</v>
      </c>
      <c r="BZ194" s="36">
        <f t="shared" si="91"/>
        <v>6.7080745341614909</v>
      </c>
      <c r="CA194" s="48">
        <v>1</v>
      </c>
      <c r="CB194" s="48">
        <v>1</v>
      </c>
    </row>
    <row r="195" spans="1:80" x14ac:dyDescent="0.4">
      <c r="A195" s="21" t="s">
        <v>231</v>
      </c>
      <c r="B195" s="17" t="s">
        <v>197</v>
      </c>
      <c r="C195" s="17" t="s">
        <v>146</v>
      </c>
      <c r="D195" s="22">
        <v>25</v>
      </c>
      <c r="E195" s="22">
        <v>15</v>
      </c>
      <c r="F195" s="22">
        <v>22</v>
      </c>
      <c r="G195" s="23">
        <v>23050</v>
      </c>
      <c r="H195" s="23">
        <v>111</v>
      </c>
      <c r="I195" s="24">
        <f t="shared" si="93"/>
        <v>4.4400000000000004</v>
      </c>
      <c r="J195" s="22">
        <v>46</v>
      </c>
      <c r="K195" s="22">
        <v>105</v>
      </c>
      <c r="L195" s="24">
        <f t="shared" ref="L195:L203" si="110">J195/$D195</f>
        <v>1.84</v>
      </c>
      <c r="M195" s="24">
        <f t="shared" ref="M195:M203" si="111">K195/$D195</f>
        <v>4.2</v>
      </c>
      <c r="N195" s="25">
        <f t="shared" ref="N195:N203" si="112">J195/K195</f>
        <v>0.43809523809523809</v>
      </c>
      <c r="O195" s="23">
        <v>39</v>
      </c>
      <c r="P195" s="22">
        <v>79</v>
      </c>
      <c r="Q195" s="24">
        <f t="shared" si="94"/>
        <v>1.56</v>
      </c>
      <c r="R195" s="24">
        <f t="shared" si="95"/>
        <v>3.16</v>
      </c>
      <c r="S195" s="25">
        <f t="shared" si="96"/>
        <v>0.49367088607594939</v>
      </c>
      <c r="T195" s="22">
        <v>7</v>
      </c>
      <c r="U195" s="22">
        <v>26</v>
      </c>
      <c r="V195" s="24">
        <f t="shared" si="97"/>
        <v>0.28000000000000003</v>
      </c>
      <c r="W195" s="24">
        <f t="shared" si="98"/>
        <v>1.04</v>
      </c>
      <c r="X195" s="25">
        <f t="shared" si="99"/>
        <v>0.26923076923076922</v>
      </c>
      <c r="Y195" s="22">
        <v>12</v>
      </c>
      <c r="Z195" s="22">
        <v>27</v>
      </c>
      <c r="AA195" s="24">
        <f t="shared" si="100"/>
        <v>0.48</v>
      </c>
      <c r="AB195" s="24">
        <f t="shared" si="101"/>
        <v>1.08</v>
      </c>
      <c r="AC195" s="25">
        <f t="shared" si="102"/>
        <v>0.44444444444444442</v>
      </c>
      <c r="AD195" s="22">
        <v>84</v>
      </c>
      <c r="AE195" s="24">
        <f t="shared" si="103"/>
        <v>3.36</v>
      </c>
      <c r="AF195" s="22">
        <v>30</v>
      </c>
      <c r="AG195" s="24">
        <f t="shared" si="104"/>
        <v>1.2</v>
      </c>
      <c r="AH195" s="22">
        <v>54</v>
      </c>
      <c r="AI195" s="24">
        <f t="shared" si="105"/>
        <v>2.16</v>
      </c>
      <c r="AJ195" s="22">
        <v>32</v>
      </c>
      <c r="AK195" s="24">
        <f t="shared" si="106"/>
        <v>1.28</v>
      </c>
      <c r="AL195" s="22">
        <v>13</v>
      </c>
      <c r="AM195" s="24">
        <f t="shared" si="107"/>
        <v>0.52</v>
      </c>
      <c r="AN195" s="10">
        <v>3</v>
      </c>
      <c r="AO195" s="24">
        <f t="shared" si="108"/>
        <v>0.12</v>
      </c>
      <c r="AP195" s="22">
        <v>26</v>
      </c>
      <c r="AQ195" s="24">
        <f t="shared" si="92"/>
        <v>1.04</v>
      </c>
      <c r="AR195" s="22">
        <v>48</v>
      </c>
      <c r="AS195" s="24">
        <f t="shared" si="109"/>
        <v>1.92</v>
      </c>
      <c r="AT195" s="26">
        <v>0.31217277103572844</v>
      </c>
      <c r="AU195" s="26">
        <v>3.2503889392006428E-2</v>
      </c>
      <c r="AV195" s="26">
        <v>-0.16535402665953047</v>
      </c>
      <c r="AW195" s="26">
        <v>0.47752679769525891</v>
      </c>
      <c r="AX195" s="26">
        <v>95.262753512522693</v>
      </c>
      <c r="AY195" s="26">
        <v>105.41030109067327</v>
      </c>
      <c r="AZ195" s="26">
        <v>3.0367188168509771</v>
      </c>
      <c r="BA195" s="26">
        <v>5.72</v>
      </c>
      <c r="BB195" s="26">
        <v>14.889370932754879</v>
      </c>
      <c r="BC195" s="25">
        <v>0.47484599589322385</v>
      </c>
      <c r="BD195" s="25">
        <v>0.47142857142857142</v>
      </c>
      <c r="BE195" s="26">
        <v>8.0238589250455075</v>
      </c>
      <c r="BF195" s="25">
        <v>0.24761904761904763</v>
      </c>
      <c r="BG195" s="25">
        <v>0.25714285714285712</v>
      </c>
      <c r="BH195" s="26">
        <v>4.052470487320833</v>
      </c>
      <c r="BI195" s="26">
        <v>7.2944468771774993</v>
      </c>
      <c r="BJ195" s="26">
        <v>5.4229934924078087</v>
      </c>
      <c r="BK195" s="26">
        <v>5.0782903089293274</v>
      </c>
      <c r="BL195" s="26">
        <v>1.8404982556669371</v>
      </c>
      <c r="BM195" s="26">
        <v>0.32825181290740835</v>
      </c>
      <c r="BN195" s="26">
        <v>18.197088465845464</v>
      </c>
      <c r="BO195" s="27" t="s">
        <v>189</v>
      </c>
      <c r="BP195" s="28"/>
      <c r="BQ195" s="17" t="s">
        <v>253</v>
      </c>
      <c r="BR195" s="58">
        <v>263.47000000000003</v>
      </c>
      <c r="BS195" s="58">
        <v>371.57</v>
      </c>
      <c r="BT195" s="58">
        <v>108.1</v>
      </c>
      <c r="BU195" s="35">
        <f t="shared" si="86"/>
        <v>10.5388</v>
      </c>
      <c r="BV195" s="35">
        <f t="shared" si="87"/>
        <v>14.8628</v>
      </c>
      <c r="BW195" s="35">
        <f t="shared" si="88"/>
        <v>4.3239999999999998</v>
      </c>
      <c r="BX195" s="36">
        <f t="shared" si="89"/>
        <v>27.432885032537964</v>
      </c>
      <c r="BY195" s="36">
        <f t="shared" si="90"/>
        <v>38.68841648590022</v>
      </c>
      <c r="BZ195" s="36">
        <f t="shared" si="91"/>
        <v>11.255531453362256</v>
      </c>
      <c r="CA195" s="48">
        <v>16</v>
      </c>
      <c r="CB195" s="48">
        <v>9</v>
      </c>
    </row>
    <row r="196" spans="1:80" x14ac:dyDescent="0.4">
      <c r="A196" s="21" t="s">
        <v>231</v>
      </c>
      <c r="B196" s="17" t="s">
        <v>197</v>
      </c>
      <c r="C196" s="17" t="s">
        <v>221</v>
      </c>
      <c r="D196" s="22">
        <v>1</v>
      </c>
      <c r="E196" s="22">
        <v>12</v>
      </c>
      <c r="F196" s="22">
        <v>17</v>
      </c>
      <c r="G196" s="23">
        <v>737</v>
      </c>
      <c r="H196" s="23">
        <v>0</v>
      </c>
      <c r="I196" s="24">
        <f t="shared" si="93"/>
        <v>0</v>
      </c>
      <c r="J196" s="22">
        <v>0</v>
      </c>
      <c r="K196" s="22">
        <v>4</v>
      </c>
      <c r="L196" s="24">
        <f t="shared" si="110"/>
        <v>0</v>
      </c>
      <c r="M196" s="24">
        <f t="shared" si="111"/>
        <v>4</v>
      </c>
      <c r="N196" s="25">
        <f t="shared" si="112"/>
        <v>0</v>
      </c>
      <c r="O196" s="23">
        <v>0</v>
      </c>
      <c r="P196" s="22">
        <v>1</v>
      </c>
      <c r="Q196" s="24">
        <f t="shared" si="94"/>
        <v>0</v>
      </c>
      <c r="R196" s="24">
        <f t="shared" si="95"/>
        <v>1</v>
      </c>
      <c r="S196" s="25">
        <f t="shared" si="96"/>
        <v>0</v>
      </c>
      <c r="T196" s="22">
        <v>0</v>
      </c>
      <c r="U196" s="22">
        <v>3</v>
      </c>
      <c r="V196" s="24">
        <f t="shared" si="97"/>
        <v>0</v>
      </c>
      <c r="W196" s="24">
        <f t="shared" si="98"/>
        <v>3</v>
      </c>
      <c r="X196" s="25">
        <f t="shared" si="99"/>
        <v>0</v>
      </c>
      <c r="Y196" s="22">
        <v>0</v>
      </c>
      <c r="Z196" s="22">
        <v>0</v>
      </c>
      <c r="AA196" s="24">
        <f t="shared" si="100"/>
        <v>0</v>
      </c>
      <c r="AB196" s="24">
        <f t="shared" si="101"/>
        <v>0</v>
      </c>
      <c r="AC196" s="25" t="e">
        <f t="shared" si="102"/>
        <v>#DIV/0!</v>
      </c>
      <c r="AD196" s="22">
        <v>2</v>
      </c>
      <c r="AE196" s="24">
        <f t="shared" si="103"/>
        <v>2</v>
      </c>
      <c r="AF196" s="22">
        <v>0</v>
      </c>
      <c r="AG196" s="24">
        <f t="shared" si="104"/>
        <v>0</v>
      </c>
      <c r="AH196" s="22">
        <v>2</v>
      </c>
      <c r="AI196" s="24">
        <f t="shared" si="105"/>
        <v>2</v>
      </c>
      <c r="AJ196" s="22">
        <v>1</v>
      </c>
      <c r="AK196" s="24">
        <f t="shared" si="106"/>
        <v>1</v>
      </c>
      <c r="AL196" s="22">
        <v>1</v>
      </c>
      <c r="AM196" s="24">
        <f t="shared" si="107"/>
        <v>1</v>
      </c>
      <c r="AN196" s="10">
        <v>0</v>
      </c>
      <c r="AO196" s="24">
        <f t="shared" si="108"/>
        <v>0</v>
      </c>
      <c r="AP196" s="22">
        <v>2</v>
      </c>
      <c r="AQ196" s="24">
        <f t="shared" si="92"/>
        <v>2</v>
      </c>
      <c r="AR196" s="22">
        <v>2</v>
      </c>
      <c r="AS196" s="24">
        <f t="shared" si="109"/>
        <v>2</v>
      </c>
      <c r="AT196" s="26">
        <v>-0.11007519356483442</v>
      </c>
      <c r="AU196" s="26">
        <v>-0.35845381893568873</v>
      </c>
      <c r="AV196" s="26">
        <v>-0.13366711282333157</v>
      </c>
      <c r="AW196" s="26">
        <v>2.3591919258497154E-2</v>
      </c>
      <c r="AX196" s="26">
        <v>10.311159034879704</v>
      </c>
      <c r="AY196" s="26">
        <v>99.181980816434873</v>
      </c>
      <c r="AZ196" s="26">
        <v>-0.25212150291768487</v>
      </c>
      <c r="BA196" s="26">
        <v>-2</v>
      </c>
      <c r="BB196" s="26">
        <v>-6.5128900949796478</v>
      </c>
      <c r="BC196" s="25">
        <v>0</v>
      </c>
      <c r="BD196" s="25">
        <v>0</v>
      </c>
      <c r="BE196" s="26">
        <v>0.42152809555011522</v>
      </c>
      <c r="BF196" s="25">
        <v>0.75</v>
      </c>
      <c r="BG196" s="25">
        <v>0</v>
      </c>
      <c r="BH196" s="26">
        <v>0</v>
      </c>
      <c r="BI196" s="26">
        <v>0.33798080409858056</v>
      </c>
      <c r="BJ196" s="26">
        <v>0.16153001227628094</v>
      </c>
      <c r="BK196" s="26">
        <v>0.18502528678919453</v>
      </c>
      <c r="BL196" s="26">
        <v>4.4278765048661821</v>
      </c>
      <c r="BM196" s="26">
        <v>0</v>
      </c>
      <c r="BN196" s="26">
        <v>33.333333333333336</v>
      </c>
      <c r="BO196" s="27" t="s">
        <v>189</v>
      </c>
      <c r="BP196" s="28"/>
      <c r="BQ196" s="17" t="s">
        <v>253</v>
      </c>
      <c r="BR196" s="58">
        <v>0.87</v>
      </c>
      <c r="BS196" s="58">
        <v>7.57</v>
      </c>
      <c r="BT196" s="58">
        <v>6.7</v>
      </c>
      <c r="BU196" s="35">
        <f t="shared" si="86"/>
        <v>0.87000000000000011</v>
      </c>
      <c r="BV196" s="35">
        <f t="shared" si="87"/>
        <v>7.57</v>
      </c>
      <c r="BW196" s="35">
        <f t="shared" si="88"/>
        <v>6.7</v>
      </c>
      <c r="BX196" s="36">
        <f t="shared" si="89"/>
        <v>2.8331071913161487</v>
      </c>
      <c r="BY196" s="36">
        <f t="shared" si="90"/>
        <v>24.651289009497965</v>
      </c>
      <c r="BZ196" s="36">
        <f t="shared" si="91"/>
        <v>21.818181818181817</v>
      </c>
      <c r="CA196" s="50">
        <v>0</v>
      </c>
      <c r="CB196" s="50">
        <v>1</v>
      </c>
    </row>
    <row r="197" spans="1:80" x14ac:dyDescent="0.4">
      <c r="A197" s="21" t="s">
        <v>231</v>
      </c>
      <c r="B197" s="17" t="s">
        <v>197</v>
      </c>
      <c r="C197" s="17" t="s">
        <v>138</v>
      </c>
      <c r="D197" s="22">
        <v>54</v>
      </c>
      <c r="E197" s="22">
        <v>30</v>
      </c>
      <c r="F197" s="22">
        <v>20</v>
      </c>
      <c r="G197" s="23">
        <v>98280</v>
      </c>
      <c r="H197" s="23">
        <v>724</v>
      </c>
      <c r="I197" s="24">
        <f t="shared" si="93"/>
        <v>13.407407407407407</v>
      </c>
      <c r="J197" s="22">
        <v>264</v>
      </c>
      <c r="K197" s="22">
        <v>619</v>
      </c>
      <c r="L197" s="24">
        <f t="shared" si="110"/>
        <v>4.8888888888888893</v>
      </c>
      <c r="M197" s="24">
        <f t="shared" si="111"/>
        <v>11.462962962962964</v>
      </c>
      <c r="N197" s="25">
        <f t="shared" si="112"/>
        <v>0.42649434571890144</v>
      </c>
      <c r="O197" s="23">
        <v>185</v>
      </c>
      <c r="P197" s="22">
        <v>374</v>
      </c>
      <c r="Q197" s="24">
        <f t="shared" si="94"/>
        <v>3.425925925925926</v>
      </c>
      <c r="R197" s="24">
        <f t="shared" si="95"/>
        <v>6.9259259259259256</v>
      </c>
      <c r="S197" s="25">
        <f t="shared" si="96"/>
        <v>0.49465240641711228</v>
      </c>
      <c r="T197" s="22">
        <v>79</v>
      </c>
      <c r="U197" s="22">
        <v>245</v>
      </c>
      <c r="V197" s="24">
        <f t="shared" si="97"/>
        <v>1.462962962962963</v>
      </c>
      <c r="W197" s="24">
        <f t="shared" si="98"/>
        <v>4.5370370370370372</v>
      </c>
      <c r="X197" s="25">
        <f t="shared" si="99"/>
        <v>0.32244897959183672</v>
      </c>
      <c r="Y197" s="22">
        <v>117</v>
      </c>
      <c r="Z197" s="22">
        <v>145</v>
      </c>
      <c r="AA197" s="24">
        <f t="shared" si="100"/>
        <v>2.1666666666666665</v>
      </c>
      <c r="AB197" s="24">
        <f t="shared" si="101"/>
        <v>2.6851851851851851</v>
      </c>
      <c r="AC197" s="25">
        <f t="shared" si="102"/>
        <v>0.80689655172413788</v>
      </c>
      <c r="AD197" s="22">
        <v>199</v>
      </c>
      <c r="AE197" s="24">
        <f t="shared" si="103"/>
        <v>3.6851851851851851</v>
      </c>
      <c r="AF197" s="22">
        <v>49</v>
      </c>
      <c r="AG197" s="24">
        <f t="shared" si="104"/>
        <v>0.90740740740740744</v>
      </c>
      <c r="AH197" s="22">
        <v>150</v>
      </c>
      <c r="AI197" s="24">
        <f t="shared" si="105"/>
        <v>2.7777777777777777</v>
      </c>
      <c r="AJ197" s="22">
        <v>228</v>
      </c>
      <c r="AK197" s="24">
        <f t="shared" si="106"/>
        <v>4.2222222222222223</v>
      </c>
      <c r="AL197" s="22">
        <v>55</v>
      </c>
      <c r="AM197" s="24">
        <f t="shared" si="107"/>
        <v>1.0185185185185186</v>
      </c>
      <c r="AN197" s="10">
        <v>5</v>
      </c>
      <c r="AO197" s="24">
        <f t="shared" si="108"/>
        <v>9.2592592592592587E-2</v>
      </c>
      <c r="AP197" s="22">
        <v>93</v>
      </c>
      <c r="AQ197" s="24">
        <f t="shared" si="92"/>
        <v>1.7222222222222223</v>
      </c>
      <c r="AR197" s="22">
        <v>95</v>
      </c>
      <c r="AS197" s="24">
        <f t="shared" si="109"/>
        <v>1.7592592592592593</v>
      </c>
      <c r="AT197" s="26">
        <v>3.7531602053991939</v>
      </c>
      <c r="AU197" s="26">
        <v>9.1652263868112191E-2</v>
      </c>
      <c r="AV197" s="26">
        <v>2.1402284166354639</v>
      </c>
      <c r="AW197" s="26">
        <v>1.61293178876373</v>
      </c>
      <c r="AX197" s="26">
        <v>110.17584994938386</v>
      </c>
      <c r="AY197" s="26">
        <v>107.78466020652738</v>
      </c>
      <c r="AZ197" s="26">
        <v>11.600577730669688</v>
      </c>
      <c r="BA197" s="26">
        <v>13.611111111111111</v>
      </c>
      <c r="BB197" s="26">
        <v>17.948717948717949</v>
      </c>
      <c r="BC197" s="25">
        <v>0.53016988869361459</v>
      </c>
      <c r="BD197" s="25">
        <v>0.49030694668820679</v>
      </c>
      <c r="BE197" s="26">
        <v>22.070956313275953</v>
      </c>
      <c r="BF197" s="25">
        <v>0.39579967689822293</v>
      </c>
      <c r="BG197" s="25">
        <v>0.23424878836833601</v>
      </c>
      <c r="BH197" s="26">
        <v>3.3531595545088022</v>
      </c>
      <c r="BI197" s="26">
        <v>10.264774146455515</v>
      </c>
      <c r="BJ197" s="26">
        <v>6.5083725798011516</v>
      </c>
      <c r="BK197" s="26">
        <v>21.295143212951434</v>
      </c>
      <c r="BL197" s="26">
        <v>1.8262512629706014</v>
      </c>
      <c r="BM197" s="26">
        <v>0.2771503402020426</v>
      </c>
      <c r="BN197" s="26">
        <v>11.987625676720805</v>
      </c>
      <c r="BO197" s="27" t="s">
        <v>189</v>
      </c>
      <c r="BP197" s="28"/>
      <c r="BQ197" s="17" t="s">
        <v>255</v>
      </c>
      <c r="BR197" s="57">
        <v>1264.72</v>
      </c>
      <c r="BS197" s="57">
        <v>1765.02</v>
      </c>
      <c r="BT197" s="57">
        <v>500.3</v>
      </c>
      <c r="BU197" s="35">
        <f t="shared" si="86"/>
        <v>23.42074074074074</v>
      </c>
      <c r="BV197" s="35">
        <f t="shared" si="87"/>
        <v>32.685555555555553</v>
      </c>
      <c r="BW197" s="35">
        <f t="shared" si="88"/>
        <v>9.2648148148148142</v>
      </c>
      <c r="BX197" s="36">
        <f t="shared" si="89"/>
        <v>30.884493284493288</v>
      </c>
      <c r="BY197" s="36">
        <f t="shared" si="90"/>
        <v>43.101831501831505</v>
      </c>
      <c r="BZ197" s="36">
        <f t="shared" si="91"/>
        <v>12.217338217338217</v>
      </c>
      <c r="CA197" s="48">
        <v>36</v>
      </c>
      <c r="CB197" s="48">
        <v>18</v>
      </c>
    </row>
    <row r="198" spans="1:80" x14ac:dyDescent="0.4">
      <c r="A198" s="21" t="s">
        <v>231</v>
      </c>
      <c r="B198" s="17" t="s">
        <v>197</v>
      </c>
      <c r="C198" s="20" t="s">
        <v>147</v>
      </c>
      <c r="D198" s="16">
        <v>23</v>
      </c>
      <c r="E198" s="16">
        <v>11</v>
      </c>
      <c r="F198" s="16">
        <v>25</v>
      </c>
      <c r="G198" s="23">
        <v>15755</v>
      </c>
      <c r="H198" s="23">
        <v>71</v>
      </c>
      <c r="I198" s="24">
        <f t="shared" si="93"/>
        <v>3.0869565217391304</v>
      </c>
      <c r="J198" s="22">
        <v>25</v>
      </c>
      <c r="K198" s="22">
        <v>63</v>
      </c>
      <c r="L198" s="24">
        <f t="shared" si="110"/>
        <v>1.0869565217391304</v>
      </c>
      <c r="M198" s="24">
        <f t="shared" si="111"/>
        <v>2.7391304347826089</v>
      </c>
      <c r="N198" s="25">
        <f t="shared" si="112"/>
        <v>0.3968253968253968</v>
      </c>
      <c r="O198" s="23">
        <v>11</v>
      </c>
      <c r="P198" s="22">
        <v>22</v>
      </c>
      <c r="Q198" s="24">
        <f t="shared" si="94"/>
        <v>0.47826086956521741</v>
      </c>
      <c r="R198" s="24">
        <f t="shared" si="95"/>
        <v>0.95652173913043481</v>
      </c>
      <c r="S198" s="25">
        <f t="shared" si="96"/>
        <v>0.5</v>
      </c>
      <c r="T198" s="22">
        <v>14</v>
      </c>
      <c r="U198" s="22">
        <v>41</v>
      </c>
      <c r="V198" s="24">
        <f t="shared" si="97"/>
        <v>0.60869565217391308</v>
      </c>
      <c r="W198" s="24">
        <f t="shared" si="98"/>
        <v>1.7826086956521738</v>
      </c>
      <c r="X198" s="25">
        <f t="shared" si="99"/>
        <v>0.34146341463414637</v>
      </c>
      <c r="Y198" s="15">
        <v>7</v>
      </c>
      <c r="Z198" s="15">
        <v>10</v>
      </c>
      <c r="AA198" s="24">
        <f t="shared" si="100"/>
        <v>0.30434782608695654</v>
      </c>
      <c r="AB198" s="24">
        <f t="shared" si="101"/>
        <v>0.43478260869565216</v>
      </c>
      <c r="AC198" s="25">
        <f t="shared" si="102"/>
        <v>0.7</v>
      </c>
      <c r="AD198" s="22">
        <v>38</v>
      </c>
      <c r="AE198" s="24">
        <f t="shared" si="103"/>
        <v>1.6521739130434783</v>
      </c>
      <c r="AF198" s="22">
        <v>12</v>
      </c>
      <c r="AG198" s="24">
        <f t="shared" si="104"/>
        <v>0.52173913043478259</v>
      </c>
      <c r="AH198" s="22">
        <v>26</v>
      </c>
      <c r="AI198" s="24">
        <f t="shared" si="105"/>
        <v>1.1304347826086956</v>
      </c>
      <c r="AJ198" s="22">
        <v>8</v>
      </c>
      <c r="AK198" s="24">
        <f t="shared" si="106"/>
        <v>0.34782608695652173</v>
      </c>
      <c r="AL198" s="13">
        <v>9</v>
      </c>
      <c r="AM198" s="24">
        <f t="shared" si="107"/>
        <v>0.39130434782608697</v>
      </c>
      <c r="AN198" s="12">
        <v>1</v>
      </c>
      <c r="AO198" s="24">
        <f t="shared" si="108"/>
        <v>4.3478260869565216E-2</v>
      </c>
      <c r="AP198" s="22">
        <v>7</v>
      </c>
      <c r="AQ198" s="24">
        <f t="shared" si="92"/>
        <v>0.30434782608695654</v>
      </c>
      <c r="AR198" s="22">
        <v>37</v>
      </c>
      <c r="AS198" s="24">
        <f t="shared" si="109"/>
        <v>1.6086956521739131</v>
      </c>
      <c r="AT198" s="26">
        <v>0.44272551477264366</v>
      </c>
      <c r="AU198" s="26">
        <v>6.7441525576283384E-2</v>
      </c>
      <c r="AV198" s="26">
        <v>0.16525374736627901</v>
      </c>
      <c r="AW198" s="26">
        <v>0.27747176740636464</v>
      </c>
      <c r="AX198" s="26">
        <v>108.48676517866267</v>
      </c>
      <c r="AY198" s="26">
        <v>107.12284270275502</v>
      </c>
      <c r="AZ198" s="26">
        <v>2.2260222635702855</v>
      </c>
      <c r="BA198" s="26">
        <v>3.4347826086956523</v>
      </c>
      <c r="BB198" s="26">
        <v>12.034274833386227</v>
      </c>
      <c r="BC198" s="25">
        <v>0.52670623145400586</v>
      </c>
      <c r="BD198" s="25">
        <v>0.50793650793650791</v>
      </c>
      <c r="BE198" s="26">
        <v>5.6237386271728367</v>
      </c>
      <c r="BF198" s="25">
        <v>0.65079365079365081</v>
      </c>
      <c r="BG198" s="25">
        <v>0.15873015873015872</v>
      </c>
      <c r="BH198" s="26">
        <v>2.1818264463122969</v>
      </c>
      <c r="BI198" s="26">
        <v>4.7272906336766427</v>
      </c>
      <c r="BJ198" s="26">
        <v>3.3020507473062217</v>
      </c>
      <c r="BK198" s="26">
        <v>1.6759776536312849</v>
      </c>
      <c r="BL198" s="26">
        <v>1.8641767601889805</v>
      </c>
      <c r="BM198" s="26">
        <v>0.14727404939203431</v>
      </c>
      <c r="BN198" s="26">
        <v>9.408602150537634</v>
      </c>
      <c r="BO198" s="27" t="s">
        <v>189</v>
      </c>
      <c r="BP198" s="28"/>
      <c r="BQ198" s="17" t="s">
        <v>255</v>
      </c>
      <c r="BR198" s="58"/>
      <c r="BS198" s="58"/>
      <c r="BT198" s="58"/>
      <c r="CA198" s="56">
        <v>17</v>
      </c>
      <c r="CB198" s="56">
        <v>6</v>
      </c>
    </row>
    <row r="199" spans="1:80" x14ac:dyDescent="0.4">
      <c r="A199" s="21" t="s">
        <v>231</v>
      </c>
      <c r="B199" s="17" t="s">
        <v>197</v>
      </c>
      <c r="C199" s="17" t="s">
        <v>139</v>
      </c>
      <c r="D199" s="22">
        <v>44</v>
      </c>
      <c r="E199" s="22">
        <v>13</v>
      </c>
      <c r="F199" s="22">
        <v>37</v>
      </c>
      <c r="G199" s="23">
        <v>35948</v>
      </c>
      <c r="H199" s="23">
        <v>198</v>
      </c>
      <c r="I199" s="24">
        <f t="shared" si="93"/>
        <v>4.5</v>
      </c>
      <c r="J199" s="22">
        <v>87</v>
      </c>
      <c r="K199" s="22">
        <v>169</v>
      </c>
      <c r="L199" s="24">
        <f t="shared" si="110"/>
        <v>1.9772727272727273</v>
      </c>
      <c r="M199" s="24">
        <f t="shared" si="111"/>
        <v>3.8409090909090908</v>
      </c>
      <c r="N199" s="25">
        <f t="shared" si="112"/>
        <v>0.51479289940828399</v>
      </c>
      <c r="O199" s="23">
        <v>84</v>
      </c>
      <c r="P199" s="22">
        <v>151</v>
      </c>
      <c r="Q199" s="24">
        <f t="shared" si="94"/>
        <v>1.9090909090909092</v>
      </c>
      <c r="R199" s="24">
        <f t="shared" si="95"/>
        <v>3.4318181818181817</v>
      </c>
      <c r="S199" s="25">
        <f t="shared" si="96"/>
        <v>0.55629139072847678</v>
      </c>
      <c r="T199" s="22">
        <v>3</v>
      </c>
      <c r="U199" s="22">
        <v>18</v>
      </c>
      <c r="V199" s="24">
        <f t="shared" si="97"/>
        <v>6.8181818181818177E-2</v>
      </c>
      <c r="W199" s="24">
        <f t="shared" si="98"/>
        <v>0.40909090909090912</v>
      </c>
      <c r="X199" s="25">
        <f t="shared" si="99"/>
        <v>0.16666666666666666</v>
      </c>
      <c r="Y199" s="22">
        <v>21</v>
      </c>
      <c r="Z199" s="22">
        <v>28</v>
      </c>
      <c r="AA199" s="24">
        <f t="shared" si="100"/>
        <v>0.47727272727272729</v>
      </c>
      <c r="AB199" s="24">
        <f t="shared" si="101"/>
        <v>0.63636363636363635</v>
      </c>
      <c r="AC199" s="25">
        <f t="shared" si="102"/>
        <v>0.75</v>
      </c>
      <c r="AD199" s="22">
        <v>100</v>
      </c>
      <c r="AE199" s="24">
        <f t="shared" si="103"/>
        <v>2.2727272727272729</v>
      </c>
      <c r="AF199" s="22">
        <v>18</v>
      </c>
      <c r="AG199" s="24">
        <f t="shared" si="104"/>
        <v>0.40909090909090912</v>
      </c>
      <c r="AH199" s="22">
        <v>82</v>
      </c>
      <c r="AI199" s="24">
        <f t="shared" si="105"/>
        <v>1.8636363636363635</v>
      </c>
      <c r="AJ199" s="22">
        <v>108</v>
      </c>
      <c r="AK199" s="24">
        <f t="shared" si="106"/>
        <v>2.4545454545454546</v>
      </c>
      <c r="AL199" s="22">
        <v>29</v>
      </c>
      <c r="AM199" s="24">
        <f t="shared" si="107"/>
        <v>0.65909090909090906</v>
      </c>
      <c r="AN199" s="10">
        <v>5</v>
      </c>
      <c r="AO199" s="24">
        <f t="shared" si="108"/>
        <v>0.11363636363636363</v>
      </c>
      <c r="AP199" s="22">
        <v>53</v>
      </c>
      <c r="AQ199" s="24">
        <f t="shared" ref="AQ199:AQ203" si="113">AP199/$D199</f>
        <v>1.2045454545454546</v>
      </c>
      <c r="AR199" s="22">
        <v>67</v>
      </c>
      <c r="AS199" s="24">
        <f t="shared" si="109"/>
        <v>1.5227272727272727</v>
      </c>
      <c r="AT199" s="26">
        <v>1.1019958169555015</v>
      </c>
      <c r="AU199" s="26">
        <v>7.357265941619015E-2</v>
      </c>
      <c r="AV199" s="26">
        <v>0.2527453473399156</v>
      </c>
      <c r="AW199" s="26">
        <v>0.84925046961558592</v>
      </c>
      <c r="AX199" s="26">
        <v>103.36156033047617</v>
      </c>
      <c r="AY199" s="26">
        <v>103.80690720099315</v>
      </c>
      <c r="AZ199" s="26">
        <v>8.1684502761853537</v>
      </c>
      <c r="BA199" s="26">
        <v>6.7727272727272725</v>
      </c>
      <c r="BB199" s="26">
        <v>19.895404473127851</v>
      </c>
      <c r="BC199" s="25">
        <v>0.54599602911978828</v>
      </c>
      <c r="BD199" s="25">
        <v>0.52366863905325445</v>
      </c>
      <c r="BE199" s="26">
        <v>14.850123518652858</v>
      </c>
      <c r="BF199" s="25">
        <v>0.10650887573964497</v>
      </c>
      <c r="BG199" s="25">
        <v>0.16568047337278108</v>
      </c>
      <c r="BH199" s="26">
        <v>2.7439738966779497</v>
      </c>
      <c r="BI199" s="26">
        <v>12.500325529310659</v>
      </c>
      <c r="BJ199" s="26">
        <v>7.2856560004662816</v>
      </c>
      <c r="BK199" s="26">
        <v>21.088258266076544</v>
      </c>
      <c r="BL199" s="26">
        <v>2.6326083381135228</v>
      </c>
      <c r="BM199" s="26">
        <v>0.61739733068264069</v>
      </c>
      <c r="BN199" s="26">
        <v>22.618641174462276</v>
      </c>
      <c r="BO199" s="27" t="s">
        <v>233</v>
      </c>
      <c r="BP199" s="28"/>
      <c r="BQ199" s="17" t="s">
        <v>253</v>
      </c>
      <c r="BR199" s="58">
        <v>493.23</v>
      </c>
      <c r="BS199" s="58">
        <v>658.83</v>
      </c>
      <c r="BT199" s="58">
        <v>165.6</v>
      </c>
      <c r="BU199" s="35">
        <f t="shared" si="86"/>
        <v>11.209772727272728</v>
      </c>
      <c r="BV199" s="35">
        <f t="shared" si="87"/>
        <v>14.973409090909092</v>
      </c>
      <c r="BW199" s="35">
        <f t="shared" si="88"/>
        <v>3.7636363636363637</v>
      </c>
      <c r="BX199" s="36">
        <f t="shared" si="89"/>
        <v>32.929564927116942</v>
      </c>
      <c r="BY199" s="36">
        <f t="shared" si="90"/>
        <v>43.985534661177255</v>
      </c>
      <c r="BZ199" s="36">
        <f t="shared" si="91"/>
        <v>11.055969734060309</v>
      </c>
      <c r="CA199" s="50">
        <v>31</v>
      </c>
      <c r="CB199" s="50">
        <v>13</v>
      </c>
    </row>
    <row r="200" spans="1:80" x14ac:dyDescent="0.4">
      <c r="A200" s="21" t="s">
        <v>231</v>
      </c>
      <c r="B200" s="51" t="s">
        <v>197</v>
      </c>
      <c r="C200" s="17" t="s">
        <v>144</v>
      </c>
      <c r="D200" s="22">
        <v>38</v>
      </c>
      <c r="E200" s="22">
        <v>13</v>
      </c>
      <c r="F200" s="22">
        <v>9</v>
      </c>
      <c r="G200" s="23">
        <v>29982</v>
      </c>
      <c r="H200" s="23">
        <v>107</v>
      </c>
      <c r="I200" s="24">
        <f t="shared" si="93"/>
        <v>2.8157894736842106</v>
      </c>
      <c r="J200" s="22">
        <v>42</v>
      </c>
      <c r="K200" s="22">
        <v>101</v>
      </c>
      <c r="L200" s="24">
        <f t="shared" si="110"/>
        <v>1.1052631578947369</v>
      </c>
      <c r="M200" s="24">
        <f t="shared" si="111"/>
        <v>2.6578947368421053</v>
      </c>
      <c r="N200" s="25">
        <f t="shared" si="112"/>
        <v>0.41584158415841582</v>
      </c>
      <c r="O200" s="23">
        <v>27</v>
      </c>
      <c r="P200" s="22">
        <v>50</v>
      </c>
      <c r="Q200" s="24">
        <f t="shared" si="94"/>
        <v>0.71052631578947367</v>
      </c>
      <c r="R200" s="24">
        <f t="shared" si="95"/>
        <v>1.3157894736842106</v>
      </c>
      <c r="S200" s="25">
        <f t="shared" si="96"/>
        <v>0.54</v>
      </c>
      <c r="T200" s="22">
        <v>15</v>
      </c>
      <c r="U200" s="22">
        <v>51</v>
      </c>
      <c r="V200" s="24">
        <f t="shared" si="97"/>
        <v>0.39473684210526316</v>
      </c>
      <c r="W200" s="24">
        <f t="shared" si="98"/>
        <v>1.3421052631578947</v>
      </c>
      <c r="X200" s="25">
        <f t="shared" si="99"/>
        <v>0.29411764705882354</v>
      </c>
      <c r="Y200" s="22">
        <v>8</v>
      </c>
      <c r="Z200" s="22">
        <v>13</v>
      </c>
      <c r="AA200" s="24">
        <f t="shared" si="100"/>
        <v>0.21052631578947367</v>
      </c>
      <c r="AB200" s="24">
        <f t="shared" si="101"/>
        <v>0.34210526315789475</v>
      </c>
      <c r="AC200" s="25">
        <f t="shared" si="102"/>
        <v>0.61538461538461542</v>
      </c>
      <c r="AD200" s="22">
        <v>45</v>
      </c>
      <c r="AE200" s="24">
        <f t="shared" si="103"/>
        <v>1.1842105263157894</v>
      </c>
      <c r="AF200" s="22">
        <v>21</v>
      </c>
      <c r="AG200" s="24">
        <f t="shared" si="104"/>
        <v>0.55263157894736847</v>
      </c>
      <c r="AH200" s="22">
        <v>24</v>
      </c>
      <c r="AI200" s="24">
        <f t="shared" si="105"/>
        <v>0.63157894736842102</v>
      </c>
      <c r="AJ200" s="22">
        <v>22</v>
      </c>
      <c r="AK200" s="24">
        <f t="shared" si="106"/>
        <v>0.57894736842105265</v>
      </c>
      <c r="AL200" s="22">
        <v>7</v>
      </c>
      <c r="AM200" s="24">
        <f t="shared" si="107"/>
        <v>0.18421052631578946</v>
      </c>
      <c r="AN200" s="10">
        <v>3</v>
      </c>
      <c r="AO200" s="24">
        <f t="shared" si="108"/>
        <v>7.8947368421052627E-2</v>
      </c>
      <c r="AP200" s="22">
        <v>11</v>
      </c>
      <c r="AQ200" s="24">
        <f t="shared" si="113"/>
        <v>0.28947368421052633</v>
      </c>
      <c r="AR200" s="22">
        <v>47</v>
      </c>
      <c r="AS200" s="24">
        <f t="shared" si="109"/>
        <v>1.236842105263158</v>
      </c>
      <c r="AT200" s="26">
        <v>0.5284665199781784</v>
      </c>
      <c r="AU200" s="26">
        <v>4.2302703220186387E-2</v>
      </c>
      <c r="AV200" s="26">
        <v>0.2391120533040757</v>
      </c>
      <c r="AW200" s="26">
        <v>0.28935446667410264</v>
      </c>
      <c r="AX200" s="26">
        <v>107.46179061494779</v>
      </c>
      <c r="AY200" s="26">
        <v>111.51305440042671</v>
      </c>
      <c r="AZ200" s="26">
        <v>2.9456907853482024</v>
      </c>
      <c r="BA200" s="26">
        <v>2.8684210526315788</v>
      </c>
      <c r="BB200" s="26">
        <v>8.7252351410846511</v>
      </c>
      <c r="BC200" s="25">
        <v>0.50131184407796103</v>
      </c>
      <c r="BD200" s="25">
        <v>0.49009900990099009</v>
      </c>
      <c r="BE200" s="26">
        <v>7.7253117490100554</v>
      </c>
      <c r="BF200" s="25">
        <v>0.50495049504950495</v>
      </c>
      <c r="BG200" s="25">
        <v>0.12871287128712872</v>
      </c>
      <c r="BH200" s="26">
        <v>3.3149105862064201</v>
      </c>
      <c r="BI200" s="26">
        <v>3.788469241378766</v>
      </c>
      <c r="BJ200" s="26">
        <v>3.3948940793047258</v>
      </c>
      <c r="BK200" s="26">
        <v>4.0998881848676856</v>
      </c>
      <c r="BL200" s="26">
        <v>0.76190430553680999</v>
      </c>
      <c r="BM200" s="26">
        <v>0.38358450126822624</v>
      </c>
      <c r="BN200" s="26">
        <v>9.3442065919130144</v>
      </c>
      <c r="BO200" s="27" t="s">
        <v>189</v>
      </c>
      <c r="BP200" s="28"/>
      <c r="BQ200" s="17" t="s">
        <v>253</v>
      </c>
      <c r="BR200" s="58">
        <v>254.5</v>
      </c>
      <c r="BS200" s="58">
        <v>330.4</v>
      </c>
      <c r="BT200" s="58">
        <v>75.900000000000006</v>
      </c>
      <c r="BU200" s="35">
        <f t="shared" si="86"/>
        <v>6.697368421052631</v>
      </c>
      <c r="BV200" s="35">
        <f t="shared" si="87"/>
        <v>8.6947368421052627</v>
      </c>
      <c r="BW200" s="35">
        <f t="shared" si="88"/>
        <v>1.9973684210526317</v>
      </c>
      <c r="BX200" s="36">
        <f t="shared" si="89"/>
        <v>20.372223334000402</v>
      </c>
      <c r="BY200" s="36">
        <f t="shared" si="90"/>
        <v>26.447868721232741</v>
      </c>
      <c r="BZ200" s="36">
        <f t="shared" si="91"/>
        <v>6.0756453872323393</v>
      </c>
      <c r="CA200" s="48">
        <v>27</v>
      </c>
      <c r="CB200" s="48">
        <v>11</v>
      </c>
    </row>
    <row r="201" spans="1:80" x14ac:dyDescent="0.4">
      <c r="A201" s="21" t="s">
        <v>231</v>
      </c>
      <c r="B201" s="49" t="s">
        <v>197</v>
      </c>
      <c r="C201" s="17" t="s">
        <v>140</v>
      </c>
      <c r="D201" s="22">
        <v>53</v>
      </c>
      <c r="E201" s="22">
        <v>17</v>
      </c>
      <c r="F201" s="22">
        <v>48</v>
      </c>
      <c r="G201" s="23">
        <v>56604</v>
      </c>
      <c r="H201" s="23">
        <v>250</v>
      </c>
      <c r="I201" s="24">
        <f t="shared" si="93"/>
        <v>4.716981132075472</v>
      </c>
      <c r="J201" s="22">
        <v>84</v>
      </c>
      <c r="K201" s="22">
        <v>196</v>
      </c>
      <c r="L201" s="24">
        <f t="shared" si="110"/>
        <v>1.5849056603773586</v>
      </c>
      <c r="M201" s="24">
        <f t="shared" si="111"/>
        <v>3.6981132075471699</v>
      </c>
      <c r="N201" s="25">
        <f t="shared" si="112"/>
        <v>0.42857142857142855</v>
      </c>
      <c r="O201" s="23">
        <v>36</v>
      </c>
      <c r="P201" s="22">
        <v>75</v>
      </c>
      <c r="Q201" s="24">
        <f t="shared" si="94"/>
        <v>0.67924528301886788</v>
      </c>
      <c r="R201" s="24">
        <f t="shared" si="95"/>
        <v>1.4150943396226414</v>
      </c>
      <c r="S201" s="25">
        <f t="shared" si="96"/>
        <v>0.48</v>
      </c>
      <c r="T201" s="22">
        <v>48</v>
      </c>
      <c r="U201" s="22">
        <v>121</v>
      </c>
      <c r="V201" s="24">
        <f t="shared" si="97"/>
        <v>0.90566037735849059</v>
      </c>
      <c r="W201" s="24">
        <f t="shared" si="98"/>
        <v>2.2830188679245285</v>
      </c>
      <c r="X201" s="25">
        <f t="shared" si="99"/>
        <v>0.39669421487603307</v>
      </c>
      <c r="Y201" s="22">
        <v>34</v>
      </c>
      <c r="Z201" s="22">
        <v>42</v>
      </c>
      <c r="AA201" s="24">
        <f t="shared" si="100"/>
        <v>0.64150943396226412</v>
      </c>
      <c r="AB201" s="24">
        <f t="shared" si="101"/>
        <v>0.79245283018867929</v>
      </c>
      <c r="AC201" s="25">
        <f t="shared" si="102"/>
        <v>0.80952380952380953</v>
      </c>
      <c r="AD201" s="22">
        <v>117</v>
      </c>
      <c r="AE201" s="24">
        <f t="shared" si="103"/>
        <v>2.2075471698113209</v>
      </c>
      <c r="AF201" s="22">
        <v>41</v>
      </c>
      <c r="AG201" s="24">
        <f t="shared" si="104"/>
        <v>0.77358490566037741</v>
      </c>
      <c r="AH201" s="22">
        <v>76</v>
      </c>
      <c r="AI201" s="24">
        <f t="shared" si="105"/>
        <v>1.4339622641509433</v>
      </c>
      <c r="AJ201" s="22">
        <v>67</v>
      </c>
      <c r="AK201" s="24">
        <f t="shared" si="106"/>
        <v>1.2641509433962264</v>
      </c>
      <c r="AL201" s="22">
        <v>28</v>
      </c>
      <c r="AM201" s="24">
        <f t="shared" si="107"/>
        <v>0.52830188679245282</v>
      </c>
      <c r="AN201" s="10">
        <v>2</v>
      </c>
      <c r="AO201" s="24">
        <f t="shared" si="108"/>
        <v>3.7735849056603772E-2</v>
      </c>
      <c r="AP201" s="22">
        <v>38</v>
      </c>
      <c r="AQ201" s="24">
        <f t="shared" si="113"/>
        <v>0.71698113207547165</v>
      </c>
      <c r="AR201" s="22">
        <v>127</v>
      </c>
      <c r="AS201" s="24">
        <f t="shared" si="109"/>
        <v>2.3962264150943398</v>
      </c>
      <c r="AT201" s="26">
        <v>1.8540636914691615</v>
      </c>
      <c r="AU201" s="26">
        <v>7.8611986070348167E-2</v>
      </c>
      <c r="AV201" s="26">
        <v>0.99801400508012605</v>
      </c>
      <c r="AW201" s="26">
        <v>0.85604968638903534</v>
      </c>
      <c r="AX201" s="26">
        <v>114.48036794207785</v>
      </c>
      <c r="AY201" s="26">
        <v>108.49503404492083</v>
      </c>
      <c r="AZ201" s="26">
        <v>5.8277951905023455</v>
      </c>
      <c r="BA201" s="26">
        <v>5.7735849056603774</v>
      </c>
      <c r="BB201" s="26">
        <v>12.974348102607589</v>
      </c>
      <c r="BC201" s="25">
        <v>0.58280492353599411</v>
      </c>
      <c r="BD201" s="25">
        <v>0.55102040816326525</v>
      </c>
      <c r="BE201" s="26">
        <v>12.240481241733992</v>
      </c>
      <c r="BF201" s="25">
        <v>0.61734693877551017</v>
      </c>
      <c r="BG201" s="25">
        <v>0.21428571428571427</v>
      </c>
      <c r="BH201" s="26">
        <v>4.7812574707147979</v>
      </c>
      <c r="BI201" s="26">
        <v>8.8628187262030416</v>
      </c>
      <c r="BJ201" s="26">
        <v>6.5208667736757624</v>
      </c>
      <c r="BK201" s="26">
        <v>9.582379862700229</v>
      </c>
      <c r="BL201" s="26">
        <v>1.6142615284152808</v>
      </c>
      <c r="BM201" s="26">
        <v>0.18891895848978182</v>
      </c>
      <c r="BN201" s="26">
        <v>15.050697084917617</v>
      </c>
      <c r="BO201" s="27" t="s">
        <v>189</v>
      </c>
      <c r="BP201" s="28"/>
      <c r="BQ201" s="17" t="s">
        <v>253</v>
      </c>
      <c r="BR201" s="57">
        <v>596.33000000000004</v>
      </c>
      <c r="BS201" s="57">
        <v>764.43</v>
      </c>
      <c r="BT201" s="57">
        <v>168.1</v>
      </c>
      <c r="BU201" s="35">
        <f t="shared" ref="BU201:BU202" si="114">BV201-BW201</f>
        <v>11.251509433962262</v>
      </c>
      <c r="BV201" s="35">
        <f t="shared" ref="BV201:BV202" si="115">BS201/$D201</f>
        <v>14.42320754716981</v>
      </c>
      <c r="BW201" s="35">
        <f t="shared" ref="BW201:BW202" si="116">BT201/$D201</f>
        <v>3.171698113207547</v>
      </c>
      <c r="BX201" s="36">
        <f t="shared" ref="BX201:BX202" si="117">BY201-BZ201</f>
        <v>25.284290862836546</v>
      </c>
      <c r="BY201" s="36">
        <f t="shared" ref="BY201:BY202" si="118">BS201*2400/$G201</f>
        <v>32.411702353190584</v>
      </c>
      <c r="BZ201" s="36">
        <f t="shared" ref="BZ201:BZ202" si="119">BT201*2400/$G201</f>
        <v>7.1274114903540386</v>
      </c>
      <c r="CA201" s="48">
        <v>35</v>
      </c>
      <c r="CB201" s="48">
        <v>18</v>
      </c>
    </row>
    <row r="202" spans="1:80" x14ac:dyDescent="0.4">
      <c r="A202" s="21" t="s">
        <v>231</v>
      </c>
      <c r="B202" s="20" t="s">
        <v>197</v>
      </c>
      <c r="C202" s="20" t="s">
        <v>242</v>
      </c>
      <c r="D202" s="22">
        <v>7</v>
      </c>
      <c r="E202" s="22">
        <v>3</v>
      </c>
      <c r="F202" s="22">
        <v>45</v>
      </c>
      <c r="G202" s="23">
        <v>1575</v>
      </c>
      <c r="H202" s="23">
        <v>6</v>
      </c>
      <c r="I202" s="24">
        <f t="shared" si="93"/>
        <v>0.8571428571428571</v>
      </c>
      <c r="J202" s="22">
        <v>2</v>
      </c>
      <c r="K202" s="22">
        <v>9</v>
      </c>
      <c r="L202" s="24">
        <f t="shared" si="110"/>
        <v>0.2857142857142857</v>
      </c>
      <c r="M202" s="24">
        <f t="shared" si="111"/>
        <v>1.2857142857142858</v>
      </c>
      <c r="N202" s="25">
        <f t="shared" si="112"/>
        <v>0.22222222222222221</v>
      </c>
      <c r="O202" s="23">
        <v>2</v>
      </c>
      <c r="P202" s="22">
        <v>7</v>
      </c>
      <c r="Q202" s="24">
        <f t="shared" si="94"/>
        <v>0.2857142857142857</v>
      </c>
      <c r="R202" s="24">
        <f t="shared" si="95"/>
        <v>1</v>
      </c>
      <c r="S202" s="25">
        <f t="shared" si="96"/>
        <v>0.2857142857142857</v>
      </c>
      <c r="T202" s="22">
        <v>0</v>
      </c>
      <c r="U202" s="22">
        <v>2</v>
      </c>
      <c r="V202" s="24">
        <f t="shared" si="97"/>
        <v>0</v>
      </c>
      <c r="W202" s="24">
        <f t="shared" si="98"/>
        <v>0.2857142857142857</v>
      </c>
      <c r="X202" s="25">
        <f t="shared" si="99"/>
        <v>0</v>
      </c>
      <c r="Y202" s="22">
        <v>2</v>
      </c>
      <c r="Z202" s="22">
        <v>6</v>
      </c>
      <c r="AA202" s="24">
        <f t="shared" si="100"/>
        <v>0.2857142857142857</v>
      </c>
      <c r="AB202" s="24">
        <f t="shared" si="101"/>
        <v>0.8571428571428571</v>
      </c>
      <c r="AC202" s="25">
        <f t="shared" si="102"/>
        <v>0.33333333333333331</v>
      </c>
      <c r="AD202" s="22">
        <v>4</v>
      </c>
      <c r="AE202" s="24">
        <f t="shared" si="103"/>
        <v>0.5714285714285714</v>
      </c>
      <c r="AF202" s="22">
        <v>2</v>
      </c>
      <c r="AG202" s="24">
        <f t="shared" si="104"/>
        <v>0.2857142857142857</v>
      </c>
      <c r="AH202" s="22">
        <v>2</v>
      </c>
      <c r="AI202" s="24">
        <f t="shared" si="105"/>
        <v>0.2857142857142857</v>
      </c>
      <c r="AJ202" s="22">
        <v>2</v>
      </c>
      <c r="AK202" s="24">
        <f t="shared" si="106"/>
        <v>0.2857142857142857</v>
      </c>
      <c r="AL202" s="22">
        <v>2</v>
      </c>
      <c r="AM202" s="24">
        <f t="shared" si="107"/>
        <v>0.2857142857142857</v>
      </c>
      <c r="AN202" s="10">
        <v>0</v>
      </c>
      <c r="AO202" s="24">
        <f t="shared" si="108"/>
        <v>0</v>
      </c>
      <c r="AP202" s="22">
        <v>1</v>
      </c>
      <c r="AQ202" s="24">
        <f t="shared" si="113"/>
        <v>0.14285714285714285</v>
      </c>
      <c r="AR202" s="22">
        <v>5</v>
      </c>
      <c r="AS202" s="24">
        <f t="shared" si="109"/>
        <v>0.7142857142857143</v>
      </c>
      <c r="AT202" s="26">
        <v>-6.1643621648982558E-2</v>
      </c>
      <c r="AU202" s="26">
        <v>-9.3933137750830564E-2</v>
      </c>
      <c r="AV202" s="26">
        <v>-0.10110040392830381</v>
      </c>
      <c r="AW202" s="26">
        <v>3.9456782279321256E-2</v>
      </c>
      <c r="AX202" s="26">
        <v>68.538305934429644</v>
      </c>
      <c r="AY202" s="26">
        <v>103.019658222038</v>
      </c>
      <c r="AZ202" s="26">
        <v>-0.13964298856682564</v>
      </c>
      <c r="BA202" s="26">
        <v>0.2857142857142857</v>
      </c>
      <c r="BB202" s="26">
        <v>3.0476190476190479</v>
      </c>
      <c r="BC202" s="25">
        <v>0.25773195876288657</v>
      </c>
      <c r="BD202" s="25">
        <v>0.22222222222222221</v>
      </c>
      <c r="BE202" s="26">
        <v>2.9087561845587389</v>
      </c>
      <c r="BF202" s="25">
        <v>0.22222222222222221</v>
      </c>
      <c r="BG202" s="25">
        <v>0.66666666666666663</v>
      </c>
      <c r="BH202" s="26">
        <v>1.1070749005362395</v>
      </c>
      <c r="BI202" s="26">
        <v>1.1070749005362395</v>
      </c>
      <c r="BJ202" s="26">
        <v>1.0582010582010581</v>
      </c>
      <c r="BK202" s="26">
        <v>1.2269938650306749</v>
      </c>
      <c r="BL202" s="26">
        <v>4.143930138522383</v>
      </c>
      <c r="BM202" s="26">
        <v>0</v>
      </c>
      <c r="BN202" s="26">
        <v>7.9113924050632907</v>
      </c>
      <c r="BO202" s="27" t="s">
        <v>189</v>
      </c>
      <c r="BP202" s="28"/>
      <c r="BQ202" s="17" t="s">
        <v>253</v>
      </c>
      <c r="BR202" s="58"/>
      <c r="BS202" s="58"/>
      <c r="BT202" s="58"/>
      <c r="BU202" s="35"/>
      <c r="BV202" s="35"/>
      <c r="BW202" s="35"/>
      <c r="BX202" s="36"/>
      <c r="BY202" s="36"/>
      <c r="BZ202" s="36"/>
      <c r="CA202" s="27">
        <v>4</v>
      </c>
      <c r="CB202" s="27">
        <v>3</v>
      </c>
    </row>
    <row r="203" spans="1:80" x14ac:dyDescent="0.4">
      <c r="A203" s="21" t="s">
        <v>231</v>
      </c>
      <c r="B203" s="17" t="s">
        <v>197</v>
      </c>
      <c r="C203" s="17" t="s">
        <v>150</v>
      </c>
      <c r="D203" s="22">
        <v>24</v>
      </c>
      <c r="E203" s="22">
        <v>8</v>
      </c>
      <c r="F203" s="22">
        <v>21</v>
      </c>
      <c r="G203" s="23">
        <v>12024</v>
      </c>
      <c r="H203" s="23">
        <v>73</v>
      </c>
      <c r="I203" s="24">
        <f t="shared" si="93"/>
        <v>3.0416666666666665</v>
      </c>
      <c r="J203" s="22">
        <v>29</v>
      </c>
      <c r="K203" s="22">
        <v>53</v>
      </c>
      <c r="L203" s="24">
        <f t="shared" si="110"/>
        <v>1.2083333333333333</v>
      </c>
      <c r="M203" s="24">
        <f t="shared" si="111"/>
        <v>2.2083333333333335</v>
      </c>
      <c r="N203" s="25">
        <f t="shared" si="112"/>
        <v>0.54716981132075471</v>
      </c>
      <c r="O203" s="23">
        <v>23</v>
      </c>
      <c r="P203" s="22">
        <v>39</v>
      </c>
      <c r="Q203" s="24">
        <f t="shared" si="94"/>
        <v>0.95833333333333337</v>
      </c>
      <c r="R203" s="24">
        <f t="shared" si="95"/>
        <v>1.625</v>
      </c>
      <c r="S203" s="25">
        <f t="shared" si="96"/>
        <v>0.58974358974358976</v>
      </c>
      <c r="T203" s="22">
        <v>6</v>
      </c>
      <c r="U203" s="22">
        <v>14</v>
      </c>
      <c r="V203" s="24">
        <f t="shared" si="97"/>
        <v>0.25</v>
      </c>
      <c r="W203" s="24">
        <f t="shared" si="98"/>
        <v>0.58333333333333337</v>
      </c>
      <c r="X203" s="25">
        <f t="shared" si="99"/>
        <v>0.42857142857142855</v>
      </c>
      <c r="Y203" s="22">
        <v>9</v>
      </c>
      <c r="Z203" s="22">
        <v>14</v>
      </c>
      <c r="AA203" s="24">
        <f t="shared" si="100"/>
        <v>0.375</v>
      </c>
      <c r="AB203" s="24">
        <f t="shared" si="101"/>
        <v>0.58333333333333337</v>
      </c>
      <c r="AC203" s="25">
        <f t="shared" si="102"/>
        <v>0.6428571428571429</v>
      </c>
      <c r="AD203" s="22">
        <v>10</v>
      </c>
      <c r="AE203" s="24">
        <f t="shared" si="103"/>
        <v>0.41666666666666669</v>
      </c>
      <c r="AF203" s="22">
        <v>3</v>
      </c>
      <c r="AG203" s="24">
        <f t="shared" si="104"/>
        <v>0.125</v>
      </c>
      <c r="AH203" s="22">
        <v>7</v>
      </c>
      <c r="AI203" s="24">
        <f t="shared" si="105"/>
        <v>0.29166666666666669</v>
      </c>
      <c r="AJ203" s="22">
        <v>23</v>
      </c>
      <c r="AK203" s="24">
        <f t="shared" si="106"/>
        <v>0.95833333333333337</v>
      </c>
      <c r="AL203" s="22">
        <v>9</v>
      </c>
      <c r="AM203" s="24">
        <f t="shared" si="107"/>
        <v>0.375</v>
      </c>
      <c r="AN203" s="9">
        <v>0</v>
      </c>
      <c r="AO203" s="24">
        <f t="shared" si="108"/>
        <v>0</v>
      </c>
      <c r="AP203" s="22">
        <v>10</v>
      </c>
      <c r="AQ203" s="24">
        <f t="shared" si="113"/>
        <v>0.41666666666666669</v>
      </c>
      <c r="AR203" s="22">
        <v>21</v>
      </c>
      <c r="AS203" s="24">
        <f t="shared" si="109"/>
        <v>0.875</v>
      </c>
      <c r="AT203" s="26">
        <v>0.50484570857486355</v>
      </c>
      <c r="AU203" s="26">
        <v>0.10076760650196878</v>
      </c>
      <c r="AV203" s="26">
        <v>0.3255330455626485</v>
      </c>
      <c r="AW203" s="26">
        <v>0.17931266301221507</v>
      </c>
      <c r="AX203" s="26">
        <v>117.58882349460688</v>
      </c>
      <c r="AY203" s="26">
        <v>108.61116985464685</v>
      </c>
      <c r="AZ203" s="26">
        <v>4.2081622695708836</v>
      </c>
      <c r="BA203" s="26">
        <v>3.1666666666666665</v>
      </c>
      <c r="BB203" s="26">
        <v>15.169660678642714</v>
      </c>
      <c r="BC203" s="25">
        <v>0.61697092630155514</v>
      </c>
      <c r="BD203" s="25">
        <v>0.60377358490566035</v>
      </c>
      <c r="BE203" s="26">
        <v>7.1475964191740795</v>
      </c>
      <c r="BF203" s="25">
        <v>0.26415094339622641</v>
      </c>
      <c r="BG203" s="25">
        <v>0.26415094339622641</v>
      </c>
      <c r="BH203" s="26">
        <v>0.74578398988219718</v>
      </c>
      <c r="BI203" s="26">
        <v>1.7401626430584602</v>
      </c>
      <c r="BJ203" s="26">
        <v>1.1880999904952001</v>
      </c>
      <c r="BK203" s="26">
        <v>6.796690307328606</v>
      </c>
      <c r="BL203" s="26">
        <v>2.442623491082617</v>
      </c>
      <c r="BM203" s="26">
        <v>0</v>
      </c>
      <c r="BN203" s="26">
        <v>14.459224985540775</v>
      </c>
      <c r="BO203" s="27" t="s">
        <v>189</v>
      </c>
      <c r="BP203" s="28"/>
      <c r="BQ203" s="48" t="s">
        <v>255</v>
      </c>
      <c r="BR203" s="58">
        <v>137.43</v>
      </c>
      <c r="BS203" s="58">
        <v>179.63</v>
      </c>
      <c r="BT203" s="58">
        <v>42.2</v>
      </c>
      <c r="BU203" s="35">
        <f>BV203-BW203</f>
        <v>3.5238461538461539</v>
      </c>
      <c r="BV203" s="35">
        <f>BS203/$D6</f>
        <v>4.6058974358974361</v>
      </c>
      <c r="BW203" s="35">
        <f>BT203/$D6</f>
        <v>1.0820512820512822</v>
      </c>
      <c r="BX203" s="36">
        <f>BY203-BZ203</f>
        <v>10.874777448071217</v>
      </c>
      <c r="BY203" s="36">
        <f>BS203*2400/$G6</f>
        <v>14.21404549950544</v>
      </c>
      <c r="BZ203" s="36">
        <f>BT203*2400/$G6</f>
        <v>3.3392680514342237</v>
      </c>
      <c r="CA203" s="46">
        <v>15</v>
      </c>
      <c r="CB203" s="46">
        <v>9</v>
      </c>
    </row>
    <row r="204" spans="1:80" x14ac:dyDescent="0.4">
      <c r="A204" s="1"/>
      <c r="B204" s="1"/>
      <c r="C204" s="1"/>
      <c r="D204" s="13"/>
      <c r="E204" s="13"/>
      <c r="F204" s="2"/>
      <c r="G204" s="2"/>
      <c r="H204" s="5"/>
      <c r="I204" s="2"/>
      <c r="J204" s="4"/>
      <c r="K204" s="5"/>
      <c r="L204" s="5"/>
      <c r="M204" s="7"/>
      <c r="N204" s="2"/>
      <c r="O204" s="4"/>
      <c r="P204" s="5"/>
      <c r="Q204" s="5"/>
      <c r="R204" s="7"/>
      <c r="S204" s="4"/>
      <c r="T204" s="4"/>
      <c r="U204" s="5"/>
      <c r="V204" s="5"/>
      <c r="W204" s="7"/>
      <c r="X204" s="15"/>
      <c r="Y204" s="15"/>
      <c r="Z204" s="5"/>
      <c r="AA204" s="5"/>
      <c r="AB204" s="7"/>
      <c r="AC204" s="4"/>
      <c r="AD204" s="5"/>
      <c r="AE204" s="4"/>
      <c r="AF204" s="5"/>
      <c r="AG204" s="4"/>
      <c r="AH204" s="5"/>
      <c r="AI204" s="4"/>
      <c r="AJ204" s="5"/>
      <c r="AK204" s="4"/>
      <c r="AL204" s="5"/>
      <c r="AM204" s="8"/>
      <c r="AN204" s="5"/>
      <c r="AO204" s="4"/>
      <c r="AP204" s="5"/>
      <c r="AQ204" s="13"/>
      <c r="AR204" s="5"/>
      <c r="AS204" s="6"/>
      <c r="AT204" s="6"/>
      <c r="AU204" s="6"/>
      <c r="AV204" s="6"/>
      <c r="AW204" s="6"/>
      <c r="AX204" s="6"/>
      <c r="AY204" s="6"/>
      <c r="AZ204" s="6"/>
      <c r="BA204" s="6"/>
      <c r="BB204" s="7"/>
      <c r="BC204" s="7"/>
      <c r="BD204" s="6"/>
      <c r="BE204" s="7"/>
      <c r="BF204" s="7"/>
      <c r="BG204" s="6"/>
      <c r="BH204" s="6"/>
      <c r="BI204" s="6"/>
      <c r="BJ204" s="6"/>
      <c r="BK204" s="6"/>
      <c r="BL204" s="6"/>
      <c r="BM204" s="6"/>
      <c r="BO204" s="14"/>
      <c r="BQ204" s="13"/>
    </row>
    <row r="205" spans="1:80" x14ac:dyDescent="0.4">
      <c r="A205" s="1"/>
      <c r="B205" s="1"/>
      <c r="C205" s="1"/>
      <c r="D205" s="13"/>
      <c r="E205" s="13"/>
      <c r="F205" s="2"/>
      <c r="G205" s="2"/>
      <c r="H205" s="5"/>
      <c r="I205" s="2"/>
      <c r="J205" s="4"/>
      <c r="K205" s="5"/>
      <c r="L205" s="5"/>
      <c r="M205" s="7"/>
      <c r="N205" s="2"/>
      <c r="O205" s="4"/>
      <c r="P205" s="5"/>
      <c r="Q205" s="5"/>
      <c r="R205" s="7"/>
      <c r="S205" s="4"/>
      <c r="T205" s="4"/>
      <c r="U205" s="5"/>
      <c r="V205" s="5"/>
      <c r="W205" s="7"/>
      <c r="X205" s="15"/>
      <c r="Y205" s="15"/>
      <c r="Z205" s="5"/>
      <c r="AA205" s="5"/>
      <c r="AB205" s="7"/>
      <c r="AC205" s="4"/>
      <c r="AD205" s="5"/>
      <c r="AE205" s="4"/>
      <c r="AF205" s="5"/>
      <c r="AG205" s="4"/>
      <c r="AH205" s="5"/>
      <c r="AI205" s="4"/>
      <c r="AJ205" s="5"/>
      <c r="AK205" s="4"/>
      <c r="AL205" s="5"/>
      <c r="AM205" s="12"/>
      <c r="AN205" s="5"/>
      <c r="AO205" s="4"/>
      <c r="AP205" s="5"/>
      <c r="AQ205" s="13"/>
      <c r="AR205" s="5"/>
      <c r="AS205" s="6"/>
      <c r="AT205" s="6"/>
      <c r="AU205" s="6"/>
      <c r="AV205" s="6"/>
      <c r="AW205" s="6"/>
      <c r="AX205" s="6"/>
      <c r="AY205" s="6"/>
      <c r="AZ205" s="6"/>
      <c r="BA205" s="6"/>
      <c r="BB205" s="7"/>
      <c r="BC205" s="7"/>
      <c r="BD205" s="6"/>
      <c r="BE205" s="7"/>
      <c r="BF205" s="7"/>
      <c r="BG205" s="6"/>
      <c r="BH205" s="6"/>
      <c r="BI205" s="6"/>
      <c r="BJ205" s="6"/>
      <c r="BK205" s="6"/>
      <c r="BL205" s="6"/>
      <c r="BM205" s="6"/>
      <c r="BO205" s="14"/>
      <c r="BQ205" s="13"/>
    </row>
    <row r="206" spans="1:80" x14ac:dyDescent="0.4">
      <c r="A206" s="1"/>
      <c r="B206" s="1"/>
      <c r="C206" s="1"/>
      <c r="D206" s="4"/>
      <c r="E206" s="4"/>
      <c r="F206" s="2"/>
      <c r="G206" s="2"/>
      <c r="H206" s="5"/>
      <c r="I206" s="2"/>
      <c r="J206" s="4"/>
      <c r="K206" s="5"/>
      <c r="L206" s="5"/>
      <c r="M206" s="7"/>
      <c r="N206" s="2"/>
      <c r="O206" s="4"/>
      <c r="P206" s="5"/>
      <c r="Q206" s="5"/>
      <c r="R206" s="7"/>
      <c r="S206" s="4"/>
      <c r="T206" s="4"/>
      <c r="U206" s="5"/>
      <c r="V206" s="5"/>
      <c r="W206" s="7"/>
      <c r="X206" s="4"/>
      <c r="Y206" s="4"/>
      <c r="Z206" s="5"/>
      <c r="AA206" s="5"/>
      <c r="AB206" s="7"/>
      <c r="AC206" s="4"/>
      <c r="AD206" s="5"/>
      <c r="AE206" s="4"/>
      <c r="AF206" s="5"/>
      <c r="AG206" s="4"/>
      <c r="AH206" s="5"/>
      <c r="AI206" s="4"/>
      <c r="AJ206" s="5"/>
      <c r="AK206" s="4"/>
      <c r="AL206" s="5"/>
      <c r="AM206" s="10"/>
      <c r="AN206" s="5"/>
      <c r="AO206" s="4"/>
      <c r="AP206" s="5"/>
      <c r="AQ206" s="4"/>
      <c r="AR206" s="5"/>
      <c r="AS206" s="6"/>
      <c r="AT206" s="6"/>
      <c r="AU206" s="6"/>
      <c r="AV206" s="6"/>
      <c r="AW206" s="6"/>
      <c r="AX206" s="6"/>
      <c r="AY206" s="6"/>
      <c r="AZ206" s="6"/>
      <c r="BA206" s="6"/>
      <c r="BB206" s="7"/>
      <c r="BC206" s="7"/>
      <c r="BD206" s="6"/>
      <c r="BE206" s="7"/>
      <c r="BF206" s="7"/>
      <c r="BG206" s="6"/>
      <c r="BH206" s="6"/>
      <c r="BI206" s="6"/>
      <c r="BJ206" s="6"/>
      <c r="BK206" s="6"/>
      <c r="BL206" s="6"/>
      <c r="BM206" s="6"/>
      <c r="BO206" s="14"/>
      <c r="BQ206" s="4"/>
    </row>
    <row r="207" spans="1:80" x14ac:dyDescent="0.4">
      <c r="A207" s="1"/>
      <c r="B207" s="1"/>
      <c r="C207" s="1"/>
      <c r="D207" s="4"/>
      <c r="E207" s="4"/>
      <c r="F207" s="2"/>
      <c r="G207" s="2"/>
      <c r="H207" s="5"/>
      <c r="I207" s="2"/>
      <c r="J207" s="4"/>
      <c r="K207" s="5"/>
      <c r="L207" s="5"/>
      <c r="M207" s="7"/>
      <c r="N207" s="2"/>
      <c r="O207" s="4"/>
      <c r="P207" s="5"/>
      <c r="Q207" s="5"/>
      <c r="R207" s="7"/>
      <c r="S207" s="4"/>
      <c r="T207" s="4"/>
      <c r="U207" s="5"/>
      <c r="V207" s="5"/>
      <c r="W207" s="7"/>
      <c r="X207" s="4"/>
      <c r="Y207" s="4"/>
      <c r="Z207" s="5"/>
      <c r="AA207" s="5"/>
      <c r="AB207" s="7"/>
      <c r="AC207" s="4"/>
      <c r="AD207" s="5"/>
      <c r="AE207" s="4"/>
      <c r="AF207" s="5"/>
      <c r="AG207" s="4"/>
      <c r="AH207" s="5"/>
      <c r="AI207" s="4"/>
      <c r="AJ207" s="5"/>
      <c r="AK207" s="4"/>
      <c r="AL207" s="5"/>
      <c r="AM207" s="10"/>
      <c r="AN207" s="5"/>
      <c r="AO207" s="4"/>
      <c r="AP207" s="5"/>
      <c r="AQ207" s="4"/>
      <c r="AR207" s="5"/>
      <c r="AS207" s="6"/>
      <c r="AT207" s="6"/>
      <c r="AU207" s="6"/>
      <c r="AV207" s="6"/>
      <c r="AW207" s="6"/>
      <c r="AX207" s="6"/>
      <c r="AY207" s="6"/>
      <c r="AZ207" s="6"/>
      <c r="BA207" s="6"/>
      <c r="BB207" s="7"/>
      <c r="BC207" s="7"/>
      <c r="BD207" s="6"/>
      <c r="BE207" s="7"/>
      <c r="BF207" s="7"/>
      <c r="BG207" s="6"/>
      <c r="BH207" s="6"/>
      <c r="BI207" s="6"/>
      <c r="BJ207" s="6"/>
      <c r="BK207" s="6"/>
      <c r="BL207" s="6"/>
      <c r="BM207" s="6"/>
      <c r="BO207" s="14"/>
      <c r="BQ207" s="4"/>
    </row>
    <row r="208" spans="1:80" x14ac:dyDescent="0.4">
      <c r="A208" s="1"/>
      <c r="B208" s="1"/>
      <c r="C208" s="1"/>
      <c r="D208" s="4"/>
      <c r="E208" s="4"/>
      <c r="F208" s="2"/>
      <c r="G208" s="2"/>
      <c r="H208" s="5"/>
      <c r="I208" s="2"/>
      <c r="J208" s="4"/>
      <c r="K208" s="5"/>
      <c r="L208" s="5"/>
      <c r="M208" s="7"/>
      <c r="N208" s="2"/>
      <c r="O208" s="4"/>
      <c r="P208" s="5"/>
      <c r="Q208" s="5"/>
      <c r="R208" s="7"/>
      <c r="S208" s="4"/>
      <c r="T208" s="4"/>
      <c r="U208" s="5"/>
      <c r="V208" s="5"/>
      <c r="W208" s="7"/>
      <c r="X208" s="4"/>
      <c r="Y208" s="4"/>
      <c r="Z208" s="5"/>
      <c r="AA208" s="5"/>
      <c r="AB208" s="7"/>
      <c r="AC208" s="4"/>
      <c r="AD208" s="5"/>
      <c r="AE208" s="4"/>
      <c r="AF208" s="5"/>
      <c r="AG208" s="4"/>
      <c r="AH208" s="5"/>
      <c r="AI208" s="4"/>
      <c r="AJ208" s="5"/>
      <c r="AK208" s="4"/>
      <c r="AL208" s="5"/>
      <c r="AM208" s="10"/>
      <c r="AN208" s="5"/>
      <c r="AO208" s="4"/>
      <c r="AP208" s="5"/>
      <c r="AQ208" s="4"/>
      <c r="AR208" s="5"/>
      <c r="AS208" s="6"/>
      <c r="AT208" s="6"/>
      <c r="AU208" s="6"/>
      <c r="AV208" s="6"/>
      <c r="AW208" s="6"/>
      <c r="AX208" s="6"/>
      <c r="AY208" s="6"/>
      <c r="AZ208" s="6"/>
      <c r="BA208" s="6"/>
      <c r="BB208" s="7"/>
      <c r="BC208" s="7"/>
      <c r="BD208" s="6"/>
      <c r="BE208" s="7"/>
      <c r="BF208" s="7"/>
      <c r="BG208" s="6"/>
      <c r="BH208" s="6"/>
      <c r="BI208" s="6"/>
      <c r="BJ208" s="6"/>
      <c r="BK208" s="6"/>
      <c r="BL208" s="6"/>
      <c r="BM208" s="6"/>
      <c r="BO208" s="14"/>
      <c r="BQ208" s="4"/>
    </row>
    <row r="209" spans="1:69" x14ac:dyDescent="0.4">
      <c r="A209" s="1"/>
      <c r="B209" s="1"/>
      <c r="C209" s="1"/>
      <c r="D209" s="4"/>
      <c r="E209" s="4"/>
      <c r="F209" s="2"/>
      <c r="G209" s="2"/>
      <c r="H209" s="5"/>
      <c r="I209" s="2"/>
      <c r="J209" s="4"/>
      <c r="K209" s="5"/>
      <c r="L209" s="5"/>
      <c r="M209" s="7"/>
      <c r="N209" s="2"/>
      <c r="O209" s="4"/>
      <c r="P209" s="5"/>
      <c r="Q209" s="5"/>
      <c r="R209" s="7"/>
      <c r="S209" s="4"/>
      <c r="T209" s="4"/>
      <c r="U209" s="5"/>
      <c r="V209" s="5"/>
      <c r="W209" s="7"/>
      <c r="X209" s="4"/>
      <c r="Y209" s="4"/>
      <c r="Z209" s="5"/>
      <c r="AA209" s="5"/>
      <c r="AB209" s="7"/>
      <c r="AC209" s="4"/>
      <c r="AD209" s="5"/>
      <c r="AE209" s="4"/>
      <c r="AF209" s="5"/>
      <c r="AG209" s="4"/>
      <c r="AH209" s="5"/>
      <c r="AI209" s="4"/>
      <c r="AJ209" s="5"/>
      <c r="AK209" s="4"/>
      <c r="AL209" s="5"/>
      <c r="AM209" s="10"/>
      <c r="AN209" s="5"/>
      <c r="AO209" s="4"/>
      <c r="AP209" s="5"/>
      <c r="AQ209" s="4"/>
      <c r="AR209" s="5"/>
      <c r="AS209" s="6"/>
      <c r="AT209" s="6"/>
      <c r="AU209" s="6"/>
      <c r="AV209" s="6"/>
      <c r="AW209" s="6"/>
      <c r="AX209" s="6"/>
      <c r="AY209" s="6"/>
      <c r="AZ209" s="6"/>
      <c r="BA209" s="6"/>
      <c r="BB209" s="7"/>
      <c r="BC209" s="7"/>
      <c r="BD209" s="6"/>
      <c r="BE209" s="7"/>
      <c r="BF209" s="7"/>
      <c r="BG209" s="6"/>
      <c r="BH209" s="6"/>
      <c r="BI209" s="6"/>
      <c r="BJ209" s="6"/>
      <c r="BK209" s="6"/>
      <c r="BL209" s="6"/>
      <c r="BM209" s="6"/>
      <c r="BQ209" s="4"/>
    </row>
    <row r="210" spans="1:69" x14ac:dyDescent="0.4">
      <c r="A210" s="1"/>
      <c r="B210" s="1"/>
      <c r="C210" s="1"/>
      <c r="D210" s="4"/>
      <c r="E210" s="4"/>
      <c r="F210" s="2"/>
      <c r="G210" s="2"/>
      <c r="H210" s="5"/>
      <c r="I210" s="2"/>
      <c r="J210" s="4"/>
      <c r="K210" s="5"/>
      <c r="L210" s="5"/>
      <c r="M210" s="7"/>
      <c r="N210" s="2"/>
      <c r="O210" s="4"/>
      <c r="P210" s="5"/>
      <c r="Q210" s="5"/>
      <c r="R210" s="7"/>
      <c r="S210" s="4"/>
      <c r="T210" s="4"/>
      <c r="U210" s="5"/>
      <c r="V210" s="5"/>
      <c r="W210" s="7"/>
      <c r="X210" s="4"/>
      <c r="Y210" s="4"/>
      <c r="Z210" s="5"/>
      <c r="AA210" s="5"/>
      <c r="AB210" s="7"/>
      <c r="AC210" s="4"/>
      <c r="AD210" s="5"/>
      <c r="AE210" s="4"/>
      <c r="AF210" s="5"/>
      <c r="AG210" s="4"/>
      <c r="AH210" s="5"/>
      <c r="AI210" s="4"/>
      <c r="AJ210" s="5"/>
      <c r="AK210" s="4"/>
      <c r="AL210" s="5"/>
      <c r="AM210" s="10"/>
      <c r="AN210" s="5"/>
      <c r="AO210" s="4"/>
      <c r="AP210" s="5"/>
      <c r="AQ210" s="4"/>
      <c r="AR210" s="5"/>
      <c r="AS210" s="6"/>
      <c r="AT210" s="6"/>
      <c r="AU210" s="6"/>
      <c r="AV210" s="6"/>
      <c r="AW210" s="6"/>
      <c r="AX210" s="6"/>
      <c r="AY210" s="6"/>
      <c r="AZ210" s="6"/>
      <c r="BA210" s="6"/>
      <c r="BB210" s="7"/>
      <c r="BC210" s="7"/>
      <c r="BD210" s="6"/>
      <c r="BE210" s="7"/>
      <c r="BF210" s="7"/>
      <c r="BG210" s="6"/>
      <c r="BH210" s="6"/>
      <c r="BI210" s="6"/>
      <c r="BJ210" s="6"/>
      <c r="BK210" s="6"/>
      <c r="BL210" s="6"/>
      <c r="BM210" s="6"/>
      <c r="BO210" s="14"/>
      <c r="BQ210" s="4"/>
    </row>
    <row r="211" spans="1:69" x14ac:dyDescent="0.4">
      <c r="A211" s="1"/>
      <c r="B211" s="1"/>
      <c r="C211" s="1"/>
      <c r="D211" s="4"/>
      <c r="E211" s="4"/>
      <c r="F211" s="2"/>
      <c r="G211" s="2"/>
      <c r="H211" s="5"/>
      <c r="I211" s="2"/>
      <c r="J211" s="4"/>
      <c r="K211" s="5"/>
      <c r="L211" s="5"/>
      <c r="M211" s="7"/>
      <c r="N211" s="2"/>
      <c r="O211" s="4"/>
      <c r="P211" s="5"/>
      <c r="Q211" s="5"/>
      <c r="R211" s="7"/>
      <c r="S211" s="4"/>
      <c r="T211" s="4"/>
      <c r="U211" s="5"/>
      <c r="V211" s="5"/>
      <c r="W211" s="7"/>
      <c r="X211" s="4"/>
      <c r="Y211" s="4"/>
      <c r="Z211" s="5"/>
      <c r="AA211" s="5"/>
      <c r="AB211" s="7"/>
      <c r="AC211" s="4"/>
      <c r="AD211" s="5"/>
      <c r="AE211" s="4"/>
      <c r="AF211" s="5"/>
      <c r="AG211" s="4"/>
      <c r="AH211" s="5"/>
      <c r="AI211" s="4"/>
      <c r="AJ211" s="5"/>
      <c r="AK211" s="4"/>
      <c r="AL211" s="5"/>
      <c r="AM211" s="10"/>
      <c r="AN211" s="5"/>
      <c r="AO211" s="4"/>
      <c r="AP211" s="5"/>
      <c r="AQ211" s="4"/>
      <c r="AR211" s="5"/>
      <c r="AS211" s="6"/>
      <c r="AT211" s="6"/>
      <c r="AU211" s="6"/>
      <c r="AV211" s="6"/>
      <c r="AW211" s="6"/>
      <c r="AX211" s="6"/>
      <c r="AY211" s="6"/>
      <c r="AZ211" s="6"/>
      <c r="BA211" s="6"/>
      <c r="BB211" s="7"/>
      <c r="BC211" s="7"/>
      <c r="BD211" s="6"/>
      <c r="BE211" s="7"/>
      <c r="BF211" s="7"/>
      <c r="BG211" s="6"/>
      <c r="BH211" s="6"/>
      <c r="BI211" s="6"/>
      <c r="BJ211" s="6"/>
      <c r="BK211" s="6"/>
      <c r="BL211" s="6"/>
      <c r="BM211" s="6"/>
      <c r="BO211" s="14"/>
      <c r="BQ211" s="4"/>
    </row>
    <row r="212" spans="1:69" x14ac:dyDescent="0.4">
      <c r="A212" s="1"/>
      <c r="B212" s="1"/>
      <c r="C212" s="1"/>
      <c r="D212" s="4"/>
      <c r="E212" s="4"/>
      <c r="F212" s="2"/>
      <c r="G212" s="2"/>
      <c r="H212" s="5"/>
      <c r="I212" s="2"/>
      <c r="J212" s="4"/>
      <c r="K212" s="5"/>
      <c r="L212" s="5"/>
      <c r="M212" s="7"/>
      <c r="N212" s="2"/>
      <c r="O212" s="4"/>
      <c r="P212" s="5"/>
      <c r="Q212" s="5"/>
      <c r="R212" s="7"/>
      <c r="S212" s="4"/>
      <c r="T212" s="4"/>
      <c r="U212" s="5"/>
      <c r="V212" s="5"/>
      <c r="W212" s="7"/>
      <c r="X212" s="4"/>
      <c r="Y212" s="4"/>
      <c r="Z212" s="5"/>
      <c r="AA212" s="5"/>
      <c r="AB212" s="7"/>
      <c r="AC212" s="4"/>
      <c r="AD212" s="5"/>
      <c r="AE212" s="4"/>
      <c r="AF212" s="5"/>
      <c r="AG212" s="4"/>
      <c r="AH212" s="5"/>
      <c r="AI212" s="4"/>
      <c r="AJ212" s="5"/>
      <c r="AK212" s="4"/>
      <c r="AL212" s="5"/>
      <c r="AM212" s="10"/>
      <c r="AN212" s="5"/>
      <c r="AO212" s="4"/>
      <c r="AP212" s="5"/>
      <c r="AQ212" s="4"/>
      <c r="AR212" s="5"/>
      <c r="AS212" s="6"/>
      <c r="AT212" s="6"/>
      <c r="AU212" s="6"/>
      <c r="AV212" s="6"/>
      <c r="AW212" s="6"/>
      <c r="AX212" s="6"/>
      <c r="AY212" s="6"/>
      <c r="AZ212" s="6"/>
      <c r="BA212" s="6"/>
      <c r="BB212" s="7"/>
      <c r="BC212" s="7"/>
      <c r="BD212" s="6"/>
      <c r="BE212" s="7"/>
      <c r="BF212" s="7"/>
      <c r="BG212" s="6"/>
      <c r="BH212" s="6"/>
      <c r="BI212" s="6"/>
      <c r="BJ212" s="6"/>
      <c r="BK212" s="6"/>
      <c r="BL212" s="6"/>
      <c r="BM212" s="6"/>
      <c r="BO212" s="14"/>
      <c r="BQ212" s="4"/>
    </row>
    <row r="213" spans="1:69" x14ac:dyDescent="0.4">
      <c r="A213" s="1"/>
      <c r="B213" s="1"/>
      <c r="C213" s="1"/>
      <c r="D213" s="4"/>
      <c r="E213" s="4"/>
      <c r="F213" s="2"/>
      <c r="G213" s="2"/>
      <c r="H213" s="5"/>
      <c r="I213" s="2"/>
      <c r="J213" s="4"/>
      <c r="K213" s="5"/>
      <c r="L213" s="5"/>
      <c r="M213" s="7"/>
      <c r="N213" s="2"/>
      <c r="O213" s="4"/>
      <c r="P213" s="5"/>
      <c r="Q213" s="5"/>
      <c r="R213" s="7"/>
      <c r="S213" s="4"/>
      <c r="T213" s="4"/>
      <c r="U213" s="5"/>
      <c r="V213" s="5"/>
      <c r="W213" s="7"/>
      <c r="X213" s="4"/>
      <c r="Y213" s="4"/>
      <c r="Z213" s="5"/>
      <c r="AA213" s="5"/>
      <c r="AB213" s="7"/>
      <c r="AC213" s="4"/>
      <c r="AD213" s="5"/>
      <c r="AE213" s="4"/>
      <c r="AF213" s="5"/>
      <c r="AG213" s="4"/>
      <c r="AH213" s="5"/>
      <c r="AI213" s="4"/>
      <c r="AJ213" s="5"/>
      <c r="AK213" s="4"/>
      <c r="AL213" s="5"/>
      <c r="AM213" s="10"/>
      <c r="AN213" s="5"/>
      <c r="AO213" s="4"/>
      <c r="AP213" s="5"/>
      <c r="AQ213" s="4"/>
      <c r="AR213" s="5"/>
      <c r="AS213" s="6"/>
      <c r="AT213" s="6"/>
      <c r="AU213" s="6"/>
      <c r="AV213" s="6"/>
      <c r="AW213" s="6"/>
      <c r="AX213" s="6"/>
      <c r="AY213" s="6"/>
      <c r="AZ213" s="6"/>
      <c r="BA213" s="6"/>
      <c r="BB213" s="7"/>
      <c r="BC213" s="7"/>
      <c r="BD213" s="6"/>
      <c r="BE213" s="7"/>
      <c r="BF213" s="7"/>
      <c r="BG213" s="6"/>
      <c r="BH213" s="6"/>
      <c r="BI213" s="6"/>
      <c r="BJ213" s="6"/>
      <c r="BK213" s="6"/>
      <c r="BL213" s="6"/>
      <c r="BM213" s="6"/>
      <c r="BO213" s="14"/>
      <c r="BQ213" s="4"/>
    </row>
    <row r="214" spans="1:69" x14ac:dyDescent="0.4">
      <c r="A214" s="1"/>
      <c r="B214" s="1"/>
      <c r="C214" s="1"/>
      <c r="D214" s="4"/>
      <c r="E214" s="4"/>
      <c r="F214" s="2"/>
      <c r="G214" s="2"/>
      <c r="H214" s="5"/>
      <c r="I214" s="2"/>
      <c r="J214" s="4"/>
      <c r="K214" s="5"/>
      <c r="L214" s="5"/>
      <c r="M214" s="7"/>
      <c r="N214" s="2"/>
      <c r="O214" s="4"/>
      <c r="P214" s="5"/>
      <c r="Q214" s="5"/>
      <c r="R214" s="7"/>
      <c r="S214" s="4"/>
      <c r="T214" s="4"/>
      <c r="U214" s="5"/>
      <c r="V214" s="5"/>
      <c r="W214" s="7"/>
      <c r="X214" s="4"/>
      <c r="Y214" s="4"/>
      <c r="Z214" s="5"/>
      <c r="AA214" s="5"/>
      <c r="AB214" s="7"/>
      <c r="AC214" s="4"/>
      <c r="AD214" s="5"/>
      <c r="AE214" s="4"/>
      <c r="AF214" s="5"/>
      <c r="AG214" s="4"/>
      <c r="AH214" s="5"/>
      <c r="AI214" s="4"/>
      <c r="AJ214" s="5"/>
      <c r="AK214" s="4"/>
      <c r="AL214" s="5"/>
      <c r="AM214" s="10"/>
      <c r="AN214" s="5"/>
      <c r="AO214" s="4"/>
      <c r="AP214" s="5"/>
      <c r="AQ214" s="4"/>
      <c r="AR214" s="5"/>
      <c r="AS214" s="6"/>
      <c r="AT214" s="6"/>
      <c r="AU214" s="6"/>
      <c r="AV214" s="6"/>
      <c r="AW214" s="6"/>
      <c r="AX214" s="6"/>
      <c r="AY214" s="6"/>
      <c r="AZ214" s="6"/>
      <c r="BA214" s="6"/>
      <c r="BB214" s="7"/>
      <c r="BC214" s="7"/>
      <c r="BD214" s="6"/>
      <c r="BE214" s="7"/>
      <c r="BF214" s="7"/>
      <c r="BG214" s="6"/>
      <c r="BH214" s="6"/>
      <c r="BI214" s="6"/>
      <c r="BJ214" s="6"/>
      <c r="BK214" s="6"/>
      <c r="BL214" s="6"/>
      <c r="BM214" s="6"/>
      <c r="BO214" s="14"/>
      <c r="BQ214" s="4"/>
    </row>
    <row r="215" spans="1:69" x14ac:dyDescent="0.4">
      <c r="A215" s="1"/>
      <c r="B215" s="1"/>
      <c r="C215" s="1"/>
      <c r="D215" s="4"/>
      <c r="E215" s="4"/>
      <c r="F215" s="2"/>
      <c r="G215" s="2"/>
      <c r="H215" s="5"/>
      <c r="I215" s="2"/>
      <c r="J215" s="4"/>
      <c r="K215" s="5"/>
      <c r="L215" s="5"/>
      <c r="M215" s="7"/>
      <c r="N215" s="2"/>
      <c r="O215" s="4"/>
      <c r="P215" s="5"/>
      <c r="Q215" s="5"/>
      <c r="R215" s="7"/>
      <c r="S215" s="4"/>
      <c r="T215" s="4"/>
      <c r="U215" s="5"/>
      <c r="V215" s="5"/>
      <c r="W215" s="7"/>
      <c r="X215" s="4"/>
      <c r="Y215" s="4"/>
      <c r="Z215" s="5"/>
      <c r="AA215" s="5"/>
      <c r="AB215" s="7"/>
      <c r="AC215" s="4"/>
      <c r="AD215" s="5"/>
      <c r="AE215" s="4"/>
      <c r="AF215" s="5"/>
      <c r="AG215" s="4"/>
      <c r="AH215" s="5"/>
      <c r="AI215" s="4"/>
      <c r="AJ215" s="5"/>
      <c r="AK215" s="4"/>
      <c r="AL215" s="5"/>
      <c r="AM215" s="10"/>
      <c r="AN215" s="5"/>
      <c r="AO215" s="4"/>
      <c r="AP215" s="5"/>
      <c r="AQ215" s="4"/>
      <c r="AR215" s="5"/>
      <c r="AS215" s="6"/>
      <c r="AT215" s="6"/>
      <c r="AU215" s="6"/>
      <c r="AV215" s="6"/>
      <c r="AW215" s="6"/>
      <c r="AX215" s="6"/>
      <c r="AY215" s="6"/>
      <c r="AZ215" s="6"/>
      <c r="BA215" s="6"/>
      <c r="BB215" s="7"/>
      <c r="BC215" s="7"/>
      <c r="BD215" s="6"/>
      <c r="BE215" s="7"/>
      <c r="BF215" s="7"/>
      <c r="BG215" s="6"/>
      <c r="BH215" s="6"/>
      <c r="BI215" s="6"/>
      <c r="BJ215" s="6"/>
      <c r="BK215" s="6"/>
      <c r="BL215" s="6"/>
      <c r="BM215" s="6"/>
      <c r="BO215" s="14"/>
      <c r="BQ215" s="4"/>
    </row>
    <row r="216" spans="1:69" x14ac:dyDescent="0.4">
      <c r="A216" s="1"/>
      <c r="B216" s="1"/>
      <c r="C216" s="1"/>
      <c r="D216" s="4"/>
      <c r="E216" s="4"/>
      <c r="F216" s="2"/>
      <c r="G216" s="2"/>
      <c r="H216" s="5"/>
      <c r="I216" s="2"/>
      <c r="J216" s="4"/>
      <c r="K216" s="5"/>
      <c r="L216" s="5"/>
      <c r="M216" s="7"/>
      <c r="N216" s="2"/>
      <c r="O216" s="4"/>
      <c r="P216" s="5"/>
      <c r="Q216" s="5"/>
      <c r="R216" s="7"/>
      <c r="S216" s="4"/>
      <c r="T216" s="4"/>
      <c r="U216" s="5"/>
      <c r="V216" s="5"/>
      <c r="W216" s="7"/>
      <c r="X216" s="4"/>
      <c r="Y216" s="4"/>
      <c r="Z216" s="5"/>
      <c r="AA216" s="5"/>
      <c r="AB216" s="7"/>
      <c r="AC216" s="4"/>
      <c r="AD216" s="5"/>
      <c r="AE216" s="4"/>
      <c r="AF216" s="5"/>
      <c r="AG216" s="4"/>
      <c r="AH216" s="5"/>
      <c r="AI216" s="4"/>
      <c r="AJ216" s="5"/>
      <c r="AK216" s="4"/>
      <c r="AL216" s="5"/>
      <c r="AM216" s="10"/>
      <c r="AN216" s="5"/>
      <c r="AO216" s="4"/>
      <c r="AP216" s="5"/>
      <c r="AQ216" s="4"/>
      <c r="AR216" s="5"/>
      <c r="AS216" s="6"/>
      <c r="AT216" s="6"/>
      <c r="AU216" s="6"/>
      <c r="AV216" s="6"/>
      <c r="AW216" s="6"/>
      <c r="AX216" s="6"/>
      <c r="AY216" s="6"/>
      <c r="AZ216" s="6"/>
      <c r="BA216" s="6"/>
      <c r="BB216" s="7"/>
      <c r="BC216" s="7"/>
      <c r="BD216" s="6"/>
      <c r="BE216" s="7"/>
      <c r="BF216" s="7"/>
      <c r="BG216" s="6"/>
      <c r="BH216" s="6"/>
      <c r="BI216" s="6"/>
      <c r="BJ216" s="6"/>
      <c r="BK216" s="6"/>
      <c r="BL216" s="6"/>
      <c r="BM216" s="6"/>
      <c r="BO216" s="14"/>
      <c r="BQ216" s="4"/>
    </row>
    <row r="217" spans="1:69" x14ac:dyDescent="0.4">
      <c r="A217" s="1"/>
      <c r="B217" s="1"/>
      <c r="C217" s="1"/>
      <c r="D217" s="4"/>
      <c r="E217" s="4"/>
      <c r="F217" s="2"/>
      <c r="G217" s="2"/>
      <c r="H217" s="5"/>
      <c r="I217" s="2"/>
      <c r="J217" s="4"/>
      <c r="K217" s="5"/>
      <c r="L217" s="5"/>
      <c r="M217" s="7"/>
      <c r="N217" s="2"/>
      <c r="O217" s="4"/>
      <c r="P217" s="5"/>
      <c r="Q217" s="5"/>
      <c r="R217" s="7"/>
      <c r="S217" s="4"/>
      <c r="T217" s="4"/>
      <c r="U217" s="5"/>
      <c r="V217" s="5"/>
      <c r="W217" s="7"/>
      <c r="X217" s="4"/>
      <c r="Y217" s="4"/>
      <c r="Z217" s="5"/>
      <c r="AA217" s="5"/>
      <c r="AB217" s="7"/>
      <c r="AC217" s="4"/>
      <c r="AD217" s="5"/>
      <c r="AE217" s="4"/>
      <c r="AF217" s="5"/>
      <c r="AG217" s="4"/>
      <c r="AH217" s="5"/>
      <c r="AI217" s="4"/>
      <c r="AJ217" s="5"/>
      <c r="AK217" s="4"/>
      <c r="AL217" s="5"/>
      <c r="AM217" s="10"/>
      <c r="AN217" s="5"/>
      <c r="AO217" s="4"/>
      <c r="AP217" s="5"/>
      <c r="AQ217" s="4"/>
      <c r="AR217" s="5"/>
      <c r="AS217" s="6"/>
      <c r="AT217" s="6"/>
      <c r="AU217" s="6"/>
      <c r="AV217" s="6"/>
      <c r="AW217" s="6"/>
      <c r="AX217" s="6"/>
      <c r="AY217" s="6"/>
      <c r="AZ217" s="6"/>
      <c r="BA217" s="6"/>
      <c r="BB217" s="7"/>
      <c r="BC217" s="7"/>
      <c r="BD217" s="6"/>
      <c r="BE217" s="7"/>
      <c r="BF217" s="7"/>
      <c r="BG217" s="6"/>
      <c r="BH217" s="6"/>
      <c r="BI217" s="6"/>
      <c r="BJ217" s="6"/>
      <c r="BK217" s="6"/>
      <c r="BL217" s="6"/>
      <c r="BM217" s="6"/>
      <c r="BO217" s="14"/>
      <c r="BQ217" s="4"/>
    </row>
    <row r="218" spans="1:69" x14ac:dyDescent="0.4">
      <c r="A218" s="1"/>
      <c r="B218" s="1"/>
      <c r="C218" s="1"/>
      <c r="D218" s="4"/>
      <c r="E218" s="4"/>
      <c r="F218" s="2"/>
      <c r="G218" s="2"/>
      <c r="H218" s="5"/>
      <c r="I218" s="2"/>
      <c r="J218" s="4"/>
      <c r="K218" s="5"/>
      <c r="L218" s="5"/>
      <c r="M218" s="7"/>
      <c r="N218" s="2"/>
      <c r="O218" s="4"/>
      <c r="P218" s="5"/>
      <c r="Q218" s="5"/>
      <c r="R218" s="7"/>
      <c r="S218" s="4"/>
      <c r="T218" s="4"/>
      <c r="U218" s="5"/>
      <c r="V218" s="5"/>
      <c r="W218" s="7"/>
      <c r="X218" s="4"/>
      <c r="Y218" s="4"/>
      <c r="Z218" s="5"/>
      <c r="AA218" s="5"/>
      <c r="AB218" s="7"/>
      <c r="AC218" s="4"/>
      <c r="AD218" s="5"/>
      <c r="AE218" s="4"/>
      <c r="AF218" s="5"/>
      <c r="AG218" s="4"/>
      <c r="AH218" s="5"/>
      <c r="AI218" s="4"/>
      <c r="AJ218" s="5"/>
      <c r="AK218" s="4"/>
      <c r="AL218" s="5"/>
      <c r="AM218" s="10"/>
      <c r="AN218" s="5"/>
      <c r="AO218" s="4"/>
      <c r="AP218" s="5"/>
      <c r="AQ218" s="4"/>
      <c r="AR218" s="5"/>
      <c r="AS218" s="6"/>
      <c r="AT218" s="6"/>
      <c r="AU218" s="6"/>
      <c r="AV218" s="6"/>
      <c r="AW218" s="6"/>
      <c r="AX218" s="6"/>
      <c r="AY218" s="6"/>
      <c r="AZ218" s="6"/>
      <c r="BA218" s="6"/>
      <c r="BB218" s="7"/>
      <c r="BC218" s="7"/>
      <c r="BD218" s="6"/>
      <c r="BE218" s="7"/>
      <c r="BF218" s="7"/>
      <c r="BG218" s="6"/>
      <c r="BH218" s="6"/>
      <c r="BI218" s="6"/>
      <c r="BJ218" s="6"/>
      <c r="BK218" s="6"/>
      <c r="BL218" s="6"/>
      <c r="BM218" s="6"/>
      <c r="BO218" s="14"/>
      <c r="BQ218" s="4"/>
    </row>
    <row r="219" spans="1:69" x14ac:dyDescent="0.4">
      <c r="A219" s="1"/>
      <c r="B219" s="1"/>
      <c r="C219" s="1"/>
      <c r="D219" s="4"/>
      <c r="E219" s="4"/>
      <c r="F219" s="2"/>
      <c r="G219" s="2"/>
      <c r="H219" s="5"/>
      <c r="I219" s="2"/>
      <c r="J219" s="4"/>
      <c r="K219" s="5"/>
      <c r="L219" s="5"/>
      <c r="M219" s="7"/>
      <c r="N219" s="2"/>
      <c r="O219" s="4"/>
      <c r="P219" s="5"/>
      <c r="Q219" s="5"/>
      <c r="R219" s="7"/>
      <c r="S219" s="4"/>
      <c r="T219" s="4"/>
      <c r="U219" s="5"/>
      <c r="V219" s="5"/>
      <c r="W219" s="7"/>
      <c r="X219" s="4"/>
      <c r="Y219" s="4"/>
      <c r="Z219" s="5"/>
      <c r="AA219" s="5"/>
      <c r="AB219" s="7"/>
      <c r="AC219" s="4"/>
      <c r="AD219" s="5"/>
      <c r="AE219" s="4"/>
      <c r="AF219" s="5"/>
      <c r="AG219" s="4"/>
      <c r="AH219" s="5"/>
      <c r="AI219" s="4"/>
      <c r="AJ219" s="5"/>
      <c r="AK219" s="4"/>
      <c r="AL219" s="5"/>
      <c r="AM219" s="10"/>
      <c r="AN219" s="5"/>
      <c r="AO219" s="4"/>
      <c r="AP219" s="5"/>
      <c r="AQ219" s="4"/>
      <c r="AR219" s="5"/>
      <c r="AS219" s="6"/>
      <c r="AT219" s="6"/>
      <c r="AU219" s="6"/>
      <c r="AV219" s="6"/>
      <c r="AW219" s="6"/>
      <c r="AX219" s="6"/>
      <c r="AY219" s="6"/>
      <c r="AZ219" s="6"/>
      <c r="BA219" s="6"/>
      <c r="BB219" s="7"/>
      <c r="BC219" s="7"/>
      <c r="BD219" s="6"/>
      <c r="BE219" s="7"/>
      <c r="BF219" s="7"/>
      <c r="BG219" s="6"/>
      <c r="BH219" s="6"/>
      <c r="BI219" s="6"/>
      <c r="BJ219" s="6"/>
      <c r="BK219" s="6"/>
      <c r="BL219" s="6"/>
      <c r="BM219" s="6"/>
      <c r="BO219" s="14"/>
      <c r="BQ219" s="4"/>
    </row>
    <row r="220" spans="1:69" x14ac:dyDescent="0.4">
      <c r="A220" s="1"/>
      <c r="B220" s="1"/>
      <c r="C220" s="1"/>
      <c r="D220" s="4"/>
      <c r="E220" s="4"/>
      <c r="F220" s="2"/>
      <c r="G220" s="2"/>
      <c r="H220" s="5"/>
      <c r="I220" s="2"/>
      <c r="J220" s="4"/>
      <c r="K220" s="5"/>
      <c r="L220" s="5"/>
      <c r="M220" s="7"/>
      <c r="N220" s="2"/>
      <c r="O220" s="4"/>
      <c r="P220" s="5"/>
      <c r="Q220" s="5"/>
      <c r="R220" s="7"/>
      <c r="S220" s="4"/>
      <c r="T220" s="4"/>
      <c r="U220" s="5"/>
      <c r="V220" s="5"/>
      <c r="W220" s="7"/>
      <c r="X220" s="4"/>
      <c r="Y220" s="4"/>
      <c r="Z220" s="5"/>
      <c r="AA220" s="5"/>
      <c r="AB220" s="7"/>
      <c r="AC220" s="4"/>
      <c r="AD220" s="5"/>
      <c r="AE220" s="4"/>
      <c r="AF220" s="5"/>
      <c r="AG220" s="4"/>
      <c r="AH220" s="5"/>
      <c r="AI220" s="4"/>
      <c r="AJ220" s="5"/>
      <c r="AK220" s="4"/>
      <c r="AL220" s="5"/>
      <c r="AM220" s="10"/>
      <c r="AN220" s="5"/>
      <c r="AO220" s="4"/>
      <c r="AP220" s="5"/>
      <c r="AQ220" s="4"/>
      <c r="AR220" s="5"/>
      <c r="AS220" s="6"/>
      <c r="AT220" s="6"/>
      <c r="AU220" s="6"/>
      <c r="AV220" s="6"/>
      <c r="AW220" s="6"/>
      <c r="AX220" s="6"/>
      <c r="AY220" s="6"/>
      <c r="AZ220" s="6"/>
      <c r="BA220" s="6"/>
      <c r="BB220" s="7"/>
      <c r="BC220" s="7"/>
      <c r="BD220" s="6"/>
      <c r="BE220" s="7"/>
      <c r="BF220" s="7"/>
      <c r="BG220" s="6"/>
      <c r="BH220" s="6"/>
      <c r="BI220" s="6"/>
      <c r="BJ220" s="6"/>
      <c r="BK220" s="6"/>
      <c r="BL220" s="6"/>
      <c r="BM220" s="6"/>
      <c r="BO220" s="14"/>
      <c r="BQ220" s="4"/>
    </row>
    <row r="221" spans="1:69" x14ac:dyDescent="0.4">
      <c r="A221" s="1"/>
      <c r="B221" s="1"/>
      <c r="C221" s="1"/>
      <c r="D221" s="4"/>
      <c r="E221" s="4"/>
      <c r="F221" s="2"/>
      <c r="G221" s="2"/>
      <c r="H221" s="5"/>
      <c r="I221" s="2"/>
      <c r="J221" s="4"/>
      <c r="K221" s="5"/>
      <c r="L221" s="5"/>
      <c r="M221" s="7"/>
      <c r="N221" s="2"/>
      <c r="O221" s="4"/>
      <c r="P221" s="5"/>
      <c r="Q221" s="5"/>
      <c r="R221" s="7"/>
      <c r="S221" s="4"/>
      <c r="T221" s="4"/>
      <c r="U221" s="5"/>
      <c r="V221" s="5"/>
      <c r="W221" s="7"/>
      <c r="X221" s="4"/>
      <c r="Y221" s="4"/>
      <c r="Z221" s="5"/>
      <c r="AA221" s="5"/>
      <c r="AB221" s="7"/>
      <c r="AC221" s="4"/>
      <c r="AD221" s="5"/>
      <c r="AE221" s="4"/>
      <c r="AF221" s="5"/>
      <c r="AG221" s="4"/>
      <c r="AH221" s="5"/>
      <c r="AI221" s="4"/>
      <c r="AJ221" s="5"/>
      <c r="AK221" s="4"/>
      <c r="AL221" s="5"/>
      <c r="AM221" s="10"/>
      <c r="AN221" s="5"/>
      <c r="AO221" s="4"/>
      <c r="AP221" s="5"/>
      <c r="AQ221" s="4"/>
      <c r="AR221" s="5"/>
      <c r="AS221" s="6"/>
      <c r="AT221" s="6"/>
      <c r="AU221" s="6"/>
      <c r="AV221" s="6"/>
      <c r="AW221" s="6"/>
      <c r="AX221" s="6"/>
      <c r="AY221" s="6"/>
      <c r="AZ221" s="6"/>
      <c r="BA221" s="6"/>
      <c r="BB221" s="7"/>
      <c r="BC221" s="7"/>
      <c r="BD221" s="6"/>
      <c r="BE221" s="7"/>
      <c r="BF221" s="7"/>
      <c r="BG221" s="6"/>
      <c r="BH221" s="6"/>
      <c r="BI221" s="6"/>
      <c r="BJ221" s="6"/>
      <c r="BK221" s="6"/>
      <c r="BL221" s="6"/>
      <c r="BM221" s="6"/>
      <c r="BO221" s="14"/>
      <c r="BQ221" s="4"/>
    </row>
    <row r="222" spans="1:69" x14ac:dyDescent="0.4">
      <c r="A222" s="1"/>
      <c r="B222" s="1"/>
      <c r="C222" s="1"/>
      <c r="D222" s="4"/>
      <c r="E222" s="4"/>
      <c r="F222" s="2"/>
      <c r="G222" s="2"/>
      <c r="H222" s="5"/>
      <c r="I222" s="2"/>
      <c r="J222" s="4"/>
      <c r="K222" s="5"/>
      <c r="L222" s="5"/>
      <c r="M222" s="7"/>
      <c r="N222" s="2"/>
      <c r="O222" s="4"/>
      <c r="P222" s="5"/>
      <c r="Q222" s="5"/>
      <c r="R222" s="7"/>
      <c r="S222" s="4"/>
      <c r="T222" s="4"/>
      <c r="U222" s="5"/>
      <c r="V222" s="5"/>
      <c r="W222" s="7"/>
      <c r="X222" s="4"/>
      <c r="Y222" s="4"/>
      <c r="Z222" s="5"/>
      <c r="AA222" s="5"/>
      <c r="AB222" s="7"/>
      <c r="AC222" s="4"/>
      <c r="AD222" s="5"/>
      <c r="AE222" s="4"/>
      <c r="AF222" s="5"/>
      <c r="AG222" s="4"/>
      <c r="AH222" s="5"/>
      <c r="AI222" s="4"/>
      <c r="AJ222" s="5"/>
      <c r="AK222" s="4"/>
      <c r="AL222" s="5"/>
      <c r="AM222" s="10"/>
      <c r="AN222" s="5"/>
      <c r="AO222" s="4"/>
      <c r="AP222" s="5"/>
      <c r="AQ222" s="4"/>
      <c r="AR222" s="5"/>
      <c r="AS222" s="6"/>
      <c r="AT222" s="6"/>
      <c r="AU222" s="6"/>
      <c r="AV222" s="6"/>
      <c r="AW222" s="6"/>
      <c r="AX222" s="6"/>
      <c r="AY222" s="6"/>
      <c r="AZ222" s="6"/>
      <c r="BA222" s="6"/>
      <c r="BB222" s="7"/>
      <c r="BC222" s="7"/>
      <c r="BD222" s="6"/>
      <c r="BE222" s="7"/>
      <c r="BF222" s="7"/>
      <c r="BG222" s="6"/>
      <c r="BH222" s="6"/>
      <c r="BI222" s="6"/>
      <c r="BJ222" s="6"/>
      <c r="BK222" s="6"/>
      <c r="BL222" s="6"/>
      <c r="BM222" s="6"/>
      <c r="BO222" s="14"/>
      <c r="BQ222" s="4"/>
    </row>
    <row r="223" spans="1:69" x14ac:dyDescent="0.4">
      <c r="A223" s="1"/>
      <c r="B223" s="1"/>
      <c r="C223" s="1"/>
      <c r="D223" s="4"/>
      <c r="E223" s="4"/>
      <c r="F223" s="2"/>
      <c r="G223" s="2"/>
      <c r="H223" s="5"/>
      <c r="I223" s="2"/>
      <c r="J223" s="4"/>
      <c r="K223" s="5"/>
      <c r="L223" s="5"/>
      <c r="M223" s="7"/>
      <c r="N223" s="2"/>
      <c r="O223" s="4"/>
      <c r="P223" s="5"/>
      <c r="Q223" s="5"/>
      <c r="R223" s="7"/>
      <c r="S223" s="4"/>
      <c r="T223" s="4"/>
      <c r="U223" s="5"/>
      <c r="V223" s="5"/>
      <c r="W223" s="7"/>
      <c r="X223" s="4"/>
      <c r="Y223" s="4"/>
      <c r="Z223" s="5"/>
      <c r="AA223" s="5"/>
      <c r="AB223" s="7"/>
      <c r="AC223" s="4"/>
      <c r="AD223" s="5"/>
      <c r="AE223" s="4"/>
      <c r="AF223" s="5"/>
      <c r="AG223" s="4"/>
      <c r="AH223" s="5"/>
      <c r="AI223" s="4"/>
      <c r="AJ223" s="5"/>
      <c r="AK223" s="4"/>
      <c r="AL223" s="5"/>
      <c r="AM223" s="10"/>
      <c r="AN223" s="5"/>
      <c r="AO223" s="4"/>
      <c r="AP223" s="5"/>
      <c r="AQ223" s="4"/>
      <c r="AR223" s="5"/>
      <c r="AS223" s="6"/>
      <c r="AT223" s="6"/>
      <c r="AU223" s="6"/>
      <c r="AV223" s="6"/>
      <c r="AW223" s="6"/>
      <c r="AX223" s="6"/>
      <c r="AY223" s="6"/>
      <c r="AZ223" s="6"/>
      <c r="BA223" s="6"/>
      <c r="BB223" s="7"/>
      <c r="BC223" s="7"/>
      <c r="BD223" s="6"/>
      <c r="BE223" s="7"/>
      <c r="BF223" s="7"/>
      <c r="BG223" s="6"/>
      <c r="BH223" s="6"/>
      <c r="BI223" s="6"/>
      <c r="BJ223" s="6"/>
      <c r="BK223" s="6"/>
      <c r="BL223" s="6"/>
      <c r="BM223" s="6"/>
      <c r="BO223" s="14"/>
      <c r="BQ223" s="4"/>
    </row>
  </sheetData>
  <autoFilter ref="A1:BO223" xr:uid="{0255B66F-BA9D-4F4E-80F0-8D4A27B7E2E2}">
    <sortState xmlns:xlrd2="http://schemas.microsoft.com/office/spreadsheetml/2017/richdata2" ref="A2:BO223">
      <sortCondition ref="B1:B223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SIJIN LEE</dc:creator>
  <cp:lastModifiedBy>SIJIN LEE</cp:lastModifiedBy>
  <dcterms:created xsi:type="dcterms:W3CDTF">2025-04-16T21:54:38Z</dcterms:created>
  <dcterms:modified xsi:type="dcterms:W3CDTF">2026-05-17T09:20:07Z</dcterms:modified>
</cp:coreProperties>
</file>