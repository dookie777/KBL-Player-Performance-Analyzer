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2026\KBL Stats Analyzer 2026\"/>
    </mc:Choice>
  </mc:AlternateContent>
  <xr:revisionPtr revIDLastSave="0" documentId="13_ncr:1_{CDF60D93-A11F-4438-A279-6EFD75227772}" xr6:coauthVersionLast="47" xr6:coauthVersionMax="47" xr10:uidLastSave="{00000000-0000-0000-0000-000000000000}"/>
  <bookViews>
    <workbookView xWindow="-108" yWindow="-108" windowWidth="41496" windowHeight="16776" xr2:uid="{C857A6F3-DAC3-47BF-9FFB-2634F9EBE6C3}"/>
  </bookViews>
  <sheets>
    <sheet name="Sheet1" sheetId="1" r:id="rId1"/>
  </sheets>
  <definedNames>
    <definedName name="_xlnm._FilterDatabase" localSheetId="0" hidden="1">Sheet1!$A$1:$BO$209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BZ136" i="1"/>
  <c r="BY136" i="1"/>
  <c r="BX136" i="1"/>
  <c r="BW136" i="1"/>
  <c r="BV136" i="1"/>
  <c r="BU136" i="1" s="1"/>
  <c r="BZ209" i="1"/>
  <c r="BY209" i="1"/>
  <c r="BX209" i="1"/>
  <c r="BW209" i="1"/>
  <c r="BV209" i="1"/>
  <c r="BU209" i="1"/>
  <c r="BZ208" i="1"/>
  <c r="BY208" i="1"/>
  <c r="BX208" i="1"/>
  <c r="BW208" i="1"/>
  <c r="BV208" i="1"/>
  <c r="BU208" i="1"/>
  <c r="BZ207" i="1"/>
  <c r="BY207" i="1"/>
  <c r="BX207" i="1"/>
  <c r="BW207" i="1"/>
  <c r="BV207" i="1"/>
  <c r="BU207" i="1"/>
  <c r="BZ206" i="1"/>
  <c r="BY206" i="1"/>
  <c r="BX206" i="1"/>
  <c r="BW206" i="1"/>
  <c r="BV206" i="1"/>
  <c r="BU206" i="1"/>
  <c r="BZ205" i="1"/>
  <c r="BY205" i="1"/>
  <c r="BX205" i="1"/>
  <c r="BW205" i="1"/>
  <c r="BV205" i="1"/>
  <c r="BU205" i="1"/>
  <c r="BZ204" i="1"/>
  <c r="BY204" i="1"/>
  <c r="BX204" i="1"/>
  <c r="BW204" i="1"/>
  <c r="BV204" i="1"/>
  <c r="BU204" i="1"/>
  <c r="BZ203" i="1"/>
  <c r="BY203" i="1"/>
  <c r="BX203" i="1"/>
  <c r="BW203" i="1"/>
  <c r="BV203" i="1"/>
  <c r="BU203" i="1" s="1"/>
  <c r="BZ202" i="1"/>
  <c r="BY202" i="1"/>
  <c r="BX202" i="1" s="1"/>
  <c r="BW202" i="1"/>
  <c r="BV202" i="1"/>
  <c r="BU202" i="1" s="1"/>
  <c r="BZ201" i="1"/>
  <c r="BY201" i="1"/>
  <c r="BX201" i="1" s="1"/>
  <c r="BW201" i="1"/>
  <c r="BV201" i="1"/>
  <c r="BU201" i="1"/>
  <c r="BZ200" i="1"/>
  <c r="BY200" i="1"/>
  <c r="BX200" i="1"/>
  <c r="BW200" i="1"/>
  <c r="BV200" i="1"/>
  <c r="BU200" i="1"/>
  <c r="BZ199" i="1"/>
  <c r="BY199" i="1"/>
  <c r="BX199" i="1"/>
  <c r="BW199" i="1"/>
  <c r="BV199" i="1"/>
  <c r="BU199" i="1" s="1"/>
  <c r="BZ198" i="1"/>
  <c r="BY198" i="1"/>
  <c r="BX198" i="1"/>
  <c r="BW198" i="1"/>
  <c r="BV198" i="1"/>
  <c r="BU198" i="1" s="1"/>
  <c r="BZ197" i="1"/>
  <c r="BY197" i="1"/>
  <c r="BX197" i="1" s="1"/>
  <c r="BW197" i="1"/>
  <c r="BV197" i="1"/>
  <c r="BU197" i="1"/>
  <c r="BZ196" i="1"/>
  <c r="BY196" i="1"/>
  <c r="BX196" i="1" s="1"/>
  <c r="BW196" i="1"/>
  <c r="BV196" i="1"/>
  <c r="BU196" i="1"/>
  <c r="BZ195" i="1"/>
  <c r="BY195" i="1"/>
  <c r="BX195" i="1"/>
  <c r="BW195" i="1"/>
  <c r="BV195" i="1"/>
  <c r="BU195" i="1" s="1"/>
  <c r="BZ194" i="1"/>
  <c r="BY194" i="1"/>
  <c r="BX194" i="1" s="1"/>
  <c r="BW194" i="1"/>
  <c r="BV194" i="1"/>
  <c r="BZ193" i="1"/>
  <c r="BY193" i="1"/>
  <c r="BX193" i="1" s="1"/>
  <c r="BW193" i="1"/>
  <c r="BV193" i="1"/>
  <c r="BU193" i="1"/>
  <c r="BZ192" i="1"/>
  <c r="BY192" i="1"/>
  <c r="BX192" i="1" s="1"/>
  <c r="BW192" i="1"/>
  <c r="BV192" i="1"/>
  <c r="BZ191" i="1"/>
  <c r="BY191" i="1"/>
  <c r="BW191" i="1"/>
  <c r="BV191" i="1"/>
  <c r="BU191" i="1" s="1"/>
  <c r="BZ190" i="1"/>
  <c r="BY190" i="1"/>
  <c r="BW190" i="1"/>
  <c r="BV190" i="1"/>
  <c r="BU190" i="1" s="1"/>
  <c r="BZ189" i="1"/>
  <c r="BY189" i="1"/>
  <c r="BX189" i="1" s="1"/>
  <c r="BW189" i="1"/>
  <c r="BV189" i="1"/>
  <c r="BU189" i="1" s="1"/>
  <c r="BZ188" i="1"/>
  <c r="BY188" i="1"/>
  <c r="BX188" i="1" s="1"/>
  <c r="BW188" i="1"/>
  <c r="BV188" i="1"/>
  <c r="BU188" i="1" s="1"/>
  <c r="BZ187" i="1"/>
  <c r="BY187" i="1"/>
  <c r="BX187" i="1" s="1"/>
  <c r="BW187" i="1"/>
  <c r="BV187" i="1"/>
  <c r="BU187" i="1" s="1"/>
  <c r="BZ186" i="1"/>
  <c r="BY186" i="1"/>
  <c r="BW186" i="1"/>
  <c r="BV186" i="1"/>
  <c r="BU186" i="1" s="1"/>
  <c r="BZ185" i="1"/>
  <c r="BY185" i="1"/>
  <c r="BX185" i="1"/>
  <c r="BW185" i="1"/>
  <c r="BV185" i="1"/>
  <c r="BU185" i="1" s="1"/>
  <c r="BZ184" i="1"/>
  <c r="BY184" i="1"/>
  <c r="BX184" i="1" s="1"/>
  <c r="BW184" i="1"/>
  <c r="BV184" i="1"/>
  <c r="BZ183" i="1"/>
  <c r="BY183" i="1"/>
  <c r="BX183" i="1" s="1"/>
  <c r="BW183" i="1"/>
  <c r="BV183" i="1"/>
  <c r="BU183" i="1" s="1"/>
  <c r="BZ182" i="1"/>
  <c r="BY182" i="1"/>
  <c r="BW182" i="1"/>
  <c r="BV182" i="1"/>
  <c r="BU182" i="1"/>
  <c r="BZ181" i="1"/>
  <c r="BY181" i="1"/>
  <c r="BX181" i="1" s="1"/>
  <c r="BW181" i="1"/>
  <c r="BV181" i="1"/>
  <c r="BU181" i="1" s="1"/>
  <c r="BZ180" i="1"/>
  <c r="BY180" i="1"/>
  <c r="BX180" i="1" s="1"/>
  <c r="BW180" i="1"/>
  <c r="BV180" i="1"/>
  <c r="BU180" i="1"/>
  <c r="BZ179" i="1"/>
  <c r="BY179" i="1"/>
  <c r="BX179" i="1" s="1"/>
  <c r="BW179" i="1"/>
  <c r="BV179" i="1"/>
  <c r="BU179" i="1" s="1"/>
  <c r="BZ178" i="1"/>
  <c r="BY178" i="1"/>
  <c r="BX178" i="1" s="1"/>
  <c r="BW178" i="1"/>
  <c r="BV178" i="1"/>
  <c r="BU178" i="1" s="1"/>
  <c r="BZ177" i="1"/>
  <c r="BY177" i="1"/>
  <c r="BW177" i="1"/>
  <c r="BV177" i="1"/>
  <c r="BZ176" i="1"/>
  <c r="BY176" i="1"/>
  <c r="BW176" i="1"/>
  <c r="BV176" i="1"/>
  <c r="BU176" i="1" s="1"/>
  <c r="BZ175" i="1"/>
  <c r="BY175" i="1"/>
  <c r="BX175" i="1" s="1"/>
  <c r="BW175" i="1"/>
  <c r="BV175" i="1"/>
  <c r="BU175" i="1"/>
  <c r="BZ174" i="1"/>
  <c r="BY174" i="1"/>
  <c r="BX174" i="1" s="1"/>
  <c r="BW174" i="1"/>
  <c r="BV174" i="1"/>
  <c r="BZ173" i="1"/>
  <c r="BY173" i="1"/>
  <c r="BW173" i="1"/>
  <c r="BV173" i="1"/>
  <c r="BU173" i="1" s="1"/>
  <c r="BZ172" i="1"/>
  <c r="BY172" i="1"/>
  <c r="BX172" i="1" s="1"/>
  <c r="BW172" i="1"/>
  <c r="BV172" i="1"/>
  <c r="BZ171" i="1"/>
  <c r="BY171" i="1"/>
  <c r="BX171" i="1" s="1"/>
  <c r="BW171" i="1"/>
  <c r="BV171" i="1"/>
  <c r="BZ170" i="1"/>
  <c r="BY170" i="1"/>
  <c r="BW170" i="1"/>
  <c r="BV170" i="1"/>
  <c r="BZ169" i="1"/>
  <c r="BY169" i="1"/>
  <c r="BW169" i="1"/>
  <c r="BV169" i="1"/>
  <c r="BZ168" i="1"/>
  <c r="BY168" i="1"/>
  <c r="BX168" i="1" s="1"/>
  <c r="BW168" i="1"/>
  <c r="BV168" i="1"/>
  <c r="BZ167" i="1"/>
  <c r="BY167" i="1"/>
  <c r="BX167" i="1" s="1"/>
  <c r="BW167" i="1"/>
  <c r="BV167" i="1"/>
  <c r="BZ166" i="1"/>
  <c r="BY166" i="1"/>
  <c r="BX166" i="1" s="1"/>
  <c r="BW166" i="1"/>
  <c r="BV166" i="1"/>
  <c r="BU166" i="1" s="1"/>
  <c r="BZ165" i="1"/>
  <c r="BY165" i="1"/>
  <c r="BW165" i="1"/>
  <c r="BV165" i="1"/>
  <c r="BZ164" i="1"/>
  <c r="BY164" i="1"/>
  <c r="BX164" i="1" s="1"/>
  <c r="BW164" i="1"/>
  <c r="BV164" i="1"/>
  <c r="BU164" i="1"/>
  <c r="BZ163" i="1"/>
  <c r="BY163" i="1"/>
  <c r="BX163" i="1" s="1"/>
  <c r="BW163" i="1"/>
  <c r="BV163" i="1"/>
  <c r="BU163" i="1" s="1"/>
  <c r="BZ162" i="1"/>
  <c r="BY162" i="1"/>
  <c r="BX162" i="1" s="1"/>
  <c r="BW162" i="1"/>
  <c r="BV162" i="1"/>
  <c r="BU162" i="1" s="1"/>
  <c r="BZ161" i="1"/>
  <c r="BY161" i="1"/>
  <c r="BW161" i="1"/>
  <c r="BV161" i="1"/>
  <c r="BU161" i="1" s="1"/>
  <c r="BZ160" i="1"/>
  <c r="BY160" i="1"/>
  <c r="BX160" i="1" s="1"/>
  <c r="BW160" i="1"/>
  <c r="BV160" i="1"/>
  <c r="BZ159" i="1"/>
  <c r="BY159" i="1"/>
  <c r="BW159" i="1"/>
  <c r="BV159" i="1"/>
  <c r="BZ158" i="1"/>
  <c r="BY158" i="1"/>
  <c r="BX158" i="1" s="1"/>
  <c r="BW158" i="1"/>
  <c r="BV158" i="1"/>
  <c r="BU158" i="1" s="1"/>
  <c r="BZ157" i="1"/>
  <c r="BY157" i="1"/>
  <c r="BX157" i="1" s="1"/>
  <c r="BW157" i="1"/>
  <c r="BV157" i="1"/>
  <c r="BU157" i="1" s="1"/>
  <c r="BZ156" i="1"/>
  <c r="BY156" i="1"/>
  <c r="BX156" i="1" s="1"/>
  <c r="BW156" i="1"/>
  <c r="BV156" i="1"/>
  <c r="BU156" i="1" s="1"/>
  <c r="BZ155" i="1"/>
  <c r="BY155" i="1"/>
  <c r="BX155" i="1" s="1"/>
  <c r="BW155" i="1"/>
  <c r="BV155" i="1"/>
  <c r="BZ154" i="1"/>
  <c r="BY154" i="1"/>
  <c r="BX154" i="1" s="1"/>
  <c r="BW154" i="1"/>
  <c r="BV154" i="1"/>
  <c r="BU154" i="1" s="1"/>
  <c r="BZ153" i="1"/>
  <c r="BY153" i="1"/>
  <c r="BX153" i="1" s="1"/>
  <c r="BW153" i="1"/>
  <c r="BV153" i="1"/>
  <c r="BU153" i="1"/>
  <c r="BZ152" i="1"/>
  <c r="BY152" i="1"/>
  <c r="BX152" i="1" s="1"/>
  <c r="BW152" i="1"/>
  <c r="BV152" i="1"/>
  <c r="BU152" i="1" s="1"/>
  <c r="BZ151" i="1"/>
  <c r="BY151" i="1"/>
  <c r="BX151" i="1" s="1"/>
  <c r="BW151" i="1"/>
  <c r="BV151" i="1"/>
  <c r="BU151" i="1" s="1"/>
  <c r="BZ150" i="1"/>
  <c r="BY150" i="1"/>
  <c r="BX150" i="1" s="1"/>
  <c r="BW150" i="1"/>
  <c r="BV150" i="1"/>
  <c r="BU150" i="1" s="1"/>
  <c r="BZ148" i="1"/>
  <c r="BY148" i="1"/>
  <c r="BX148" i="1" s="1"/>
  <c r="BW148" i="1"/>
  <c r="BV148" i="1"/>
  <c r="BU148" i="1" s="1"/>
  <c r="BZ147" i="1"/>
  <c r="BY147" i="1"/>
  <c r="BX147" i="1" s="1"/>
  <c r="BW147" i="1"/>
  <c r="BV147" i="1"/>
  <c r="BZ146" i="1"/>
  <c r="BY146" i="1"/>
  <c r="BW146" i="1"/>
  <c r="BV146" i="1"/>
  <c r="BU146" i="1" s="1"/>
  <c r="BZ145" i="1"/>
  <c r="BY145" i="1"/>
  <c r="BX145" i="1" s="1"/>
  <c r="BW145" i="1"/>
  <c r="BV145" i="1"/>
  <c r="BU145" i="1" s="1"/>
  <c r="BZ144" i="1"/>
  <c r="BY144" i="1"/>
  <c r="BX144" i="1" s="1"/>
  <c r="BW144" i="1"/>
  <c r="BV144" i="1"/>
  <c r="BU144" i="1" s="1"/>
  <c r="BZ143" i="1"/>
  <c r="BY143" i="1"/>
  <c r="BX143" i="1" s="1"/>
  <c r="BW143" i="1"/>
  <c r="BV143" i="1"/>
  <c r="BU143" i="1" s="1"/>
  <c r="BZ142" i="1"/>
  <c r="BY142" i="1"/>
  <c r="BX142" i="1" s="1"/>
  <c r="BW142" i="1"/>
  <c r="BV142" i="1"/>
  <c r="BZ141" i="1"/>
  <c r="BY141" i="1"/>
  <c r="BX141" i="1" s="1"/>
  <c r="BW141" i="1"/>
  <c r="BV141" i="1"/>
  <c r="BU141" i="1" s="1"/>
  <c r="BZ140" i="1"/>
  <c r="BY140" i="1"/>
  <c r="BX140" i="1" s="1"/>
  <c r="BW140" i="1"/>
  <c r="BV140" i="1"/>
  <c r="BZ139" i="1"/>
  <c r="BY139" i="1"/>
  <c r="BX139" i="1" s="1"/>
  <c r="BW139" i="1"/>
  <c r="BV139" i="1"/>
  <c r="BU139" i="1" s="1"/>
  <c r="BZ138" i="1"/>
  <c r="BY138" i="1"/>
  <c r="BX138" i="1" s="1"/>
  <c r="BW138" i="1"/>
  <c r="BV138" i="1"/>
  <c r="BU138" i="1" s="1"/>
  <c r="BZ137" i="1"/>
  <c r="BY137" i="1"/>
  <c r="BX137" i="1" s="1"/>
  <c r="BW137" i="1"/>
  <c r="BV137" i="1"/>
  <c r="BU137" i="1" s="1"/>
  <c r="BZ134" i="1"/>
  <c r="BY134" i="1"/>
  <c r="BX134" i="1" s="1"/>
  <c r="BW134" i="1"/>
  <c r="BV134" i="1"/>
  <c r="BU134" i="1" s="1"/>
  <c r="BZ133" i="1"/>
  <c r="BY133" i="1"/>
  <c r="BX133" i="1" s="1"/>
  <c r="BW133" i="1"/>
  <c r="BV133" i="1"/>
  <c r="BU133" i="1" s="1"/>
  <c r="BZ132" i="1"/>
  <c r="BY132" i="1"/>
  <c r="BX132" i="1" s="1"/>
  <c r="BW132" i="1"/>
  <c r="BV132" i="1"/>
  <c r="BU132" i="1" s="1"/>
  <c r="BZ131" i="1"/>
  <c r="BY131" i="1"/>
  <c r="BX131" i="1" s="1"/>
  <c r="BW131" i="1"/>
  <c r="BV131" i="1"/>
  <c r="BZ130" i="1"/>
  <c r="BY130" i="1"/>
  <c r="BX130" i="1" s="1"/>
  <c r="BW130" i="1"/>
  <c r="BV130" i="1"/>
  <c r="BU130" i="1" s="1"/>
  <c r="BZ129" i="1"/>
  <c r="BY129" i="1"/>
  <c r="BX129" i="1" s="1"/>
  <c r="BW129" i="1"/>
  <c r="BV129" i="1"/>
  <c r="BU129" i="1" s="1"/>
  <c r="BZ128" i="1"/>
  <c r="BY128" i="1"/>
  <c r="BX128" i="1" s="1"/>
  <c r="BW128" i="1"/>
  <c r="BV128" i="1"/>
  <c r="BU128" i="1" s="1"/>
  <c r="BZ127" i="1"/>
  <c r="BY127" i="1"/>
  <c r="BX127" i="1" s="1"/>
  <c r="BW127" i="1"/>
  <c r="BV127" i="1"/>
  <c r="BU127" i="1" s="1"/>
  <c r="BZ126" i="1"/>
  <c r="BY126" i="1"/>
  <c r="BX126" i="1" s="1"/>
  <c r="BW126" i="1"/>
  <c r="BV126" i="1"/>
  <c r="BU126" i="1" s="1"/>
  <c r="BZ125" i="1"/>
  <c r="BY125" i="1"/>
  <c r="BX125" i="1" s="1"/>
  <c r="BW125" i="1"/>
  <c r="BV125" i="1"/>
  <c r="BU125" i="1" s="1"/>
  <c r="BZ124" i="1"/>
  <c r="BY124" i="1"/>
  <c r="BX124" i="1" s="1"/>
  <c r="BW124" i="1"/>
  <c r="BV124" i="1"/>
  <c r="BZ123" i="1"/>
  <c r="BY123" i="1"/>
  <c r="BX123" i="1" s="1"/>
  <c r="BW123" i="1"/>
  <c r="BV123" i="1"/>
  <c r="BU123" i="1" s="1"/>
  <c r="BZ122" i="1"/>
  <c r="BY122" i="1"/>
  <c r="BX122" i="1" s="1"/>
  <c r="BW122" i="1"/>
  <c r="BV122" i="1"/>
  <c r="BU122" i="1"/>
  <c r="BZ121" i="1"/>
  <c r="BY121" i="1"/>
  <c r="BX121" i="1" s="1"/>
  <c r="BW121" i="1"/>
  <c r="BV121" i="1"/>
  <c r="BU121" i="1"/>
  <c r="BZ120" i="1"/>
  <c r="BY120" i="1"/>
  <c r="BX120" i="1" s="1"/>
  <c r="BW120" i="1"/>
  <c r="BV120" i="1"/>
  <c r="BU120" i="1" s="1"/>
  <c r="BZ119" i="1"/>
  <c r="BY119" i="1"/>
  <c r="BX119" i="1" s="1"/>
  <c r="BW119" i="1"/>
  <c r="BV119" i="1"/>
  <c r="BU119" i="1" s="1"/>
  <c r="BZ118" i="1"/>
  <c r="BY118" i="1"/>
  <c r="BW118" i="1"/>
  <c r="BV118" i="1"/>
  <c r="BU118" i="1" s="1"/>
  <c r="BZ117" i="1"/>
  <c r="BY117" i="1"/>
  <c r="BX117" i="1" s="1"/>
  <c r="BW117" i="1"/>
  <c r="BV117" i="1"/>
  <c r="BU117" i="1" s="1"/>
  <c r="BZ116" i="1"/>
  <c r="BY116" i="1"/>
  <c r="BX116" i="1" s="1"/>
  <c r="BW116" i="1"/>
  <c r="BV116" i="1"/>
  <c r="BU116" i="1" s="1"/>
  <c r="BZ115" i="1"/>
  <c r="BY115" i="1"/>
  <c r="BX115" i="1" s="1"/>
  <c r="BW115" i="1"/>
  <c r="BV115" i="1"/>
  <c r="BU115" i="1" s="1"/>
  <c r="BZ114" i="1"/>
  <c r="BY114" i="1"/>
  <c r="BX114" i="1" s="1"/>
  <c r="BW114" i="1"/>
  <c r="BV114" i="1"/>
  <c r="BU114" i="1" s="1"/>
  <c r="BZ113" i="1"/>
  <c r="BY113" i="1"/>
  <c r="BX113" i="1" s="1"/>
  <c r="BW113" i="1"/>
  <c r="BV113" i="1"/>
  <c r="BU113" i="1" s="1"/>
  <c r="BZ112" i="1"/>
  <c r="BY112" i="1"/>
  <c r="BX112" i="1" s="1"/>
  <c r="BW112" i="1"/>
  <c r="BV112" i="1"/>
  <c r="BZ111" i="1"/>
  <c r="BY111" i="1"/>
  <c r="BX111" i="1" s="1"/>
  <c r="BW111" i="1"/>
  <c r="BV111" i="1"/>
  <c r="BU111" i="1" s="1"/>
  <c r="BZ110" i="1"/>
  <c r="BY110" i="1"/>
  <c r="BX110" i="1" s="1"/>
  <c r="BW110" i="1"/>
  <c r="BV110" i="1"/>
  <c r="BU110" i="1" s="1"/>
  <c r="BZ108" i="1"/>
  <c r="BY108" i="1"/>
  <c r="BW108" i="1"/>
  <c r="BV108" i="1"/>
  <c r="BU108" i="1" s="1"/>
  <c r="BZ107" i="1"/>
  <c r="BY107" i="1"/>
  <c r="BX107" i="1" s="1"/>
  <c r="BW107" i="1"/>
  <c r="BV107" i="1"/>
  <c r="BZ106" i="1"/>
  <c r="BY106" i="1"/>
  <c r="BX106" i="1" s="1"/>
  <c r="BW106" i="1"/>
  <c r="BV106" i="1"/>
  <c r="BU106" i="1" s="1"/>
  <c r="BZ105" i="1"/>
  <c r="BY105" i="1"/>
  <c r="BX105" i="1" s="1"/>
  <c r="BW105" i="1"/>
  <c r="BV105" i="1"/>
  <c r="BU105" i="1" s="1"/>
  <c r="BZ104" i="1"/>
  <c r="BY104" i="1"/>
  <c r="BX104" i="1" s="1"/>
  <c r="BW104" i="1"/>
  <c r="BV104" i="1"/>
  <c r="BU104" i="1" s="1"/>
  <c r="BZ103" i="1"/>
  <c r="BY103" i="1"/>
  <c r="BX103" i="1" s="1"/>
  <c r="BW103" i="1"/>
  <c r="BV103" i="1"/>
  <c r="BZ102" i="1"/>
  <c r="BY102" i="1"/>
  <c r="BX102" i="1" s="1"/>
  <c r="BW102" i="1"/>
  <c r="BV102" i="1"/>
  <c r="BU102" i="1" s="1"/>
  <c r="BZ101" i="1"/>
  <c r="BY101" i="1"/>
  <c r="BX101" i="1" s="1"/>
  <c r="BW101" i="1"/>
  <c r="BV101" i="1"/>
  <c r="BZ100" i="1"/>
  <c r="BY100" i="1"/>
  <c r="BX100" i="1" s="1"/>
  <c r="BW100" i="1"/>
  <c r="BV100" i="1"/>
  <c r="BU100" i="1" s="1"/>
  <c r="BZ99" i="1"/>
  <c r="BY99" i="1"/>
  <c r="BX99" i="1" s="1"/>
  <c r="BW99" i="1"/>
  <c r="BV99" i="1"/>
  <c r="BU99" i="1" s="1"/>
  <c r="BZ98" i="1"/>
  <c r="BY98" i="1"/>
  <c r="BX98" i="1" s="1"/>
  <c r="BW98" i="1"/>
  <c r="BV98" i="1"/>
  <c r="BU98" i="1" s="1"/>
  <c r="BZ97" i="1"/>
  <c r="BY97" i="1"/>
  <c r="BX97" i="1" s="1"/>
  <c r="BW97" i="1"/>
  <c r="BV97" i="1"/>
  <c r="BU97" i="1" s="1"/>
  <c r="BZ95" i="1"/>
  <c r="BY95" i="1"/>
  <c r="BW95" i="1"/>
  <c r="BV95" i="1"/>
  <c r="BU95" i="1" s="1"/>
  <c r="BZ94" i="1"/>
  <c r="BY94" i="1"/>
  <c r="BX94" i="1" s="1"/>
  <c r="BW94" i="1"/>
  <c r="BV94" i="1"/>
  <c r="BU94" i="1" s="1"/>
  <c r="BZ93" i="1"/>
  <c r="BY93" i="1"/>
  <c r="BX93" i="1" s="1"/>
  <c r="BW93" i="1"/>
  <c r="BV93" i="1"/>
  <c r="BU93" i="1" s="1"/>
  <c r="BZ92" i="1"/>
  <c r="BY92" i="1"/>
  <c r="BX92" i="1" s="1"/>
  <c r="BW92" i="1"/>
  <c r="BV92" i="1"/>
  <c r="BZ91" i="1"/>
  <c r="BY91" i="1"/>
  <c r="BX91" i="1" s="1"/>
  <c r="BW91" i="1"/>
  <c r="BV91" i="1"/>
  <c r="BU91" i="1" s="1"/>
  <c r="BZ90" i="1"/>
  <c r="BY90" i="1"/>
  <c r="BX90" i="1" s="1"/>
  <c r="BW90" i="1"/>
  <c r="BV90" i="1"/>
  <c r="BU90" i="1" s="1"/>
  <c r="BZ89" i="1"/>
  <c r="BY89" i="1"/>
  <c r="BW89" i="1"/>
  <c r="BV89" i="1"/>
  <c r="BU89" i="1" s="1"/>
  <c r="BZ87" i="1"/>
  <c r="BY87" i="1"/>
  <c r="BX87" i="1" s="1"/>
  <c r="BW87" i="1"/>
  <c r="BV87" i="1"/>
  <c r="BZ86" i="1"/>
  <c r="BY86" i="1"/>
  <c r="BX86" i="1" s="1"/>
  <c r="BW86" i="1"/>
  <c r="BV86" i="1"/>
  <c r="BU86" i="1" s="1"/>
  <c r="BZ85" i="1"/>
  <c r="BY85" i="1"/>
  <c r="BX85" i="1" s="1"/>
  <c r="BW85" i="1"/>
  <c r="BV85" i="1"/>
  <c r="BU85" i="1" s="1"/>
  <c r="BZ84" i="1"/>
  <c r="BY84" i="1"/>
  <c r="BW84" i="1"/>
  <c r="BV84" i="1"/>
  <c r="BU84" i="1" s="1"/>
  <c r="BZ83" i="1"/>
  <c r="BY83" i="1"/>
  <c r="BX83" i="1" s="1"/>
  <c r="BW83" i="1"/>
  <c r="BV83" i="1"/>
  <c r="BU83" i="1" s="1"/>
  <c r="BZ82" i="1"/>
  <c r="BY82" i="1"/>
  <c r="BX82" i="1" s="1"/>
  <c r="BW82" i="1"/>
  <c r="BV82" i="1"/>
  <c r="BU82" i="1" s="1"/>
  <c r="BZ81" i="1"/>
  <c r="BY81" i="1"/>
  <c r="BX81" i="1" s="1"/>
  <c r="BW81" i="1"/>
  <c r="BV81" i="1"/>
  <c r="BU81" i="1" s="1"/>
  <c r="BZ80" i="1"/>
  <c r="BY80" i="1"/>
  <c r="BX80" i="1" s="1"/>
  <c r="BW80" i="1"/>
  <c r="BV80" i="1"/>
  <c r="BU80" i="1" s="1"/>
  <c r="BZ79" i="1"/>
  <c r="BY79" i="1"/>
  <c r="BW79" i="1"/>
  <c r="BV79" i="1"/>
  <c r="BU79" i="1" s="1"/>
  <c r="BZ78" i="1"/>
  <c r="BY78" i="1"/>
  <c r="BX78" i="1" s="1"/>
  <c r="BW78" i="1"/>
  <c r="BV78" i="1"/>
  <c r="BU78" i="1" s="1"/>
  <c r="BZ77" i="1"/>
  <c r="BY77" i="1"/>
  <c r="BX77" i="1" s="1"/>
  <c r="BW77" i="1"/>
  <c r="BV77" i="1"/>
  <c r="BZ76" i="1"/>
  <c r="BY76" i="1"/>
  <c r="BX76" i="1" s="1"/>
  <c r="BW76" i="1"/>
  <c r="BV76" i="1"/>
  <c r="BU76" i="1" s="1"/>
  <c r="BZ74" i="1"/>
  <c r="BY74" i="1"/>
  <c r="BX74" i="1" s="1"/>
  <c r="BW74" i="1"/>
  <c r="BV74" i="1"/>
  <c r="BU74" i="1" s="1"/>
  <c r="BZ73" i="1"/>
  <c r="BY73" i="1"/>
  <c r="BX73" i="1" s="1"/>
  <c r="BW73" i="1"/>
  <c r="BV73" i="1"/>
  <c r="BU73" i="1" s="1"/>
  <c r="BZ72" i="1"/>
  <c r="BY72" i="1"/>
  <c r="BX72" i="1"/>
  <c r="BW72" i="1"/>
  <c r="BV72" i="1"/>
  <c r="BU72" i="1" s="1"/>
  <c r="BZ71" i="1"/>
  <c r="BY71" i="1"/>
  <c r="BX71" i="1" s="1"/>
  <c r="BW71" i="1"/>
  <c r="BV71" i="1"/>
  <c r="BU71" i="1" s="1"/>
  <c r="BZ70" i="1"/>
  <c r="BY70" i="1"/>
  <c r="BW70" i="1"/>
  <c r="BV70" i="1"/>
  <c r="BU70" i="1" s="1"/>
  <c r="BZ69" i="1"/>
  <c r="BY69" i="1"/>
  <c r="BX69" i="1" s="1"/>
  <c r="BW69" i="1"/>
  <c r="BV69" i="1"/>
  <c r="BU69" i="1" s="1"/>
  <c r="BZ68" i="1"/>
  <c r="BY68" i="1"/>
  <c r="BW68" i="1"/>
  <c r="BV68" i="1"/>
  <c r="BZ67" i="1"/>
  <c r="BY67" i="1"/>
  <c r="BX67" i="1" s="1"/>
  <c r="BW67" i="1"/>
  <c r="BV67" i="1"/>
  <c r="BU67" i="1" s="1"/>
  <c r="BZ66" i="1"/>
  <c r="BY66" i="1"/>
  <c r="BX66" i="1" s="1"/>
  <c r="BW66" i="1"/>
  <c r="BV66" i="1"/>
  <c r="BU66" i="1" s="1"/>
  <c r="BZ65" i="1"/>
  <c r="BY65" i="1"/>
  <c r="BX65" i="1" s="1"/>
  <c r="BW65" i="1"/>
  <c r="BV65" i="1"/>
  <c r="BU65" i="1"/>
  <c r="BZ64" i="1"/>
  <c r="BY64" i="1"/>
  <c r="BX64" i="1" s="1"/>
  <c r="BW64" i="1"/>
  <c r="BV64" i="1"/>
  <c r="BU64" i="1" s="1"/>
  <c r="BZ63" i="1"/>
  <c r="BY63" i="1"/>
  <c r="BX63" i="1" s="1"/>
  <c r="BW63" i="1"/>
  <c r="BV63" i="1"/>
  <c r="BU63" i="1" s="1"/>
  <c r="BZ62" i="1"/>
  <c r="BY62" i="1"/>
  <c r="BX62" i="1" s="1"/>
  <c r="BW62" i="1"/>
  <c r="BV62" i="1"/>
  <c r="BU62" i="1" s="1"/>
  <c r="BZ61" i="1"/>
  <c r="BY61" i="1"/>
  <c r="BX61" i="1" s="1"/>
  <c r="BW61" i="1"/>
  <c r="BV61" i="1"/>
  <c r="BU61" i="1" s="1"/>
  <c r="BZ60" i="1"/>
  <c r="BY60" i="1"/>
  <c r="BX60" i="1" s="1"/>
  <c r="BW60" i="1"/>
  <c r="BV60" i="1"/>
  <c r="BU60" i="1" s="1"/>
  <c r="BZ59" i="1"/>
  <c r="BY59" i="1"/>
  <c r="BX59" i="1" s="1"/>
  <c r="BW59" i="1"/>
  <c r="BV59" i="1"/>
  <c r="BU59" i="1" s="1"/>
  <c r="BZ58" i="1"/>
  <c r="BY58" i="1"/>
  <c r="BX58" i="1" s="1"/>
  <c r="BW58" i="1"/>
  <c r="BV58" i="1"/>
  <c r="BU58" i="1" s="1"/>
  <c r="BZ57" i="1"/>
  <c r="BY57" i="1"/>
  <c r="BX57" i="1" s="1"/>
  <c r="BW57" i="1"/>
  <c r="BV57" i="1"/>
  <c r="BZ56" i="1"/>
  <c r="BY56" i="1"/>
  <c r="BX56" i="1" s="1"/>
  <c r="BW56" i="1"/>
  <c r="BV56" i="1"/>
  <c r="BU56" i="1" s="1"/>
  <c r="BZ55" i="1"/>
  <c r="BY55" i="1"/>
  <c r="BW55" i="1"/>
  <c r="BV55" i="1"/>
  <c r="BU55" i="1" s="1"/>
  <c r="BZ54" i="1"/>
  <c r="BY54" i="1"/>
  <c r="BX54" i="1" s="1"/>
  <c r="BW54" i="1"/>
  <c r="BV54" i="1"/>
  <c r="BU54" i="1" s="1"/>
  <c r="BZ53" i="1"/>
  <c r="BY53" i="1"/>
  <c r="BX53" i="1" s="1"/>
  <c r="BW53" i="1"/>
  <c r="BV53" i="1"/>
  <c r="BZ52" i="1"/>
  <c r="BY52" i="1"/>
  <c r="BX52" i="1" s="1"/>
  <c r="BW52" i="1"/>
  <c r="BV52" i="1"/>
  <c r="BU52" i="1" s="1"/>
  <c r="BZ51" i="1"/>
  <c r="BY51" i="1"/>
  <c r="BX51" i="1" s="1"/>
  <c r="BW51" i="1"/>
  <c r="BV51" i="1"/>
  <c r="BU51" i="1" s="1"/>
  <c r="BZ50" i="1"/>
  <c r="BY50" i="1"/>
  <c r="BX50" i="1" s="1"/>
  <c r="BW50" i="1"/>
  <c r="BV50" i="1"/>
  <c r="BU50" i="1"/>
  <c r="BZ49" i="1"/>
  <c r="BY49" i="1"/>
  <c r="BX49" i="1" s="1"/>
  <c r="BW49" i="1"/>
  <c r="BV49" i="1"/>
  <c r="BU49" i="1" s="1"/>
  <c r="BZ48" i="1"/>
  <c r="BY48" i="1"/>
  <c r="BX48" i="1" s="1"/>
  <c r="BW48" i="1"/>
  <c r="BV48" i="1"/>
  <c r="BU48" i="1" s="1"/>
  <c r="BZ47" i="1"/>
  <c r="BY47" i="1"/>
  <c r="BX47" i="1" s="1"/>
  <c r="BW47" i="1"/>
  <c r="BV47" i="1"/>
  <c r="BU47" i="1" s="1"/>
  <c r="BZ46" i="1"/>
  <c r="BY46" i="1"/>
  <c r="BX46" i="1" s="1"/>
  <c r="BW46" i="1"/>
  <c r="BV46" i="1"/>
  <c r="BU46" i="1" s="1"/>
  <c r="BZ45" i="1"/>
  <c r="BY45" i="1"/>
  <c r="BX45" i="1" s="1"/>
  <c r="BW45" i="1"/>
  <c r="BV45" i="1"/>
  <c r="BU45" i="1" s="1"/>
  <c r="BZ44" i="1"/>
  <c r="BY44" i="1"/>
  <c r="BW44" i="1"/>
  <c r="BV44" i="1"/>
  <c r="BZ43" i="1"/>
  <c r="BY43" i="1"/>
  <c r="BX43" i="1" s="1"/>
  <c r="BW43" i="1"/>
  <c r="BV43" i="1"/>
  <c r="BU43" i="1" s="1"/>
  <c r="BZ42" i="1"/>
  <c r="BY42" i="1"/>
  <c r="BX42" i="1" s="1"/>
  <c r="BW42" i="1"/>
  <c r="BV42" i="1"/>
  <c r="BU42" i="1" s="1"/>
  <c r="BZ41" i="1"/>
  <c r="BY41" i="1"/>
  <c r="BX41" i="1" s="1"/>
  <c r="BW41" i="1"/>
  <c r="BV41" i="1"/>
  <c r="BU41" i="1" s="1"/>
  <c r="BZ40" i="1"/>
  <c r="BY40" i="1"/>
  <c r="BX40" i="1" s="1"/>
  <c r="BW40" i="1"/>
  <c r="BV40" i="1"/>
  <c r="BU40" i="1" s="1"/>
  <c r="BZ39" i="1"/>
  <c r="BY39" i="1"/>
  <c r="BX39" i="1" s="1"/>
  <c r="BW39" i="1"/>
  <c r="BV39" i="1"/>
  <c r="BU39" i="1" s="1"/>
  <c r="BZ38" i="1"/>
  <c r="BY38" i="1"/>
  <c r="BW38" i="1"/>
  <c r="BV38" i="1"/>
  <c r="BU38" i="1" s="1"/>
  <c r="BZ37" i="1"/>
  <c r="BY37" i="1"/>
  <c r="BW37" i="1"/>
  <c r="BV37" i="1"/>
  <c r="BZ36" i="1"/>
  <c r="BY36" i="1"/>
  <c r="BX36" i="1" s="1"/>
  <c r="BW36" i="1"/>
  <c r="BV36" i="1"/>
  <c r="BU36" i="1" s="1"/>
  <c r="BZ35" i="1"/>
  <c r="BY35" i="1"/>
  <c r="BX35" i="1" s="1"/>
  <c r="BW35" i="1"/>
  <c r="BV35" i="1"/>
  <c r="BU35" i="1" s="1"/>
  <c r="BZ34" i="1"/>
  <c r="BY34" i="1"/>
  <c r="BX34" i="1" s="1"/>
  <c r="BW34" i="1"/>
  <c r="BV34" i="1"/>
  <c r="BU34" i="1" s="1"/>
  <c r="BZ32" i="1"/>
  <c r="BY32" i="1"/>
  <c r="BX32" i="1" s="1"/>
  <c r="BW32" i="1"/>
  <c r="BV32" i="1"/>
  <c r="BU32" i="1" s="1"/>
  <c r="BZ31" i="1"/>
  <c r="BY31" i="1"/>
  <c r="BX31" i="1" s="1"/>
  <c r="BW31" i="1"/>
  <c r="BV31" i="1"/>
  <c r="BU31" i="1" s="1"/>
  <c r="BZ30" i="1"/>
  <c r="BY30" i="1"/>
  <c r="BX30" i="1" s="1"/>
  <c r="BW30" i="1"/>
  <c r="BV30" i="1"/>
  <c r="BU30" i="1" s="1"/>
  <c r="BZ29" i="1"/>
  <c r="BY29" i="1"/>
  <c r="BX29" i="1" s="1"/>
  <c r="BW29" i="1"/>
  <c r="BV29" i="1"/>
  <c r="BU29" i="1" s="1"/>
  <c r="BZ28" i="1"/>
  <c r="BY28" i="1"/>
  <c r="BX28" i="1" s="1"/>
  <c r="BW28" i="1"/>
  <c r="BV28" i="1"/>
  <c r="BU28" i="1" s="1"/>
  <c r="BZ27" i="1"/>
  <c r="BY27" i="1"/>
  <c r="BX27" i="1" s="1"/>
  <c r="BW27" i="1"/>
  <c r="BV27" i="1"/>
  <c r="BU27" i="1" s="1"/>
  <c r="BZ26" i="1"/>
  <c r="BY26" i="1"/>
  <c r="BX26" i="1" s="1"/>
  <c r="BW26" i="1"/>
  <c r="BV26" i="1"/>
  <c r="BU26" i="1" s="1"/>
  <c r="BZ25" i="1"/>
  <c r="BY25" i="1"/>
  <c r="BX25" i="1" s="1"/>
  <c r="BW25" i="1"/>
  <c r="BV25" i="1"/>
  <c r="BU25" i="1" s="1"/>
  <c r="BZ24" i="1"/>
  <c r="BY24" i="1"/>
  <c r="BX24" i="1" s="1"/>
  <c r="BW24" i="1"/>
  <c r="BV24" i="1"/>
  <c r="BU24" i="1" s="1"/>
  <c r="BZ22" i="1"/>
  <c r="BY22" i="1"/>
  <c r="BW22" i="1"/>
  <c r="BV22" i="1"/>
  <c r="BU22" i="1" s="1"/>
  <c r="BZ21" i="1"/>
  <c r="BY21" i="1"/>
  <c r="BX21" i="1" s="1"/>
  <c r="BW21" i="1"/>
  <c r="BV21" i="1"/>
  <c r="BU21" i="1" s="1"/>
  <c r="BZ20" i="1"/>
  <c r="BY20" i="1"/>
  <c r="BX20" i="1" s="1"/>
  <c r="BW20" i="1"/>
  <c r="BV20" i="1"/>
  <c r="BU20" i="1" s="1"/>
  <c r="BZ19" i="1"/>
  <c r="BY19" i="1"/>
  <c r="BX19" i="1" s="1"/>
  <c r="BW19" i="1"/>
  <c r="BV19" i="1"/>
  <c r="BZ18" i="1"/>
  <c r="BY18" i="1"/>
  <c r="BX18" i="1" s="1"/>
  <c r="BW18" i="1"/>
  <c r="BV18" i="1"/>
  <c r="BZ17" i="1"/>
  <c r="BY17" i="1"/>
  <c r="BX17" i="1" s="1"/>
  <c r="BW17" i="1"/>
  <c r="BV17" i="1"/>
  <c r="BU17" i="1"/>
  <c r="BZ16" i="1"/>
  <c r="BY16" i="1"/>
  <c r="BW16" i="1"/>
  <c r="BV16" i="1"/>
  <c r="BZ15" i="1"/>
  <c r="BY15" i="1"/>
  <c r="BX15" i="1" s="1"/>
  <c r="BW15" i="1"/>
  <c r="BV15" i="1"/>
  <c r="BU15" i="1" s="1"/>
  <c r="BZ14" i="1"/>
  <c r="BY14" i="1"/>
  <c r="BX14" i="1" s="1"/>
  <c r="BW14" i="1"/>
  <c r="BV14" i="1"/>
  <c r="BU14" i="1" s="1"/>
  <c r="BZ13" i="1"/>
  <c r="BY13" i="1"/>
  <c r="BX13" i="1" s="1"/>
  <c r="BW13" i="1"/>
  <c r="BV13" i="1"/>
  <c r="BZ12" i="1"/>
  <c r="BY12" i="1"/>
  <c r="BX12" i="1" s="1"/>
  <c r="BW12" i="1"/>
  <c r="BV12" i="1"/>
  <c r="BU12" i="1" s="1"/>
  <c r="BZ11" i="1"/>
  <c r="BY11" i="1"/>
  <c r="BX11" i="1" s="1"/>
  <c r="BW11" i="1"/>
  <c r="BV11" i="1"/>
  <c r="BU11" i="1" s="1"/>
  <c r="BZ10" i="1"/>
  <c r="BY10" i="1"/>
  <c r="BX10" i="1" s="1"/>
  <c r="BW10" i="1"/>
  <c r="BV10" i="1"/>
  <c r="BU10" i="1" s="1"/>
  <c r="BZ9" i="1"/>
  <c r="BY9" i="1"/>
  <c r="BX9" i="1" s="1"/>
  <c r="BW9" i="1"/>
  <c r="BV9" i="1"/>
  <c r="BZ8" i="1"/>
  <c r="BY8" i="1"/>
  <c r="BX8" i="1" s="1"/>
  <c r="BW8" i="1"/>
  <c r="BV8" i="1"/>
  <c r="BU8" i="1" s="1"/>
  <c r="BZ7" i="1"/>
  <c r="BY7" i="1"/>
  <c r="BX7" i="1" s="1"/>
  <c r="BW7" i="1"/>
  <c r="BV7" i="1"/>
  <c r="BU7" i="1" s="1"/>
  <c r="BZ6" i="1"/>
  <c r="BY6" i="1"/>
  <c r="BX6" i="1" s="1"/>
  <c r="BW6" i="1"/>
  <c r="BV6" i="1"/>
  <c r="BU6" i="1"/>
  <c r="AC209" i="1"/>
  <c r="AB209" i="1"/>
  <c r="AA209" i="1"/>
  <c r="AC208" i="1"/>
  <c r="AB208" i="1"/>
  <c r="AA208" i="1"/>
  <c r="AC207" i="1"/>
  <c r="AB207" i="1"/>
  <c r="AA207" i="1"/>
  <c r="AC206" i="1"/>
  <c r="AB206" i="1"/>
  <c r="AA206" i="1"/>
  <c r="AC205" i="1"/>
  <c r="AB205" i="1"/>
  <c r="AA205" i="1"/>
  <c r="AC204" i="1"/>
  <c r="AB204" i="1"/>
  <c r="AA204" i="1"/>
  <c r="AC203" i="1"/>
  <c r="AB203" i="1"/>
  <c r="AA203" i="1"/>
  <c r="AC202" i="1"/>
  <c r="AB202" i="1"/>
  <c r="AA202" i="1"/>
  <c r="AC201" i="1"/>
  <c r="AB201" i="1"/>
  <c r="AA201" i="1"/>
  <c r="AC200" i="1"/>
  <c r="AB200" i="1"/>
  <c r="AA200" i="1"/>
  <c r="AC199" i="1"/>
  <c r="AB199" i="1"/>
  <c r="AA199" i="1"/>
  <c r="AC198" i="1"/>
  <c r="AB198" i="1"/>
  <c r="AA198" i="1"/>
  <c r="AC197" i="1"/>
  <c r="AB197" i="1"/>
  <c r="AA197" i="1"/>
  <c r="AC196" i="1"/>
  <c r="AB196" i="1"/>
  <c r="AA196" i="1"/>
  <c r="AC195" i="1"/>
  <c r="AB195" i="1"/>
  <c r="AA195" i="1"/>
  <c r="AC194" i="1"/>
  <c r="AB194" i="1"/>
  <c r="AA194" i="1"/>
  <c r="AC193" i="1"/>
  <c r="AB193" i="1"/>
  <c r="AA193" i="1"/>
  <c r="AC192" i="1"/>
  <c r="AB192" i="1"/>
  <c r="AA192" i="1"/>
  <c r="AC191" i="1"/>
  <c r="AB191" i="1"/>
  <c r="AA191" i="1"/>
  <c r="AC190" i="1"/>
  <c r="AB190" i="1"/>
  <c r="AA190" i="1"/>
  <c r="AC189" i="1"/>
  <c r="AB189" i="1"/>
  <c r="AA189" i="1"/>
  <c r="AC188" i="1"/>
  <c r="AB188" i="1"/>
  <c r="AA188" i="1"/>
  <c r="AC187" i="1"/>
  <c r="AB187" i="1"/>
  <c r="AA187" i="1"/>
  <c r="AC186" i="1"/>
  <c r="AB186" i="1"/>
  <c r="AA186" i="1"/>
  <c r="AC185" i="1"/>
  <c r="AB185" i="1"/>
  <c r="AA185" i="1"/>
  <c r="AC184" i="1"/>
  <c r="AB184" i="1"/>
  <c r="AA184" i="1"/>
  <c r="AC183" i="1"/>
  <c r="AB183" i="1"/>
  <c r="AA183" i="1"/>
  <c r="AC182" i="1"/>
  <c r="AB182" i="1"/>
  <c r="AA182" i="1"/>
  <c r="AC181" i="1"/>
  <c r="AB181" i="1"/>
  <c r="AA181" i="1"/>
  <c r="AC180" i="1"/>
  <c r="AB180" i="1"/>
  <c r="AA180" i="1"/>
  <c r="AC179" i="1"/>
  <c r="AB179" i="1"/>
  <c r="AA179" i="1"/>
  <c r="AC178" i="1"/>
  <c r="AB178" i="1"/>
  <c r="AA178" i="1"/>
  <c r="AC177" i="1"/>
  <c r="AB177" i="1"/>
  <c r="AA177" i="1"/>
  <c r="AC176" i="1"/>
  <c r="AB176" i="1"/>
  <c r="AA176" i="1"/>
  <c r="AC175" i="1"/>
  <c r="AB175" i="1"/>
  <c r="AA175" i="1"/>
  <c r="AC174" i="1"/>
  <c r="AB174" i="1"/>
  <c r="AA174" i="1"/>
  <c r="AC173" i="1"/>
  <c r="AB173" i="1"/>
  <c r="AA173" i="1"/>
  <c r="AC172" i="1"/>
  <c r="AB172" i="1"/>
  <c r="AA172" i="1"/>
  <c r="AC171" i="1"/>
  <c r="AB171" i="1"/>
  <c r="AA171" i="1"/>
  <c r="AC170" i="1"/>
  <c r="AB170" i="1"/>
  <c r="AA170" i="1"/>
  <c r="AC169" i="1"/>
  <c r="AB169" i="1"/>
  <c r="AA169" i="1"/>
  <c r="AC168" i="1"/>
  <c r="AB168" i="1"/>
  <c r="AA168" i="1"/>
  <c r="AC167" i="1"/>
  <c r="AB167" i="1"/>
  <c r="AA167" i="1"/>
  <c r="AC166" i="1"/>
  <c r="AB166" i="1"/>
  <c r="AA166" i="1"/>
  <c r="AC165" i="1"/>
  <c r="AB165" i="1"/>
  <c r="AA165" i="1"/>
  <c r="AC164" i="1"/>
  <c r="AB164" i="1"/>
  <c r="AA164" i="1"/>
  <c r="AC163" i="1"/>
  <c r="AB163" i="1"/>
  <c r="AA163" i="1"/>
  <c r="AC162" i="1"/>
  <c r="AB162" i="1"/>
  <c r="AA162" i="1"/>
  <c r="AC161" i="1"/>
  <c r="AB161" i="1"/>
  <c r="AA161" i="1"/>
  <c r="AC160" i="1"/>
  <c r="AB160" i="1"/>
  <c r="AA160" i="1"/>
  <c r="AC159" i="1"/>
  <c r="AB159" i="1"/>
  <c r="AA159" i="1"/>
  <c r="AC158" i="1"/>
  <c r="AB158" i="1"/>
  <c r="AA158" i="1"/>
  <c r="AC157" i="1"/>
  <c r="AB157" i="1"/>
  <c r="AA157" i="1"/>
  <c r="AC156" i="1"/>
  <c r="AB156" i="1"/>
  <c r="AA156" i="1"/>
  <c r="AC155" i="1"/>
  <c r="AB155" i="1"/>
  <c r="AA155" i="1"/>
  <c r="AC154" i="1"/>
  <c r="AB154" i="1"/>
  <c r="AA154" i="1"/>
  <c r="AC153" i="1"/>
  <c r="AB153" i="1"/>
  <c r="AA153" i="1"/>
  <c r="AC152" i="1"/>
  <c r="AB152" i="1"/>
  <c r="AA152" i="1"/>
  <c r="AC151" i="1"/>
  <c r="AB151" i="1"/>
  <c r="AA151" i="1"/>
  <c r="AC150" i="1"/>
  <c r="AB150" i="1"/>
  <c r="AA150" i="1"/>
  <c r="AC149" i="1"/>
  <c r="AB149" i="1"/>
  <c r="AA149" i="1"/>
  <c r="AC148" i="1"/>
  <c r="AB148" i="1"/>
  <c r="AA148" i="1"/>
  <c r="AC147" i="1"/>
  <c r="AB147" i="1"/>
  <c r="AA147" i="1"/>
  <c r="AC146" i="1"/>
  <c r="AB146" i="1"/>
  <c r="AA146" i="1"/>
  <c r="AC145" i="1"/>
  <c r="AB145" i="1"/>
  <c r="AA145" i="1"/>
  <c r="AC144" i="1"/>
  <c r="AB144" i="1"/>
  <c r="AA144" i="1"/>
  <c r="AC143" i="1"/>
  <c r="AB143" i="1"/>
  <c r="AA143" i="1"/>
  <c r="AC142" i="1"/>
  <c r="AB142" i="1"/>
  <c r="AA142" i="1"/>
  <c r="AC141" i="1"/>
  <c r="AB141" i="1"/>
  <c r="AA141" i="1"/>
  <c r="AC140" i="1"/>
  <c r="AB140" i="1"/>
  <c r="AA140" i="1"/>
  <c r="AC139" i="1"/>
  <c r="AB139" i="1"/>
  <c r="AA139" i="1"/>
  <c r="AC138" i="1"/>
  <c r="AB138" i="1"/>
  <c r="AA138" i="1"/>
  <c r="AC137" i="1"/>
  <c r="AB137" i="1"/>
  <c r="AA137" i="1"/>
  <c r="AC136" i="1"/>
  <c r="AB136" i="1"/>
  <c r="AA136" i="1"/>
  <c r="AC135" i="1"/>
  <c r="AB135" i="1"/>
  <c r="AA135" i="1"/>
  <c r="AC134" i="1"/>
  <c r="AB134" i="1"/>
  <c r="AA134" i="1"/>
  <c r="AC133" i="1"/>
  <c r="AB133" i="1"/>
  <c r="AA133" i="1"/>
  <c r="AC132" i="1"/>
  <c r="AB132" i="1"/>
  <c r="AA132" i="1"/>
  <c r="AC131" i="1"/>
  <c r="AB131" i="1"/>
  <c r="AA131" i="1"/>
  <c r="AC130" i="1"/>
  <c r="AB130" i="1"/>
  <c r="AA130" i="1"/>
  <c r="AC129" i="1"/>
  <c r="AB129" i="1"/>
  <c r="AA129" i="1"/>
  <c r="AC128" i="1"/>
  <c r="AB128" i="1"/>
  <c r="AA128" i="1"/>
  <c r="AC127" i="1"/>
  <c r="AB127" i="1"/>
  <c r="AA127" i="1"/>
  <c r="AC126" i="1"/>
  <c r="AB126" i="1"/>
  <c r="AA126" i="1"/>
  <c r="AC125" i="1"/>
  <c r="AB125" i="1"/>
  <c r="AA125" i="1"/>
  <c r="AC124" i="1"/>
  <c r="AB124" i="1"/>
  <c r="AA124" i="1"/>
  <c r="AC123" i="1"/>
  <c r="AB123" i="1"/>
  <c r="AA123" i="1"/>
  <c r="AC122" i="1"/>
  <c r="AB122" i="1"/>
  <c r="AA122" i="1"/>
  <c r="AC121" i="1"/>
  <c r="AB121" i="1"/>
  <c r="AA121" i="1"/>
  <c r="AC120" i="1"/>
  <c r="AB120" i="1"/>
  <c r="AA120" i="1"/>
  <c r="AC119" i="1"/>
  <c r="AB119" i="1"/>
  <c r="AA119" i="1"/>
  <c r="AC118" i="1"/>
  <c r="AB118" i="1"/>
  <c r="AA118" i="1"/>
  <c r="AC117" i="1"/>
  <c r="AB117" i="1"/>
  <c r="AA117" i="1"/>
  <c r="AC116" i="1"/>
  <c r="AB116" i="1"/>
  <c r="AA116" i="1"/>
  <c r="AC115" i="1"/>
  <c r="AB115" i="1"/>
  <c r="AA115" i="1"/>
  <c r="AC114" i="1"/>
  <c r="AB114" i="1"/>
  <c r="AA114" i="1"/>
  <c r="AC113" i="1"/>
  <c r="AB113" i="1"/>
  <c r="AA113" i="1"/>
  <c r="AC112" i="1"/>
  <c r="AB112" i="1"/>
  <c r="AA112" i="1"/>
  <c r="AC111" i="1"/>
  <c r="AB111" i="1"/>
  <c r="AA111" i="1"/>
  <c r="AC110" i="1"/>
  <c r="AB110" i="1"/>
  <c r="AA110" i="1"/>
  <c r="AC109" i="1"/>
  <c r="AB109" i="1"/>
  <c r="AA109" i="1"/>
  <c r="AC108" i="1"/>
  <c r="AB108" i="1"/>
  <c r="AA108" i="1"/>
  <c r="AC107" i="1"/>
  <c r="AB107" i="1"/>
  <c r="AA107" i="1"/>
  <c r="AC106" i="1"/>
  <c r="AB106" i="1"/>
  <c r="AA106" i="1"/>
  <c r="AC105" i="1"/>
  <c r="AB105" i="1"/>
  <c r="AA105" i="1"/>
  <c r="AC104" i="1"/>
  <c r="AB104" i="1"/>
  <c r="AA104" i="1"/>
  <c r="AC103" i="1"/>
  <c r="AB103" i="1"/>
  <c r="AA103" i="1"/>
  <c r="AC102" i="1"/>
  <c r="AB102" i="1"/>
  <c r="AA102" i="1"/>
  <c r="AC101" i="1"/>
  <c r="AB101" i="1"/>
  <c r="AA101" i="1"/>
  <c r="AC100" i="1"/>
  <c r="AB100" i="1"/>
  <c r="AA100" i="1"/>
  <c r="AC99" i="1"/>
  <c r="AB99" i="1"/>
  <c r="AA99" i="1"/>
  <c r="AC98" i="1"/>
  <c r="AB98" i="1"/>
  <c r="AA98" i="1"/>
  <c r="AC97" i="1"/>
  <c r="AB97" i="1"/>
  <c r="AA97" i="1"/>
  <c r="AC96" i="1"/>
  <c r="AB96" i="1"/>
  <c r="AA96" i="1"/>
  <c r="AC95" i="1"/>
  <c r="AB95" i="1"/>
  <c r="AA95" i="1"/>
  <c r="AC94" i="1"/>
  <c r="AB94" i="1"/>
  <c r="AA94" i="1"/>
  <c r="AC93" i="1"/>
  <c r="AB93" i="1"/>
  <c r="AA93" i="1"/>
  <c r="AC92" i="1"/>
  <c r="AB92" i="1"/>
  <c r="AA92" i="1"/>
  <c r="AC91" i="1"/>
  <c r="AB91" i="1"/>
  <c r="AA91" i="1"/>
  <c r="AC90" i="1"/>
  <c r="AB90" i="1"/>
  <c r="AA90" i="1"/>
  <c r="AC89" i="1"/>
  <c r="AB89" i="1"/>
  <c r="AA89" i="1"/>
  <c r="AC88" i="1"/>
  <c r="AB88" i="1"/>
  <c r="AA88" i="1"/>
  <c r="AC87" i="1"/>
  <c r="AB87" i="1"/>
  <c r="AA87" i="1"/>
  <c r="AC86" i="1"/>
  <c r="AB86" i="1"/>
  <c r="AA86" i="1"/>
  <c r="AC85" i="1"/>
  <c r="AB85" i="1"/>
  <c r="AA85" i="1"/>
  <c r="AC84" i="1"/>
  <c r="AB84" i="1"/>
  <c r="AA84" i="1"/>
  <c r="AC83" i="1"/>
  <c r="AB83" i="1"/>
  <c r="AA83" i="1"/>
  <c r="AC82" i="1"/>
  <c r="AB82" i="1"/>
  <c r="AA82" i="1"/>
  <c r="AC81" i="1"/>
  <c r="AB81" i="1"/>
  <c r="AA81" i="1"/>
  <c r="AC80" i="1"/>
  <c r="AB80" i="1"/>
  <c r="AA80" i="1"/>
  <c r="AC79" i="1"/>
  <c r="AB79" i="1"/>
  <c r="AA79" i="1"/>
  <c r="AC78" i="1"/>
  <c r="AB78" i="1"/>
  <c r="AA78" i="1"/>
  <c r="AC77" i="1"/>
  <c r="AB77" i="1"/>
  <c r="AA77" i="1"/>
  <c r="AC76" i="1"/>
  <c r="AB76" i="1"/>
  <c r="AA76" i="1"/>
  <c r="AC75" i="1"/>
  <c r="AB75" i="1"/>
  <c r="AA75" i="1"/>
  <c r="AC74" i="1"/>
  <c r="AB74" i="1"/>
  <c r="AA74" i="1"/>
  <c r="AC73" i="1"/>
  <c r="AB73" i="1"/>
  <c r="AA73" i="1"/>
  <c r="AC72" i="1"/>
  <c r="AB72" i="1"/>
  <c r="AA72" i="1"/>
  <c r="AC71" i="1"/>
  <c r="AB71" i="1"/>
  <c r="AA71" i="1"/>
  <c r="AC70" i="1"/>
  <c r="AB70" i="1"/>
  <c r="AA70" i="1"/>
  <c r="AC69" i="1"/>
  <c r="AB69" i="1"/>
  <c r="AA69" i="1"/>
  <c r="AC68" i="1"/>
  <c r="AB68" i="1"/>
  <c r="AA68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62" i="1"/>
  <c r="AB62" i="1"/>
  <c r="AA62" i="1"/>
  <c r="AC61" i="1"/>
  <c r="AB61" i="1"/>
  <c r="AA61" i="1"/>
  <c r="AC60" i="1"/>
  <c r="AB60" i="1"/>
  <c r="AA60" i="1"/>
  <c r="AC59" i="1"/>
  <c r="AB59" i="1"/>
  <c r="AA59" i="1"/>
  <c r="AC58" i="1"/>
  <c r="AB58" i="1"/>
  <c r="AA58" i="1"/>
  <c r="AC57" i="1"/>
  <c r="AB57" i="1"/>
  <c r="AA57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51" i="1"/>
  <c r="AB51" i="1"/>
  <c r="AA51" i="1"/>
  <c r="AC50" i="1"/>
  <c r="AB50" i="1"/>
  <c r="AA50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40" i="1"/>
  <c r="AB40" i="1"/>
  <c r="AA40" i="1"/>
  <c r="AC39" i="1"/>
  <c r="AB39" i="1"/>
  <c r="AA39" i="1"/>
  <c r="AC38" i="1"/>
  <c r="AB38" i="1"/>
  <c r="AA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  <c r="AC7" i="1"/>
  <c r="AB7" i="1"/>
  <c r="AA7" i="1"/>
  <c r="AC6" i="1"/>
  <c r="AB6" i="1"/>
  <c r="AA6" i="1"/>
  <c r="X209" i="1"/>
  <c r="W209" i="1"/>
  <c r="V209" i="1"/>
  <c r="X208" i="1"/>
  <c r="W208" i="1"/>
  <c r="V208" i="1"/>
  <c r="X207" i="1"/>
  <c r="W207" i="1"/>
  <c r="V207" i="1"/>
  <c r="X206" i="1"/>
  <c r="W206" i="1"/>
  <c r="V206" i="1"/>
  <c r="X205" i="1"/>
  <c r="W205" i="1"/>
  <c r="V205" i="1"/>
  <c r="X204" i="1"/>
  <c r="W204" i="1"/>
  <c r="V204" i="1"/>
  <c r="X203" i="1"/>
  <c r="W203" i="1"/>
  <c r="V203" i="1"/>
  <c r="X202" i="1"/>
  <c r="W202" i="1"/>
  <c r="V202" i="1"/>
  <c r="X201" i="1"/>
  <c r="W201" i="1"/>
  <c r="V201" i="1"/>
  <c r="X200" i="1"/>
  <c r="W200" i="1"/>
  <c r="V200" i="1"/>
  <c r="X199" i="1"/>
  <c r="W199" i="1"/>
  <c r="V199" i="1"/>
  <c r="X198" i="1"/>
  <c r="W198" i="1"/>
  <c r="V198" i="1"/>
  <c r="X197" i="1"/>
  <c r="W197" i="1"/>
  <c r="V197" i="1"/>
  <c r="X196" i="1"/>
  <c r="W196" i="1"/>
  <c r="V196" i="1"/>
  <c r="X195" i="1"/>
  <c r="W195" i="1"/>
  <c r="V195" i="1"/>
  <c r="X194" i="1"/>
  <c r="W194" i="1"/>
  <c r="V194" i="1"/>
  <c r="X193" i="1"/>
  <c r="W193" i="1"/>
  <c r="V193" i="1"/>
  <c r="X192" i="1"/>
  <c r="W192" i="1"/>
  <c r="V192" i="1"/>
  <c r="X191" i="1"/>
  <c r="W191" i="1"/>
  <c r="V191" i="1"/>
  <c r="X190" i="1"/>
  <c r="W190" i="1"/>
  <c r="V190" i="1"/>
  <c r="X189" i="1"/>
  <c r="W189" i="1"/>
  <c r="V189" i="1"/>
  <c r="X188" i="1"/>
  <c r="W188" i="1"/>
  <c r="V188" i="1"/>
  <c r="X187" i="1"/>
  <c r="W187" i="1"/>
  <c r="V187" i="1"/>
  <c r="X186" i="1"/>
  <c r="W186" i="1"/>
  <c r="V186" i="1"/>
  <c r="X185" i="1"/>
  <c r="W185" i="1"/>
  <c r="V185" i="1"/>
  <c r="X184" i="1"/>
  <c r="W184" i="1"/>
  <c r="V184" i="1"/>
  <c r="X183" i="1"/>
  <c r="W183" i="1"/>
  <c r="V183" i="1"/>
  <c r="X182" i="1"/>
  <c r="W182" i="1"/>
  <c r="V182" i="1"/>
  <c r="X181" i="1"/>
  <c r="W181" i="1"/>
  <c r="V181" i="1"/>
  <c r="X180" i="1"/>
  <c r="W180" i="1"/>
  <c r="V180" i="1"/>
  <c r="X179" i="1"/>
  <c r="W179" i="1"/>
  <c r="V179" i="1"/>
  <c r="X178" i="1"/>
  <c r="W178" i="1"/>
  <c r="V178" i="1"/>
  <c r="X177" i="1"/>
  <c r="W177" i="1"/>
  <c r="V177" i="1"/>
  <c r="X176" i="1"/>
  <c r="W176" i="1"/>
  <c r="V176" i="1"/>
  <c r="X175" i="1"/>
  <c r="W175" i="1"/>
  <c r="V175" i="1"/>
  <c r="X174" i="1"/>
  <c r="W174" i="1"/>
  <c r="V174" i="1"/>
  <c r="X173" i="1"/>
  <c r="W173" i="1"/>
  <c r="V173" i="1"/>
  <c r="X172" i="1"/>
  <c r="W172" i="1"/>
  <c r="V172" i="1"/>
  <c r="X171" i="1"/>
  <c r="W171" i="1"/>
  <c r="V171" i="1"/>
  <c r="X170" i="1"/>
  <c r="W170" i="1"/>
  <c r="V170" i="1"/>
  <c r="X169" i="1"/>
  <c r="W169" i="1"/>
  <c r="V169" i="1"/>
  <c r="X168" i="1"/>
  <c r="W168" i="1"/>
  <c r="V168" i="1"/>
  <c r="X167" i="1"/>
  <c r="W167" i="1"/>
  <c r="V167" i="1"/>
  <c r="X166" i="1"/>
  <c r="W166" i="1"/>
  <c r="V166" i="1"/>
  <c r="X165" i="1"/>
  <c r="W165" i="1"/>
  <c r="V165" i="1"/>
  <c r="X164" i="1"/>
  <c r="W164" i="1"/>
  <c r="V164" i="1"/>
  <c r="X163" i="1"/>
  <c r="W163" i="1"/>
  <c r="V163" i="1"/>
  <c r="X162" i="1"/>
  <c r="W162" i="1"/>
  <c r="V162" i="1"/>
  <c r="X161" i="1"/>
  <c r="W161" i="1"/>
  <c r="V161" i="1"/>
  <c r="X160" i="1"/>
  <c r="W160" i="1"/>
  <c r="V160" i="1"/>
  <c r="X159" i="1"/>
  <c r="W159" i="1"/>
  <c r="V159" i="1"/>
  <c r="X158" i="1"/>
  <c r="W158" i="1"/>
  <c r="V158" i="1"/>
  <c r="X157" i="1"/>
  <c r="W157" i="1"/>
  <c r="V157" i="1"/>
  <c r="X156" i="1"/>
  <c r="W156" i="1"/>
  <c r="V156" i="1"/>
  <c r="X155" i="1"/>
  <c r="W155" i="1"/>
  <c r="V155" i="1"/>
  <c r="X154" i="1"/>
  <c r="W154" i="1"/>
  <c r="V154" i="1"/>
  <c r="X153" i="1"/>
  <c r="W153" i="1"/>
  <c r="V153" i="1"/>
  <c r="X152" i="1"/>
  <c r="W152" i="1"/>
  <c r="V152" i="1"/>
  <c r="X151" i="1"/>
  <c r="W151" i="1"/>
  <c r="V151" i="1"/>
  <c r="X150" i="1"/>
  <c r="W150" i="1"/>
  <c r="V150" i="1"/>
  <c r="X149" i="1"/>
  <c r="W149" i="1"/>
  <c r="V149" i="1"/>
  <c r="X148" i="1"/>
  <c r="W148" i="1"/>
  <c r="V148" i="1"/>
  <c r="X147" i="1"/>
  <c r="W147" i="1"/>
  <c r="V147" i="1"/>
  <c r="X146" i="1"/>
  <c r="W146" i="1"/>
  <c r="V146" i="1"/>
  <c r="X145" i="1"/>
  <c r="W145" i="1"/>
  <c r="V145" i="1"/>
  <c r="X144" i="1"/>
  <c r="W144" i="1"/>
  <c r="V144" i="1"/>
  <c r="X143" i="1"/>
  <c r="W143" i="1"/>
  <c r="V143" i="1"/>
  <c r="X142" i="1"/>
  <c r="W142" i="1"/>
  <c r="V142" i="1"/>
  <c r="X141" i="1"/>
  <c r="W141" i="1"/>
  <c r="V141" i="1"/>
  <c r="X140" i="1"/>
  <c r="W140" i="1"/>
  <c r="V140" i="1"/>
  <c r="X139" i="1"/>
  <c r="W139" i="1"/>
  <c r="V139" i="1"/>
  <c r="X138" i="1"/>
  <c r="W138" i="1"/>
  <c r="V138" i="1"/>
  <c r="X137" i="1"/>
  <c r="W137" i="1"/>
  <c r="V137" i="1"/>
  <c r="X136" i="1"/>
  <c r="W136" i="1"/>
  <c r="V136" i="1"/>
  <c r="X135" i="1"/>
  <c r="W135" i="1"/>
  <c r="V135" i="1"/>
  <c r="X134" i="1"/>
  <c r="W134" i="1"/>
  <c r="V134" i="1"/>
  <c r="X133" i="1"/>
  <c r="W133" i="1"/>
  <c r="V133" i="1"/>
  <c r="X132" i="1"/>
  <c r="W132" i="1"/>
  <c r="V132" i="1"/>
  <c r="X131" i="1"/>
  <c r="W131" i="1"/>
  <c r="V131" i="1"/>
  <c r="X130" i="1"/>
  <c r="W130" i="1"/>
  <c r="V130" i="1"/>
  <c r="X129" i="1"/>
  <c r="W129" i="1"/>
  <c r="V129" i="1"/>
  <c r="X128" i="1"/>
  <c r="W128" i="1"/>
  <c r="V128" i="1"/>
  <c r="X127" i="1"/>
  <c r="W127" i="1"/>
  <c r="V127" i="1"/>
  <c r="X126" i="1"/>
  <c r="W126" i="1"/>
  <c r="V126" i="1"/>
  <c r="X125" i="1"/>
  <c r="W125" i="1"/>
  <c r="V125" i="1"/>
  <c r="X124" i="1"/>
  <c r="W124" i="1"/>
  <c r="V124" i="1"/>
  <c r="X123" i="1"/>
  <c r="W123" i="1"/>
  <c r="V123" i="1"/>
  <c r="X122" i="1"/>
  <c r="W122" i="1"/>
  <c r="V122" i="1"/>
  <c r="X121" i="1"/>
  <c r="W121" i="1"/>
  <c r="V121" i="1"/>
  <c r="X120" i="1"/>
  <c r="W120" i="1"/>
  <c r="V120" i="1"/>
  <c r="X119" i="1"/>
  <c r="W119" i="1"/>
  <c r="V119" i="1"/>
  <c r="X118" i="1"/>
  <c r="W118" i="1"/>
  <c r="V118" i="1"/>
  <c r="X117" i="1"/>
  <c r="W117" i="1"/>
  <c r="V117" i="1"/>
  <c r="X116" i="1"/>
  <c r="W116" i="1"/>
  <c r="V116" i="1"/>
  <c r="X115" i="1"/>
  <c r="W115" i="1"/>
  <c r="V115" i="1"/>
  <c r="X114" i="1"/>
  <c r="W114" i="1"/>
  <c r="V114" i="1"/>
  <c r="X113" i="1"/>
  <c r="W113" i="1"/>
  <c r="V113" i="1"/>
  <c r="X112" i="1"/>
  <c r="W112" i="1"/>
  <c r="V112" i="1"/>
  <c r="X111" i="1"/>
  <c r="W111" i="1"/>
  <c r="V111" i="1"/>
  <c r="X110" i="1"/>
  <c r="W110" i="1"/>
  <c r="V110" i="1"/>
  <c r="X109" i="1"/>
  <c r="W109" i="1"/>
  <c r="V109" i="1"/>
  <c r="X108" i="1"/>
  <c r="W108" i="1"/>
  <c r="V108" i="1"/>
  <c r="X107" i="1"/>
  <c r="W107" i="1"/>
  <c r="V107" i="1"/>
  <c r="X106" i="1"/>
  <c r="W106" i="1"/>
  <c r="V106" i="1"/>
  <c r="X105" i="1"/>
  <c r="W105" i="1"/>
  <c r="V105" i="1"/>
  <c r="X104" i="1"/>
  <c r="W104" i="1"/>
  <c r="V104" i="1"/>
  <c r="X103" i="1"/>
  <c r="W103" i="1"/>
  <c r="V103" i="1"/>
  <c r="X102" i="1"/>
  <c r="W102" i="1"/>
  <c r="V102" i="1"/>
  <c r="X101" i="1"/>
  <c r="W101" i="1"/>
  <c r="V101" i="1"/>
  <c r="X100" i="1"/>
  <c r="W100" i="1"/>
  <c r="V100" i="1"/>
  <c r="X99" i="1"/>
  <c r="W99" i="1"/>
  <c r="V99" i="1"/>
  <c r="X98" i="1"/>
  <c r="W98" i="1"/>
  <c r="V98" i="1"/>
  <c r="X97" i="1"/>
  <c r="W97" i="1"/>
  <c r="V97" i="1"/>
  <c r="X96" i="1"/>
  <c r="W96" i="1"/>
  <c r="V96" i="1"/>
  <c r="X95" i="1"/>
  <c r="W95" i="1"/>
  <c r="V95" i="1"/>
  <c r="X94" i="1"/>
  <c r="W94" i="1"/>
  <c r="V94" i="1"/>
  <c r="X93" i="1"/>
  <c r="W93" i="1"/>
  <c r="V93" i="1"/>
  <c r="X92" i="1"/>
  <c r="W92" i="1"/>
  <c r="V92" i="1"/>
  <c r="X91" i="1"/>
  <c r="W91" i="1"/>
  <c r="V91" i="1"/>
  <c r="X90" i="1"/>
  <c r="W90" i="1"/>
  <c r="V90" i="1"/>
  <c r="X89" i="1"/>
  <c r="W89" i="1"/>
  <c r="V89" i="1"/>
  <c r="X88" i="1"/>
  <c r="W88" i="1"/>
  <c r="V88" i="1"/>
  <c r="X87" i="1"/>
  <c r="W87" i="1"/>
  <c r="V87" i="1"/>
  <c r="X86" i="1"/>
  <c r="W86" i="1"/>
  <c r="V86" i="1"/>
  <c r="X85" i="1"/>
  <c r="W85" i="1"/>
  <c r="V85" i="1"/>
  <c r="X84" i="1"/>
  <c r="W84" i="1"/>
  <c r="V84" i="1"/>
  <c r="X83" i="1"/>
  <c r="W83" i="1"/>
  <c r="V83" i="1"/>
  <c r="X82" i="1"/>
  <c r="W82" i="1"/>
  <c r="V82" i="1"/>
  <c r="X81" i="1"/>
  <c r="W81" i="1"/>
  <c r="V81" i="1"/>
  <c r="X80" i="1"/>
  <c r="W80" i="1"/>
  <c r="V80" i="1"/>
  <c r="X79" i="1"/>
  <c r="W79" i="1"/>
  <c r="V79" i="1"/>
  <c r="X78" i="1"/>
  <c r="W78" i="1"/>
  <c r="V78" i="1"/>
  <c r="X77" i="1"/>
  <c r="W77" i="1"/>
  <c r="V77" i="1"/>
  <c r="X76" i="1"/>
  <c r="W76" i="1"/>
  <c r="V76" i="1"/>
  <c r="X75" i="1"/>
  <c r="W75" i="1"/>
  <c r="V75" i="1"/>
  <c r="X74" i="1"/>
  <c r="W74" i="1"/>
  <c r="V74" i="1"/>
  <c r="X73" i="1"/>
  <c r="W73" i="1"/>
  <c r="V73" i="1"/>
  <c r="X72" i="1"/>
  <c r="W72" i="1"/>
  <c r="V72" i="1"/>
  <c r="X71" i="1"/>
  <c r="W71" i="1"/>
  <c r="V71" i="1"/>
  <c r="X70" i="1"/>
  <c r="W70" i="1"/>
  <c r="V70" i="1"/>
  <c r="X69" i="1"/>
  <c r="W69" i="1"/>
  <c r="V69" i="1"/>
  <c r="X68" i="1"/>
  <c r="W68" i="1"/>
  <c r="V68" i="1"/>
  <c r="X67" i="1"/>
  <c r="W67" i="1"/>
  <c r="V67" i="1"/>
  <c r="X66" i="1"/>
  <c r="W66" i="1"/>
  <c r="V66" i="1"/>
  <c r="X65" i="1"/>
  <c r="W65" i="1"/>
  <c r="V65" i="1"/>
  <c r="X64" i="1"/>
  <c r="W64" i="1"/>
  <c r="V64" i="1"/>
  <c r="X63" i="1"/>
  <c r="W63" i="1"/>
  <c r="V63" i="1"/>
  <c r="X62" i="1"/>
  <c r="W62" i="1"/>
  <c r="V62" i="1"/>
  <c r="X61" i="1"/>
  <c r="W61" i="1"/>
  <c r="V61" i="1"/>
  <c r="X60" i="1"/>
  <c r="W60" i="1"/>
  <c r="V60" i="1"/>
  <c r="X59" i="1"/>
  <c r="W59" i="1"/>
  <c r="V59" i="1"/>
  <c r="X58" i="1"/>
  <c r="W58" i="1"/>
  <c r="V58" i="1"/>
  <c r="X57" i="1"/>
  <c r="W57" i="1"/>
  <c r="V57" i="1"/>
  <c r="X56" i="1"/>
  <c r="W56" i="1"/>
  <c r="V56" i="1"/>
  <c r="X55" i="1"/>
  <c r="W55" i="1"/>
  <c r="V55" i="1"/>
  <c r="X54" i="1"/>
  <c r="W54" i="1"/>
  <c r="V54" i="1"/>
  <c r="X53" i="1"/>
  <c r="W53" i="1"/>
  <c r="V53" i="1"/>
  <c r="X52" i="1"/>
  <c r="W52" i="1"/>
  <c r="V52" i="1"/>
  <c r="X51" i="1"/>
  <c r="W51" i="1"/>
  <c r="V51" i="1"/>
  <c r="X50" i="1"/>
  <c r="W50" i="1"/>
  <c r="V50" i="1"/>
  <c r="X49" i="1"/>
  <c r="W49" i="1"/>
  <c r="V49" i="1"/>
  <c r="X48" i="1"/>
  <c r="W48" i="1"/>
  <c r="V48" i="1"/>
  <c r="X47" i="1"/>
  <c r="W47" i="1"/>
  <c r="V47" i="1"/>
  <c r="X46" i="1"/>
  <c r="W46" i="1"/>
  <c r="V46" i="1"/>
  <c r="X45" i="1"/>
  <c r="W45" i="1"/>
  <c r="V45" i="1"/>
  <c r="X44" i="1"/>
  <c r="W44" i="1"/>
  <c r="V44" i="1"/>
  <c r="X43" i="1"/>
  <c r="W43" i="1"/>
  <c r="V43" i="1"/>
  <c r="X42" i="1"/>
  <c r="W42" i="1"/>
  <c r="V42" i="1"/>
  <c r="X41" i="1"/>
  <c r="W41" i="1"/>
  <c r="V41" i="1"/>
  <c r="X40" i="1"/>
  <c r="W40" i="1"/>
  <c r="V40" i="1"/>
  <c r="X39" i="1"/>
  <c r="W39" i="1"/>
  <c r="V39" i="1"/>
  <c r="X38" i="1"/>
  <c r="W38" i="1"/>
  <c r="V38" i="1"/>
  <c r="X37" i="1"/>
  <c r="W37" i="1"/>
  <c r="V37" i="1"/>
  <c r="X36" i="1"/>
  <c r="W36" i="1"/>
  <c r="V36" i="1"/>
  <c r="X35" i="1"/>
  <c r="W35" i="1"/>
  <c r="V35" i="1"/>
  <c r="X34" i="1"/>
  <c r="W34" i="1"/>
  <c r="V34" i="1"/>
  <c r="X33" i="1"/>
  <c r="W33" i="1"/>
  <c r="V33" i="1"/>
  <c r="X32" i="1"/>
  <c r="W32" i="1"/>
  <c r="V32" i="1"/>
  <c r="X31" i="1"/>
  <c r="W31" i="1"/>
  <c r="V31" i="1"/>
  <c r="X30" i="1"/>
  <c r="W30" i="1"/>
  <c r="V30" i="1"/>
  <c r="X29" i="1"/>
  <c r="W29" i="1"/>
  <c r="V29" i="1"/>
  <c r="X28" i="1"/>
  <c r="W28" i="1"/>
  <c r="V28" i="1"/>
  <c r="X27" i="1"/>
  <c r="W27" i="1"/>
  <c r="V27" i="1"/>
  <c r="X26" i="1"/>
  <c r="W26" i="1"/>
  <c r="V26" i="1"/>
  <c r="X25" i="1"/>
  <c r="W25" i="1"/>
  <c r="V25" i="1"/>
  <c r="X24" i="1"/>
  <c r="W24" i="1"/>
  <c r="V24" i="1"/>
  <c r="X23" i="1"/>
  <c r="W23" i="1"/>
  <c r="V23" i="1"/>
  <c r="X22" i="1"/>
  <c r="W22" i="1"/>
  <c r="V22" i="1"/>
  <c r="X21" i="1"/>
  <c r="W21" i="1"/>
  <c r="V21" i="1"/>
  <c r="X20" i="1"/>
  <c r="W20" i="1"/>
  <c r="V20" i="1"/>
  <c r="X19" i="1"/>
  <c r="W19" i="1"/>
  <c r="V19" i="1"/>
  <c r="X18" i="1"/>
  <c r="W18" i="1"/>
  <c r="V18" i="1"/>
  <c r="X17" i="1"/>
  <c r="W17" i="1"/>
  <c r="V17" i="1"/>
  <c r="X16" i="1"/>
  <c r="W16" i="1"/>
  <c r="V16" i="1"/>
  <c r="X15" i="1"/>
  <c r="W15" i="1"/>
  <c r="V15" i="1"/>
  <c r="X14" i="1"/>
  <c r="W14" i="1"/>
  <c r="V14" i="1"/>
  <c r="X13" i="1"/>
  <c r="W13" i="1"/>
  <c r="V13" i="1"/>
  <c r="X12" i="1"/>
  <c r="W12" i="1"/>
  <c r="V12" i="1"/>
  <c r="X11" i="1"/>
  <c r="W11" i="1"/>
  <c r="V11" i="1"/>
  <c r="X10" i="1"/>
  <c r="W10" i="1"/>
  <c r="V10" i="1"/>
  <c r="X9" i="1"/>
  <c r="W9" i="1"/>
  <c r="V9" i="1"/>
  <c r="X8" i="1"/>
  <c r="W8" i="1"/>
  <c r="V8" i="1"/>
  <c r="X7" i="1"/>
  <c r="W7" i="1"/>
  <c r="V7" i="1"/>
  <c r="X6" i="1"/>
  <c r="W6" i="1"/>
  <c r="V6" i="1"/>
  <c r="S209" i="1"/>
  <c r="R209" i="1"/>
  <c r="Q209" i="1"/>
  <c r="S208" i="1"/>
  <c r="R208" i="1"/>
  <c r="Q208" i="1"/>
  <c r="S207" i="1"/>
  <c r="R207" i="1"/>
  <c r="Q207" i="1"/>
  <c r="S206" i="1"/>
  <c r="R206" i="1"/>
  <c r="Q206" i="1"/>
  <c r="S205" i="1"/>
  <c r="R205" i="1"/>
  <c r="Q205" i="1"/>
  <c r="S204" i="1"/>
  <c r="R204" i="1"/>
  <c r="Q204" i="1"/>
  <c r="S203" i="1"/>
  <c r="R203" i="1"/>
  <c r="Q203" i="1"/>
  <c r="S202" i="1"/>
  <c r="R202" i="1"/>
  <c r="Q202" i="1"/>
  <c r="S201" i="1"/>
  <c r="R201" i="1"/>
  <c r="Q201" i="1"/>
  <c r="S200" i="1"/>
  <c r="R200" i="1"/>
  <c r="Q200" i="1"/>
  <c r="S199" i="1"/>
  <c r="R199" i="1"/>
  <c r="Q199" i="1"/>
  <c r="S198" i="1"/>
  <c r="R198" i="1"/>
  <c r="Q198" i="1"/>
  <c r="S197" i="1"/>
  <c r="R197" i="1"/>
  <c r="Q197" i="1"/>
  <c r="S196" i="1"/>
  <c r="R196" i="1"/>
  <c r="Q196" i="1"/>
  <c r="S195" i="1"/>
  <c r="R195" i="1"/>
  <c r="Q195" i="1"/>
  <c r="S194" i="1"/>
  <c r="R194" i="1"/>
  <c r="Q194" i="1"/>
  <c r="S193" i="1"/>
  <c r="R193" i="1"/>
  <c r="Q193" i="1"/>
  <c r="S192" i="1"/>
  <c r="R192" i="1"/>
  <c r="Q192" i="1"/>
  <c r="S191" i="1"/>
  <c r="R191" i="1"/>
  <c r="Q191" i="1"/>
  <c r="S190" i="1"/>
  <c r="R190" i="1"/>
  <c r="Q190" i="1"/>
  <c r="S189" i="1"/>
  <c r="R189" i="1"/>
  <c r="Q189" i="1"/>
  <c r="S188" i="1"/>
  <c r="R188" i="1"/>
  <c r="Q188" i="1"/>
  <c r="S187" i="1"/>
  <c r="R187" i="1"/>
  <c r="Q187" i="1"/>
  <c r="S186" i="1"/>
  <c r="R186" i="1"/>
  <c r="Q186" i="1"/>
  <c r="S185" i="1"/>
  <c r="R185" i="1"/>
  <c r="Q185" i="1"/>
  <c r="S184" i="1"/>
  <c r="R184" i="1"/>
  <c r="Q184" i="1"/>
  <c r="S183" i="1"/>
  <c r="R183" i="1"/>
  <c r="Q183" i="1"/>
  <c r="S182" i="1"/>
  <c r="R182" i="1"/>
  <c r="Q182" i="1"/>
  <c r="S181" i="1"/>
  <c r="R181" i="1"/>
  <c r="Q181" i="1"/>
  <c r="S180" i="1"/>
  <c r="R180" i="1"/>
  <c r="Q180" i="1"/>
  <c r="S179" i="1"/>
  <c r="R179" i="1"/>
  <c r="Q179" i="1"/>
  <c r="S178" i="1"/>
  <c r="R178" i="1"/>
  <c r="Q178" i="1"/>
  <c r="S177" i="1"/>
  <c r="R177" i="1"/>
  <c r="Q177" i="1"/>
  <c r="S176" i="1"/>
  <c r="R176" i="1"/>
  <c r="Q176" i="1"/>
  <c r="S175" i="1"/>
  <c r="R175" i="1"/>
  <c r="Q175" i="1"/>
  <c r="S174" i="1"/>
  <c r="R174" i="1"/>
  <c r="Q174" i="1"/>
  <c r="S173" i="1"/>
  <c r="R173" i="1"/>
  <c r="Q173" i="1"/>
  <c r="S172" i="1"/>
  <c r="R172" i="1"/>
  <c r="Q172" i="1"/>
  <c r="S171" i="1"/>
  <c r="R171" i="1"/>
  <c r="Q171" i="1"/>
  <c r="S170" i="1"/>
  <c r="R170" i="1"/>
  <c r="Q170" i="1"/>
  <c r="S169" i="1"/>
  <c r="R169" i="1"/>
  <c r="Q169" i="1"/>
  <c r="S168" i="1"/>
  <c r="R168" i="1"/>
  <c r="Q168" i="1"/>
  <c r="S167" i="1"/>
  <c r="R167" i="1"/>
  <c r="Q167" i="1"/>
  <c r="S166" i="1"/>
  <c r="R166" i="1"/>
  <c r="Q166" i="1"/>
  <c r="S165" i="1"/>
  <c r="R165" i="1"/>
  <c r="Q165" i="1"/>
  <c r="S164" i="1"/>
  <c r="R164" i="1"/>
  <c r="Q164" i="1"/>
  <c r="S163" i="1"/>
  <c r="R163" i="1"/>
  <c r="Q163" i="1"/>
  <c r="S162" i="1"/>
  <c r="R162" i="1"/>
  <c r="Q162" i="1"/>
  <c r="S161" i="1"/>
  <c r="R161" i="1"/>
  <c r="Q161" i="1"/>
  <c r="S160" i="1"/>
  <c r="R160" i="1"/>
  <c r="Q160" i="1"/>
  <c r="S159" i="1"/>
  <c r="R159" i="1"/>
  <c r="Q159" i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M9" i="1"/>
  <c r="L9" i="1"/>
  <c r="N8" i="1"/>
  <c r="M8" i="1"/>
  <c r="L8" i="1"/>
  <c r="N7" i="1"/>
  <c r="M7" i="1"/>
  <c r="L7" i="1"/>
  <c r="N6" i="1"/>
  <c r="M6" i="1"/>
  <c r="L6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BU169" i="1" l="1"/>
  <c r="BU155" i="1"/>
  <c r="BU112" i="1"/>
  <c r="BU53" i="1"/>
  <c r="BU168" i="1"/>
  <c r="BU165" i="1"/>
  <c r="BX170" i="1"/>
  <c r="BU13" i="1"/>
  <c r="BX55" i="1"/>
  <c r="BX89" i="1"/>
  <c r="BX22" i="1"/>
  <c r="BU171" i="1"/>
  <c r="BX68" i="1"/>
  <c r="BU160" i="1"/>
  <c r="BU16" i="1"/>
  <c r="BU92" i="1"/>
  <c r="BX44" i="1"/>
  <c r="BX16" i="1"/>
  <c r="BU167" i="1"/>
  <c r="BU131" i="1"/>
  <c r="BU107" i="1"/>
  <c r="BU57" i="1"/>
  <c r="BX37" i="1"/>
  <c r="BU37" i="1"/>
  <c r="BX165" i="1"/>
  <c r="BU101" i="1"/>
  <c r="BU9" i="1"/>
  <c r="BU87" i="1"/>
  <c r="BX70" i="1"/>
  <c r="BX176" i="1"/>
  <c r="BX84" i="1"/>
  <c r="BU77" i="1"/>
  <c r="BX161" i="1"/>
  <c r="BU142" i="1"/>
  <c r="BU19" i="1"/>
  <c r="BX159" i="1"/>
  <c r="BU140" i="1"/>
  <c r="BX38" i="1"/>
  <c r="BU177" i="1"/>
  <c r="BU174" i="1"/>
  <c r="BX173" i="1"/>
  <c r="BU172" i="1"/>
  <c r="BU103" i="1"/>
  <c r="BU159" i="1"/>
  <c r="BU68" i="1"/>
  <c r="BU147" i="1"/>
  <c r="BU18" i="1"/>
  <c r="BX146" i="1"/>
  <c r="BU194" i="1"/>
  <c r="BU192" i="1"/>
  <c r="BX191" i="1"/>
  <c r="BX190" i="1"/>
  <c r="BX182" i="1"/>
  <c r="BX108" i="1"/>
  <c r="BX95" i="1"/>
  <c r="BX118" i="1"/>
  <c r="BX177" i="1"/>
  <c r="BX169" i="1"/>
  <c r="BU170" i="1"/>
  <c r="BX79" i="1"/>
  <c r="BX186" i="1"/>
  <c r="BU44" i="1"/>
  <c r="BU184" i="1"/>
  <c r="BU124" i="1"/>
  <c r="M136" i="1" l="1"/>
  <c r="N136" i="1"/>
  <c r="L136" i="1"/>
</calcChain>
</file>

<file path=xl/sharedStrings.xml><?xml version="1.0" encoding="utf-8"?>
<sst xmlns="http://schemas.openxmlformats.org/spreadsheetml/2006/main" count="1121" uniqueCount="308">
  <si>
    <t>Season</t>
  </si>
  <si>
    <t>Team</t>
  </si>
  <si>
    <t>Player</t>
  </si>
  <si>
    <t>출전 경기 수</t>
  </si>
  <si>
    <t>m</t>
  </si>
  <si>
    <t>s</t>
  </si>
  <si>
    <t>출전 시간(초)</t>
  </si>
  <si>
    <t>득점</t>
  </si>
  <si>
    <t>평균 득점</t>
  </si>
  <si>
    <t>FGA</t>
  </si>
  <si>
    <t>FG%</t>
  </si>
  <si>
    <t>2PA</t>
  </si>
  <si>
    <t>2P%</t>
  </si>
  <si>
    <t>3P%</t>
  </si>
  <si>
    <t>평균 FT 시도</t>
  </si>
  <si>
    <t>FT%</t>
  </si>
  <si>
    <t>리바운드</t>
  </si>
  <si>
    <t>평균 리바운드</t>
  </si>
  <si>
    <t>공격 리바운드</t>
  </si>
  <si>
    <t>평균 공격 리바운드</t>
  </si>
  <si>
    <t>수비 리바운드</t>
  </si>
  <si>
    <t>평균 수비 리바운드</t>
  </si>
  <si>
    <t>어시스트</t>
  </si>
  <si>
    <t>평균 어시스트</t>
  </si>
  <si>
    <t>스틸</t>
  </si>
  <si>
    <t>평균 스틸</t>
  </si>
  <si>
    <t>블록</t>
  </si>
  <si>
    <t>평균 블록</t>
  </si>
  <si>
    <t>턴오버</t>
  </si>
  <si>
    <t>평균 턴오버</t>
  </si>
  <si>
    <t>파울</t>
  </si>
  <si>
    <t>평균 파울</t>
  </si>
  <si>
    <t>WS</t>
  </si>
  <si>
    <t>WS/40</t>
  </si>
  <si>
    <t>Offensive_WS</t>
  </si>
  <si>
    <t>Defensive_WS</t>
  </si>
  <si>
    <t>Offensive_rating</t>
  </si>
  <si>
    <t>Defensive_rating</t>
  </si>
  <si>
    <t>PER</t>
  </si>
  <si>
    <t>EFF</t>
  </si>
  <si>
    <t>EFF/40</t>
  </si>
  <si>
    <t>TS%</t>
  </si>
  <si>
    <t>eFG%</t>
  </si>
  <si>
    <t>USG%</t>
  </si>
  <si>
    <t>3PAr</t>
  </si>
  <si>
    <t>FTr</t>
  </si>
  <si>
    <t>ORB%</t>
  </si>
  <si>
    <t>DRB%</t>
  </si>
  <si>
    <t>TRB%</t>
  </si>
  <si>
    <t>AST%</t>
  </si>
  <si>
    <t>STL%</t>
  </si>
  <si>
    <t>BS%</t>
  </si>
  <si>
    <t>TOV%</t>
  </si>
  <si>
    <t>2023-24</t>
  </si>
  <si>
    <t>자밀 워니</t>
  </si>
  <si>
    <t>오세근</t>
  </si>
  <si>
    <t>최부경</t>
  </si>
  <si>
    <t>최원혁</t>
  </si>
  <si>
    <t>허일영</t>
  </si>
  <si>
    <t>리온 윌리엄스</t>
  </si>
  <si>
    <t>오재현</t>
  </si>
  <si>
    <t>안영준</t>
  </si>
  <si>
    <t>김선형</t>
  </si>
  <si>
    <t>양우섭</t>
  </si>
  <si>
    <t>송창용</t>
  </si>
  <si>
    <t>김형빈</t>
  </si>
  <si>
    <t>문가온</t>
  </si>
  <si>
    <t>이경도</t>
  </si>
  <si>
    <t>전성환</t>
  </si>
  <si>
    <t>박민우</t>
  </si>
  <si>
    <t>선상혁</t>
  </si>
  <si>
    <t>패리스 배스</t>
  </si>
  <si>
    <t>하윤기</t>
  </si>
  <si>
    <t>문정현</t>
  </si>
  <si>
    <t>마이클 에릭</t>
  </si>
  <si>
    <t>문성곤</t>
  </si>
  <si>
    <t>이두원</t>
  </si>
  <si>
    <t>한희원</t>
  </si>
  <si>
    <t>정성우</t>
  </si>
  <si>
    <t>최창진</t>
  </si>
  <si>
    <t>허훈</t>
  </si>
  <si>
    <t>숀 데이브 일데폰소</t>
  </si>
  <si>
    <t>이현석</t>
  </si>
  <si>
    <t>최성모</t>
  </si>
  <si>
    <t>이윤기</t>
  </si>
  <si>
    <t>김준환</t>
  </si>
  <si>
    <t>박찬호</t>
  </si>
  <si>
    <t>박선웅</t>
  </si>
  <si>
    <t>박준영</t>
  </si>
  <si>
    <t>이호준</t>
  </si>
  <si>
    <t>알리제 드숀 존슨</t>
  </si>
  <si>
    <t>라건아</t>
  </si>
  <si>
    <t>이승현</t>
  </si>
  <si>
    <t>최준용</t>
  </si>
  <si>
    <t>이호현</t>
  </si>
  <si>
    <t>정창영</t>
  </si>
  <si>
    <t>송교창</t>
  </si>
  <si>
    <t>이근휘</t>
  </si>
  <si>
    <t>곽정훈</t>
  </si>
  <si>
    <t>허웅</t>
  </si>
  <si>
    <t>송동훈</t>
  </si>
  <si>
    <t>여준형</t>
  </si>
  <si>
    <t>서정현</t>
  </si>
  <si>
    <t>전준범</t>
  </si>
  <si>
    <t>캘빈 제프리 에피스톨라</t>
  </si>
  <si>
    <t>김동현</t>
  </si>
  <si>
    <t>이주영</t>
  </si>
  <si>
    <t>이진욱</t>
  </si>
  <si>
    <t>게이지 프림</t>
  </si>
  <si>
    <t>케베 알루마</t>
  </si>
  <si>
    <t>함지훈</t>
  </si>
  <si>
    <t>장재석</t>
  </si>
  <si>
    <t>이우석</t>
  </si>
  <si>
    <t>김준일</t>
  </si>
  <si>
    <t>김국찬</t>
  </si>
  <si>
    <t>박무빈</t>
  </si>
  <si>
    <t>최진수</t>
  </si>
  <si>
    <t>신민석</t>
  </si>
  <si>
    <t>김지완</t>
  </si>
  <si>
    <t>미구엘 안드레 옥존</t>
  </si>
  <si>
    <t>김태완</t>
  </si>
  <si>
    <t>김현민</t>
  </si>
  <si>
    <t>김현수</t>
  </si>
  <si>
    <t>박준은</t>
  </si>
  <si>
    <t>서명진</t>
  </si>
  <si>
    <t>김종규</t>
  </si>
  <si>
    <t>디드릭 로슨</t>
  </si>
  <si>
    <t>강상재</t>
  </si>
  <si>
    <t>제프 위디</t>
  </si>
  <si>
    <t>박인웅</t>
  </si>
  <si>
    <t>최승욱</t>
  </si>
  <si>
    <t>이선 알바노</t>
  </si>
  <si>
    <t>서민수</t>
  </si>
  <si>
    <t>김영현</t>
  </si>
  <si>
    <t>이용우</t>
  </si>
  <si>
    <t>박승재</t>
  </si>
  <si>
    <t>김훈</t>
  </si>
  <si>
    <t>두경민</t>
  </si>
  <si>
    <t>유현준</t>
  </si>
  <si>
    <t>이윤수</t>
  </si>
  <si>
    <t>김형준</t>
  </si>
  <si>
    <t>박찬희</t>
  </si>
  <si>
    <t>이준희</t>
  </si>
  <si>
    <t>김현호</t>
  </si>
  <si>
    <t>인승찬</t>
  </si>
  <si>
    <t>최승빈</t>
  </si>
  <si>
    <t>치나누 오누아쿠</t>
  </si>
  <si>
    <t>김진유</t>
  </si>
  <si>
    <t>김민욱</t>
  </si>
  <si>
    <t>최현민</t>
  </si>
  <si>
    <t>이정현</t>
  </si>
  <si>
    <t>김강선</t>
  </si>
  <si>
    <t>한호빈</t>
  </si>
  <si>
    <t>함준후</t>
  </si>
  <si>
    <t>백지웅</t>
  </si>
  <si>
    <t>김지후</t>
  </si>
  <si>
    <t>전성현</t>
  </si>
  <si>
    <t>박종하</t>
  </si>
  <si>
    <t>조재우</t>
  </si>
  <si>
    <t>다후안 서머스</t>
  </si>
  <si>
    <t>안정욱</t>
  </si>
  <si>
    <t>이진석</t>
  </si>
  <si>
    <t>알렉스 카바노</t>
  </si>
  <si>
    <t>김진용</t>
  </si>
  <si>
    <t>민기남</t>
  </si>
  <si>
    <t>조은후</t>
  </si>
  <si>
    <t>코피 코번</t>
  </si>
  <si>
    <t>이원석</t>
  </si>
  <si>
    <t>이스마엘 레인</t>
  </si>
  <si>
    <t>차민석</t>
  </si>
  <si>
    <t>이동엽</t>
  </si>
  <si>
    <t>윤성원</t>
  </si>
  <si>
    <t>김승원</t>
  </si>
  <si>
    <t>신동혁</t>
  </si>
  <si>
    <t>김시래</t>
  </si>
  <si>
    <t>조우성</t>
  </si>
  <si>
    <t>홍경기</t>
  </si>
  <si>
    <t>아반 나바</t>
  </si>
  <si>
    <t>조준희</t>
  </si>
  <si>
    <t>김무성</t>
  </si>
  <si>
    <t>김광철</t>
  </si>
  <si>
    <t>김한솔</t>
  </si>
  <si>
    <t>아셈 마레이</t>
  </si>
  <si>
    <t>양홍석</t>
  </si>
  <si>
    <t>후안 텔로</t>
  </si>
  <si>
    <t>유기상</t>
  </si>
  <si>
    <t>이재도</t>
  </si>
  <si>
    <t>저스틴 구탕</t>
  </si>
  <si>
    <t>정희재</t>
  </si>
  <si>
    <t>이관희</t>
  </si>
  <si>
    <t>단테 커닝햄</t>
  </si>
  <si>
    <t>박정현</t>
  </si>
  <si>
    <t>양준석</t>
  </si>
  <si>
    <t>정인덕</t>
  </si>
  <si>
    <t>윤원상</t>
  </si>
  <si>
    <t>이승우</t>
  </si>
  <si>
    <t>임동섭</t>
  </si>
  <si>
    <t>김준형</t>
  </si>
  <si>
    <t>박인태</t>
  </si>
  <si>
    <t>한상혁</t>
  </si>
  <si>
    <t>듀반 맥스웰</t>
  </si>
  <si>
    <t>앤드류 니콜슨</t>
  </si>
  <si>
    <t>차바위</t>
  </si>
  <si>
    <t>이대헌</t>
  </si>
  <si>
    <t>신승민</t>
  </si>
  <si>
    <t>박봉진</t>
  </si>
  <si>
    <t>박지훈</t>
  </si>
  <si>
    <t>신주영</t>
  </si>
  <si>
    <t>김낙현</t>
  </si>
  <si>
    <t>샘조세프 벨란겔</t>
  </si>
  <si>
    <t>김동량</t>
  </si>
  <si>
    <t>양재혁</t>
  </si>
  <si>
    <t>양준우</t>
  </si>
  <si>
    <t>조상열</t>
  </si>
  <si>
    <t>안세영</t>
  </si>
  <si>
    <t>염유성</t>
  </si>
  <si>
    <t>이도헌</t>
  </si>
  <si>
    <t>이원대</t>
  </si>
  <si>
    <t>최주영</t>
  </si>
  <si>
    <t>김진모</t>
  </si>
  <si>
    <t>이종현</t>
  </si>
  <si>
    <t>김경원</t>
  </si>
  <si>
    <t>정효근</t>
  </si>
  <si>
    <t>렌즈 아반도</t>
  </si>
  <si>
    <t>로버트 카터</t>
  </si>
  <si>
    <t>정준원</t>
  </si>
  <si>
    <t>최성원</t>
  </si>
  <si>
    <t>배병준</t>
  </si>
  <si>
    <t>김철욱</t>
  </si>
  <si>
    <t>이우정</t>
  </si>
  <si>
    <t>자밀 윌슨</t>
  </si>
  <si>
    <t>고찬혁</t>
  </si>
  <si>
    <t>김상규</t>
  </si>
  <si>
    <t>나성호</t>
  </si>
  <si>
    <t>표승빈</t>
  </si>
  <si>
    <t>유진</t>
  </si>
  <si>
    <t>장태빈</t>
  </si>
  <si>
    <t>구분</t>
    <phoneticPr fontId="1" type="noConversion"/>
  </si>
  <si>
    <t>연봉</t>
    <phoneticPr fontId="1" type="noConversion"/>
  </si>
  <si>
    <t>외국인</t>
  </si>
  <si>
    <t>FG</t>
    <phoneticPr fontId="1" type="noConversion"/>
  </si>
  <si>
    <t>2P</t>
    <phoneticPr fontId="1" type="noConversion"/>
  </si>
  <si>
    <t>3P</t>
    <phoneticPr fontId="1" type="noConversion"/>
  </si>
  <si>
    <t>3PA</t>
    <phoneticPr fontId="1" type="noConversion"/>
  </si>
  <si>
    <t>아시아쿼터</t>
  </si>
  <si>
    <t>김근현</t>
  </si>
  <si>
    <t>김진영</t>
  </si>
  <si>
    <t>김태호</t>
  </si>
  <si>
    <t>최진광</t>
  </si>
  <si>
    <t>FTA</t>
    <phoneticPr fontId="1" type="noConversion"/>
  </si>
  <si>
    <t>FT</t>
    <phoneticPr fontId="1" type="noConversion"/>
  </si>
  <si>
    <t>평균 3p 성공</t>
    <phoneticPr fontId="1" type="noConversion"/>
  </si>
  <si>
    <t>평균 3p 시도</t>
    <phoneticPr fontId="1" type="noConversion"/>
  </si>
  <si>
    <t>평균 2p 시도</t>
    <phoneticPr fontId="1" type="noConversion"/>
  </si>
  <si>
    <t>평균 2p 성공</t>
    <phoneticPr fontId="1" type="noConversion"/>
  </si>
  <si>
    <t>평균 FG 성공</t>
    <phoneticPr fontId="1" type="noConversion"/>
  </si>
  <si>
    <t>평균 FG 시도</t>
    <phoneticPr fontId="1" type="noConversion"/>
  </si>
  <si>
    <t>국내</t>
  </si>
  <si>
    <t>평균 FT 성공</t>
    <phoneticPr fontId="1" type="noConversion"/>
  </si>
  <si>
    <t>서울 SK</t>
  </si>
  <si>
    <t>고양 소노</t>
  </si>
  <si>
    <t>대구 가스공사</t>
  </si>
  <si>
    <t>부산 KCC</t>
  </si>
  <si>
    <t>서울 삼성</t>
  </si>
  <si>
    <t>수원 KT</t>
  </si>
  <si>
    <t>원주 DB</t>
  </si>
  <si>
    <t>창원 LG</t>
  </si>
  <si>
    <t>아시아쿼터</t>
    <phoneticPr fontId="1" type="noConversion"/>
  </si>
  <si>
    <t>최승욱1</t>
    <phoneticPr fontId="1" type="noConversion"/>
  </si>
  <si>
    <t>박지훈1</t>
    <phoneticPr fontId="1" type="noConversion"/>
  </si>
  <si>
    <t>이정현1</t>
    <phoneticPr fontId="1" type="noConversion"/>
  </si>
  <si>
    <t>듀반 맥스웰</t>
    <phoneticPr fontId="1" type="noConversion"/>
  </si>
  <si>
    <t>박민우</t>
    <phoneticPr fontId="1" type="noConversion"/>
  </si>
  <si>
    <t>삼성 to SK</t>
    <phoneticPr fontId="1" type="noConversion"/>
  </si>
  <si>
    <t>조은후</t>
    <phoneticPr fontId="1" type="noConversion"/>
  </si>
  <si>
    <t>홍경기</t>
    <phoneticPr fontId="1" type="noConversion"/>
  </si>
  <si>
    <t>SK to 삼성</t>
    <phoneticPr fontId="1" type="noConversion"/>
  </si>
  <si>
    <t>안양 정관장</t>
    <phoneticPr fontId="1" type="noConversion"/>
  </si>
  <si>
    <t>정관장 to 소노</t>
    <phoneticPr fontId="1" type="noConversion"/>
  </si>
  <si>
    <t>정관장 to 가스공사</t>
    <phoneticPr fontId="1" type="noConversion"/>
  </si>
  <si>
    <t>울산 모비스</t>
    <phoneticPr fontId="1" type="noConversion"/>
  </si>
  <si>
    <t>고메즈 델 리아노</t>
  </si>
  <si>
    <t>포지션</t>
    <phoneticPr fontId="1" type="noConversion"/>
  </si>
  <si>
    <t>김건우1</t>
    <phoneticPr fontId="1" type="noConversion"/>
  </si>
  <si>
    <t>승</t>
  </si>
  <si>
    <t>패</t>
  </si>
  <si>
    <t>KBL 공헌도</t>
    <phoneticPr fontId="1" type="noConversion"/>
  </si>
  <si>
    <t>KBL 공헌도_가점</t>
    <phoneticPr fontId="1" type="noConversion"/>
  </si>
  <si>
    <t>KBL 공헌도_감점</t>
    <phoneticPr fontId="1" type="noConversion"/>
  </si>
  <si>
    <t>KBL 공헌도/경기당</t>
    <phoneticPr fontId="1" type="noConversion"/>
  </si>
  <si>
    <t>KBL 공헌도_가점/경기당</t>
    <phoneticPr fontId="1" type="noConversion"/>
  </si>
  <si>
    <t>KBL 공헌도_감점/경기당</t>
    <phoneticPr fontId="1" type="noConversion"/>
  </si>
  <si>
    <t>KBL 공헌도/40분</t>
    <phoneticPr fontId="1" type="noConversion"/>
  </si>
  <si>
    <t>KBL 공헌도_가점/40분</t>
    <phoneticPr fontId="1" type="noConversion"/>
  </si>
  <si>
    <t>KBL 공헌도_감점/40분</t>
    <phoneticPr fontId="1" type="noConversion"/>
  </si>
  <si>
    <t>고양 소노</t>
    <phoneticPr fontId="1" type="noConversion"/>
  </si>
  <si>
    <t>디욘테 데이비스</t>
    <phoneticPr fontId="1" type="noConversion"/>
  </si>
  <si>
    <t>앤쏘니 모스</t>
    <phoneticPr fontId="1" type="noConversion"/>
  </si>
  <si>
    <t>오마리 스펠맨</t>
    <phoneticPr fontId="1" type="noConversion"/>
  </si>
  <si>
    <t>재로드 존스</t>
    <phoneticPr fontId="1" type="noConversion"/>
  </si>
  <si>
    <t>조쉬 이바라</t>
  </si>
  <si>
    <t>조쉬 토랄바</t>
  </si>
  <si>
    <t>개리슨 브룩스</t>
  </si>
  <si>
    <t>대릴 먼로</t>
    <phoneticPr fontId="1" type="noConversion"/>
  </si>
  <si>
    <t/>
  </si>
  <si>
    <t>F</t>
  </si>
  <si>
    <t>G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</si>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</sst>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176" formatCode="#,##0_);[Red]\(#,##0\)"/>
    <numFmt numFmtId="177" formatCode="0_);[Red]\(0\)"/>
    <numFmt numFmtId="178" formatCode="0.00_);[Red]\(0.00\)"/>
    <numFmt numFmtId="179" formatCode="0.000_ "/>
    <numFmt numFmtId="180" formatCode="#,##0.000_);[Red]\(#,##0.000\)"/>
    <numFmt numFmtId="181" formatCode="0.000_);[Red]\(0.00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1"/>
      <color theme="1"/>
      <name val="돋움"/>
      <family val="2"/>
      <charset val="129"/>
    </font>
    <font>
      <sz val="10"/>
      <color rgb="FF44444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</cellStyleXfs>
  <cellXfs count="4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0" fillId="0" borderId="0" xfId="2" applyFont="1">
      <alignment vertical="center"/>
    </xf>
    <xf numFmtId="0" fontId="6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41" fontId="7" fillId="0" borderId="0" xfId="2" applyFont="1">
      <alignment vertical="center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78" fontId="7" fillId="0" borderId="6" xfId="0" applyNumberFormat="1" applyFont="1" applyBorder="1" applyAlignment="1">
      <alignment horizontal="center" vertical="center"/>
    </xf>
    <xf numFmtId="181" fontId="7" fillId="0" borderId="6" xfId="0" applyNumberFormat="1" applyFont="1" applyBorder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10" fontId="7" fillId="0" borderId="0" xfId="4" applyNumberFormat="1" applyFont="1" applyAlignment="1">
      <alignment horizontal="center" vertical="center"/>
    </xf>
    <xf numFmtId="41" fontId="7" fillId="0" borderId="0" xfId="5" applyFont="1">
      <alignment vertical="center"/>
    </xf>
    <xf numFmtId="38" fontId="7" fillId="0" borderId="2" xfId="0" applyNumberFormat="1" applyFont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38" fontId="7" fillId="0" borderId="3" xfId="0" applyNumberFormat="1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</cellXfs>
  <cellStyles count="6">
    <cellStyle name="백분율" xfId="1" builtinId="5"/>
    <cellStyle name="백분율 2" xfId="4" xr:uid="{A81DF1AB-537B-4B51-9678-7F0D1EB20FF2}"/>
    <cellStyle name="쉼표 [0]" xfId="2" builtinId="6"/>
    <cellStyle name="쉼표 [0] 2" xfId="5" xr:uid="{DD7AA406-F4B0-4ED1-B9F2-550A184A47A6}"/>
    <cellStyle name="표준" xfId="0" builtinId="0"/>
    <cellStyle name="표준 2 8" xfId="3" xr:uid="{F1B91AA9-50A4-4F18-BB08-7E54A1316908}"/>
  </cellStyles>
  <dxfs count="1">
    <dxf>
      <fill>
        <patternFill patternType="solid">
          <fgColor rgb="FFE97132"/>
          <bgColor rgb="FF000000"/>
        </patternFill>
      </fill>
    </dxf>
  </dxfs>
  <tableStyles count="1" defaultTableStyle="TableStyleMedium2" defaultPivotStyle="PivotStyleLight16">
    <tableStyle name="Invisible" pivot="0" table="0" count="0" xr9:uid="{76F0114F-B418-455F-ADC7-0A849209B8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66F-BA9D-4F4E-80F0-8D4A27B7E2E2}">
  <dimension ref="A1:CB209"/>
  <sheetViews>
    <sheetView tabSelected="1" zoomScaleNormal="100" workbookViewId="0">
      <pane xSplit="3" ySplit="1" topLeftCell="BI28" activePane="bottomRight" state="frozen"/>
      <selection pane="topRight" activeCell="E1" sqref="E1"/>
      <selection pane="bottomLeft" activeCell="A2" sqref="A2"/>
      <selection pane="bottomRight" activeCell="BQ33" sqref="BQ33"/>
    </sheetView>
  </sheetViews>
  <sheetFormatPr defaultRowHeight="17.399999999999999" x14ac:dyDescent="0.4"/>
  <cols>
    <col min="1" max="1" width="12" bestFit="1" customWidth="1"/>
    <col min="2" max="2" width="16.3984375" bestFit="1" customWidth="1"/>
    <col min="3" max="3" width="22.69921875" bestFit="1" customWidth="1"/>
    <col min="4" max="4" width="15.19921875" bestFit="1" customWidth="1"/>
    <col min="5" max="5" width="7.09765625" bestFit="1" customWidth="1"/>
    <col min="6" max="6" width="17.3984375" style="1" bestFit="1" customWidth="1"/>
    <col min="7" max="7" width="10" style="1" bestFit="1" customWidth="1"/>
    <col min="8" max="8" width="14.09765625" bestFit="1" customWidth="1"/>
    <col min="9" max="9" width="9.59765625" style="1" bestFit="1" customWidth="1"/>
    <col min="10" max="10" width="8.5" bestFit="1" customWidth="1"/>
    <col min="11" max="12" width="16.8984375" bestFit="1" customWidth="1"/>
    <col min="13" max="13" width="10" bestFit="1" customWidth="1"/>
    <col min="14" max="14" width="9.59765625" bestFit="1" customWidth="1"/>
    <col min="15" max="15" width="8.5" bestFit="1" customWidth="1"/>
    <col min="16" max="17" width="16.8984375" bestFit="1" customWidth="1"/>
    <col min="18" max="18" width="10" bestFit="1" customWidth="1"/>
    <col min="19" max="19" width="9.59765625" bestFit="1" customWidth="1"/>
    <col min="20" max="20" width="8.5" bestFit="1" customWidth="1"/>
    <col min="21" max="22" width="16.8984375" bestFit="1" customWidth="1"/>
    <col min="23" max="23" width="10" bestFit="1" customWidth="1"/>
    <col min="24" max="24" width="9.3984375" bestFit="1" customWidth="1"/>
    <col min="25" max="25" width="8.19921875" bestFit="1" customWidth="1"/>
    <col min="26" max="27" width="16.59765625" bestFit="1" customWidth="1"/>
    <col min="28" max="28" width="9.59765625" bestFit="1" customWidth="1"/>
    <col min="29" max="29" width="13.5" bestFit="1" customWidth="1"/>
    <col min="30" max="31" width="17.8984375" bestFit="1" customWidth="1"/>
    <col min="32" max="32" width="22.59765625" bestFit="1" customWidth="1"/>
    <col min="33" max="33" width="17.8984375" bestFit="1" customWidth="1"/>
    <col min="34" max="34" width="22.59765625" bestFit="1" customWidth="1"/>
    <col min="35" max="35" width="13.5" bestFit="1" customWidth="1"/>
    <col min="36" max="36" width="17.8984375" bestFit="1" customWidth="1"/>
    <col min="37" max="37" width="10" bestFit="1" customWidth="1"/>
    <col min="38" max="38" width="14.09765625" bestFit="1" customWidth="1"/>
    <col min="39" max="39" width="10" bestFit="1" customWidth="1"/>
    <col min="40" max="40" width="14.09765625" bestFit="1" customWidth="1"/>
    <col min="41" max="41" width="11.69921875" bestFit="1" customWidth="1"/>
    <col min="42" max="42" width="16" bestFit="1" customWidth="1"/>
    <col min="43" max="43" width="10" bestFit="1" customWidth="1"/>
    <col min="44" max="44" width="14.09765625" bestFit="1" customWidth="1"/>
    <col min="45" max="45" width="9.09765625" bestFit="1" customWidth="1"/>
    <col min="46" max="46" width="11.8984375" bestFit="1" customWidth="1"/>
    <col min="47" max="47" width="17.5" bestFit="1" customWidth="1"/>
    <col min="48" max="48" width="17.69921875" bestFit="1" customWidth="1"/>
    <col min="49" max="49" width="19.8984375" bestFit="1" customWidth="1"/>
    <col min="50" max="50" width="20.09765625" bestFit="1" customWidth="1"/>
    <col min="51" max="51" width="9.3984375" bestFit="1" customWidth="1"/>
    <col min="52" max="52" width="9.09765625" bestFit="1" customWidth="1"/>
    <col min="53" max="53" width="11.8984375" bestFit="1" customWidth="1"/>
    <col min="54" max="54" width="9.8984375" bestFit="1" customWidth="1"/>
    <col min="55" max="55" width="10.8984375" bestFit="1" customWidth="1"/>
    <col min="56" max="56" width="11.19921875" bestFit="1" customWidth="1"/>
    <col min="57" max="57" width="10.19921875" bestFit="1" customWidth="1"/>
    <col min="58" max="58" width="8.69921875" bestFit="1" customWidth="1"/>
    <col min="59" max="60" width="11.19921875" bestFit="1" customWidth="1"/>
    <col min="61" max="61" width="10.8984375" bestFit="1" customWidth="1"/>
    <col min="62" max="62" width="11" bestFit="1" customWidth="1"/>
    <col min="63" max="63" width="10.69921875" bestFit="1" customWidth="1"/>
    <col min="64" max="64" width="10" bestFit="1" customWidth="1"/>
    <col min="65" max="65" width="11.19921875" bestFit="1" customWidth="1"/>
    <col min="66" max="66" width="11" bestFit="1" customWidth="1"/>
    <col min="67" max="67" width="10" style="8" bestFit="1" customWidth="1"/>
    <col min="69" max="69" width="16.59765625" bestFit="1" customWidth="1"/>
    <col min="70" max="70" width="10.8984375" bestFit="1" customWidth="1"/>
    <col min="71" max="72" width="15.69921875" bestFit="1" customWidth="1"/>
    <col min="73" max="73" width="17.59765625" bestFit="1" customWidth="1"/>
    <col min="74" max="75" width="22.5" bestFit="1" customWidth="1"/>
    <col min="76" max="78" width="20.59765625" bestFit="1" customWidth="1"/>
    <col min="79" max="79" width="7" customWidth="1"/>
    <col min="80" max="80" width="5.69921875" customWidth="1"/>
  </cols>
  <sheetData>
    <row r="1" spans="1:80" ht="18" thickBot="1" x14ac:dyDescent="0.4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1" t="s">
        <v>8</v>
      </c>
      <c r="J1" s="12" t="s">
        <v>240</v>
      </c>
      <c r="K1" s="12" t="s">
        <v>9</v>
      </c>
      <c r="L1" s="11" t="s">
        <v>255</v>
      </c>
      <c r="M1" s="11" t="s">
        <v>256</v>
      </c>
      <c r="N1" s="11" t="s">
        <v>10</v>
      </c>
      <c r="O1" s="14" t="s">
        <v>241</v>
      </c>
      <c r="P1" s="14" t="s">
        <v>11</v>
      </c>
      <c r="Q1" s="11" t="s">
        <v>254</v>
      </c>
      <c r="R1" s="11" t="s">
        <v>253</v>
      </c>
      <c r="S1" s="11" t="s">
        <v>12</v>
      </c>
      <c r="T1" s="14" t="s">
        <v>242</v>
      </c>
      <c r="U1" s="14" t="s">
        <v>243</v>
      </c>
      <c r="V1" s="11" t="s">
        <v>251</v>
      </c>
      <c r="W1" s="11" t="s">
        <v>252</v>
      </c>
      <c r="X1" s="11" t="s">
        <v>13</v>
      </c>
      <c r="Y1" s="14" t="s">
        <v>250</v>
      </c>
      <c r="Z1" s="14" t="s">
        <v>249</v>
      </c>
      <c r="AA1" s="11" t="s">
        <v>258</v>
      </c>
      <c r="AB1" s="11" t="s">
        <v>14</v>
      </c>
      <c r="AC1" s="11" t="s">
        <v>15</v>
      </c>
      <c r="AD1" s="14" t="s">
        <v>16</v>
      </c>
      <c r="AE1" s="11" t="s">
        <v>17</v>
      </c>
      <c r="AF1" s="14" t="s">
        <v>18</v>
      </c>
      <c r="AG1" s="11" t="s">
        <v>19</v>
      </c>
      <c r="AH1" s="14" t="s">
        <v>20</v>
      </c>
      <c r="AI1" s="11" t="s">
        <v>21</v>
      </c>
      <c r="AJ1" s="14" t="s">
        <v>22</v>
      </c>
      <c r="AK1" s="11" t="s">
        <v>23</v>
      </c>
      <c r="AL1" s="14" t="s">
        <v>24</v>
      </c>
      <c r="AM1" s="11" t="s">
        <v>25</v>
      </c>
      <c r="AN1" s="14" t="s">
        <v>26</v>
      </c>
      <c r="AO1" s="11" t="s">
        <v>27</v>
      </c>
      <c r="AP1" s="14" t="s">
        <v>28</v>
      </c>
      <c r="AQ1" s="11" t="s">
        <v>29</v>
      </c>
      <c r="AR1" s="14" t="s">
        <v>30</v>
      </c>
      <c r="AS1" s="11" t="s">
        <v>31</v>
      </c>
      <c r="AT1" s="11" t="s">
        <v>32</v>
      </c>
      <c r="AU1" s="11" t="s">
        <v>33</v>
      </c>
      <c r="AV1" s="11" t="s">
        <v>34</v>
      </c>
      <c r="AW1" s="11" t="s">
        <v>35</v>
      </c>
      <c r="AX1" s="11" t="s">
        <v>36</v>
      </c>
      <c r="AY1" s="11" t="s">
        <v>37</v>
      </c>
      <c r="AZ1" s="11" t="s">
        <v>38</v>
      </c>
      <c r="BA1" s="11" t="s">
        <v>39</v>
      </c>
      <c r="BB1" s="11" t="s">
        <v>40</v>
      </c>
      <c r="BC1" s="11" t="s">
        <v>41</v>
      </c>
      <c r="BD1" s="11" t="s">
        <v>42</v>
      </c>
      <c r="BE1" s="11" t="s">
        <v>43</v>
      </c>
      <c r="BF1" s="11" t="s">
        <v>44</v>
      </c>
      <c r="BG1" s="11" t="s">
        <v>45</v>
      </c>
      <c r="BH1" s="11" t="s">
        <v>46</v>
      </c>
      <c r="BI1" s="11" t="s">
        <v>47</v>
      </c>
      <c r="BJ1" s="11" t="s">
        <v>48</v>
      </c>
      <c r="BK1" s="11" t="s">
        <v>49</v>
      </c>
      <c r="BL1" s="11" t="s">
        <v>50</v>
      </c>
      <c r="BM1" s="11" t="s">
        <v>51</v>
      </c>
      <c r="BN1" s="11" t="s">
        <v>52</v>
      </c>
      <c r="BO1" s="11" t="s">
        <v>237</v>
      </c>
      <c r="BP1" s="11" t="s">
        <v>238</v>
      </c>
      <c r="BQ1" s="11" t="s">
        <v>282</v>
      </c>
      <c r="BR1" s="29" t="s">
        <v>286</v>
      </c>
      <c r="BS1" s="29" t="s">
        <v>287</v>
      </c>
      <c r="BT1" s="29" t="s">
        <v>288</v>
      </c>
      <c r="BU1" s="29" t="s">
        <v>289</v>
      </c>
      <c r="BV1" s="29" t="s">
        <v>290</v>
      </c>
      <c r="BW1" s="29" t="s">
        <v>291</v>
      </c>
      <c r="BX1" s="29" t="s">
        <v>292</v>
      </c>
      <c r="BY1" s="29" t="s">
        <v>293</v>
      </c>
      <c r="BZ1" s="29" t="s">
        <v>294</v>
      </c>
      <c r="CA1" s="29" t="s">
        <v>284</v>
      </c>
      <c r="CB1" s="29" t="s">
        <v>285</v>
      </c>
    </row>
    <row r="2" spans="1:80" ht="18" thickTop="1" x14ac:dyDescent="0.4">
      <c r="A2" s="11" t="s">
        <v>53</v>
      </c>
      <c r="B2" s="22" t="s">
        <v>276</v>
      </c>
      <c r="C2" s="23" t="s">
        <v>275</v>
      </c>
      <c r="D2" s="10">
        <v>34</v>
      </c>
      <c r="E2" s="10">
        <v>15</v>
      </c>
      <c r="F2" s="10">
        <v>38</v>
      </c>
      <c r="G2" s="37">
        <v>31894</v>
      </c>
      <c r="H2" s="37">
        <v>174</v>
      </c>
      <c r="I2" s="17">
        <v>5.117647058823529</v>
      </c>
      <c r="J2" s="15">
        <v>63</v>
      </c>
      <c r="K2" s="15">
        <v>153</v>
      </c>
      <c r="L2" s="17">
        <v>1.8529411764705881</v>
      </c>
      <c r="M2" s="17">
        <v>4.5</v>
      </c>
      <c r="N2" s="38">
        <v>0.41176470588235298</v>
      </c>
      <c r="O2" s="37">
        <v>29</v>
      </c>
      <c r="P2" s="37">
        <v>60</v>
      </c>
      <c r="Q2" s="17">
        <v>0.8529411764705882</v>
      </c>
      <c r="R2" s="17">
        <v>1.7647058823529409</v>
      </c>
      <c r="S2" s="38">
        <v>0.48333333333333328</v>
      </c>
      <c r="T2" s="37">
        <v>34</v>
      </c>
      <c r="U2" s="37">
        <v>93</v>
      </c>
      <c r="V2" s="17">
        <v>1</v>
      </c>
      <c r="W2" s="17">
        <v>2.7352941176470589</v>
      </c>
      <c r="X2" s="38">
        <v>0.36559139784946237</v>
      </c>
      <c r="Y2" s="37">
        <v>14</v>
      </c>
      <c r="Z2" s="37">
        <v>18</v>
      </c>
      <c r="AA2" s="17">
        <v>0.41176470588235292</v>
      </c>
      <c r="AB2" s="17">
        <v>0.52941176470588236</v>
      </c>
      <c r="AC2" s="38">
        <v>0.77777777777777779</v>
      </c>
      <c r="AD2" s="37">
        <v>43</v>
      </c>
      <c r="AE2" s="17">
        <v>1.2647058823529409</v>
      </c>
      <c r="AF2" s="37">
        <v>12</v>
      </c>
      <c r="AG2" s="17">
        <v>0.35294117647058831</v>
      </c>
      <c r="AH2" s="37">
        <v>31</v>
      </c>
      <c r="AI2" s="17">
        <v>0.91176470588235292</v>
      </c>
      <c r="AJ2" s="37">
        <v>46</v>
      </c>
      <c r="AK2" s="17">
        <v>1.3529411764705881</v>
      </c>
      <c r="AL2" s="37">
        <v>12</v>
      </c>
      <c r="AM2" s="17">
        <v>0.35294117647058831</v>
      </c>
      <c r="AN2" s="37">
        <v>1</v>
      </c>
      <c r="AO2" s="17">
        <v>2.9411764705882349E-2</v>
      </c>
      <c r="AP2" s="42">
        <v>27</v>
      </c>
      <c r="AQ2" s="17">
        <v>0.79411764705882348</v>
      </c>
      <c r="AR2" s="37">
        <v>64</v>
      </c>
      <c r="AS2" s="17">
        <v>1.882352941176471</v>
      </c>
      <c r="AT2" s="41">
        <v>-5.2055598210982879E-2</v>
      </c>
      <c r="AU2" s="19">
        <v>-3.9171454099943218E-3</v>
      </c>
      <c r="AV2" s="19">
        <v>0.1116277966682224</v>
      </c>
      <c r="AW2" s="19">
        <v>-0.1636833948792053</v>
      </c>
      <c r="AX2" s="19">
        <v>103.7045745173569</v>
      </c>
      <c r="AY2" s="19">
        <v>122.2423852196569</v>
      </c>
      <c r="AZ2" s="19">
        <v>3.5593393277924061</v>
      </c>
      <c r="BA2" s="19">
        <v>4.5588235294117636</v>
      </c>
      <c r="BB2" s="19">
        <v>11.66363579356619</v>
      </c>
      <c r="BC2" s="38">
        <v>0.54064131245339309</v>
      </c>
      <c r="BD2" s="38">
        <v>0.52287581699346408</v>
      </c>
      <c r="BE2" s="19">
        <v>8.8325437499198394</v>
      </c>
      <c r="BF2" s="38">
        <v>0.60784313725490191</v>
      </c>
      <c r="BG2" s="38">
        <v>0.1176470588235294</v>
      </c>
      <c r="BH2" s="19">
        <v>1.26679707175179</v>
      </c>
      <c r="BI2" s="19">
        <v>3.3300833203535101</v>
      </c>
      <c r="BJ2" s="19">
        <v>2.247464440102739</v>
      </c>
      <c r="BK2" s="19">
        <v>6.6454121679290266</v>
      </c>
      <c r="BL2" s="19">
        <v>1.2466233582024211</v>
      </c>
      <c r="BM2" s="19">
        <v>0.1064346013922178</v>
      </c>
      <c r="BN2" s="19">
        <v>14.38307952473677</v>
      </c>
      <c r="BO2" s="20" t="s">
        <v>257</v>
      </c>
      <c r="BP2" s="39">
        <v>400000</v>
      </c>
      <c r="BQ2" s="30" t="s">
        <v>306</v>
      </c>
      <c r="BR2" s="30">
        <v>314.63</v>
      </c>
      <c r="BS2" s="30">
        <v>442.43</v>
      </c>
      <c r="BT2" s="30">
        <v>127.8</v>
      </c>
      <c r="BU2" s="35">
        <v>9.2538235294117648</v>
      </c>
      <c r="BV2" s="35">
        <v>13.01264705882353</v>
      </c>
      <c r="BW2" s="35">
        <v>3.7588235294117651</v>
      </c>
      <c r="BX2" s="36">
        <v>23.675675675675681</v>
      </c>
      <c r="BY2" s="36">
        <v>33.292531510628962</v>
      </c>
      <c r="BZ2" s="36">
        <v>9.6168558349532827</v>
      </c>
      <c r="CA2" s="43">
        <v>12</v>
      </c>
      <c r="CB2" s="43">
        <v>22</v>
      </c>
    </row>
    <row r="3" spans="1:80" x14ac:dyDescent="0.4">
      <c r="A3" s="11" t="s">
        <v>53</v>
      </c>
      <c r="B3" s="22" t="s">
        <v>273</v>
      </c>
      <c r="C3" s="23" t="s">
        <v>272</v>
      </c>
      <c r="D3" s="10">
        <v>6</v>
      </c>
      <c r="E3" s="10">
        <v>5</v>
      </c>
      <c r="F3" s="10">
        <v>44</v>
      </c>
      <c r="G3" s="37">
        <v>2061</v>
      </c>
      <c r="H3" s="37">
        <v>11</v>
      </c>
      <c r="I3" s="17">
        <v>1.833333333333333</v>
      </c>
      <c r="J3" s="15">
        <v>3</v>
      </c>
      <c r="K3" s="15">
        <v>10</v>
      </c>
      <c r="L3" s="17">
        <v>0.5</v>
      </c>
      <c r="M3" s="17">
        <v>1.666666666666667</v>
      </c>
      <c r="N3" s="38">
        <v>0.3</v>
      </c>
      <c r="O3" s="37">
        <v>0</v>
      </c>
      <c r="P3" s="37">
        <v>1</v>
      </c>
      <c r="Q3" s="17">
        <v>0</v>
      </c>
      <c r="R3" s="17">
        <v>0.16666666666666671</v>
      </c>
      <c r="S3" s="38">
        <v>0</v>
      </c>
      <c r="T3" s="37">
        <v>3</v>
      </c>
      <c r="U3" s="37">
        <v>9</v>
      </c>
      <c r="V3" s="17">
        <v>0.5</v>
      </c>
      <c r="W3" s="17">
        <v>1.5</v>
      </c>
      <c r="X3" s="38">
        <v>0.33333333333333331</v>
      </c>
      <c r="Y3" s="37">
        <v>2</v>
      </c>
      <c r="Z3" s="37">
        <v>2</v>
      </c>
      <c r="AA3" s="17">
        <v>0.33333333333333331</v>
      </c>
      <c r="AB3" s="17">
        <v>0.33333333333333331</v>
      </c>
      <c r="AC3" s="38">
        <v>1</v>
      </c>
      <c r="AD3" s="37">
        <v>4</v>
      </c>
      <c r="AE3" s="17">
        <v>0.66666666666666663</v>
      </c>
      <c r="AF3" s="37">
        <v>1</v>
      </c>
      <c r="AG3" s="17">
        <v>0.16666666666666671</v>
      </c>
      <c r="AH3" s="37">
        <v>3</v>
      </c>
      <c r="AI3" s="17">
        <v>0.5</v>
      </c>
      <c r="AJ3" s="37">
        <v>0</v>
      </c>
      <c r="AK3" s="17">
        <v>0</v>
      </c>
      <c r="AL3" s="37">
        <v>0</v>
      </c>
      <c r="AM3" s="17">
        <v>0</v>
      </c>
      <c r="AN3" s="40">
        <v>0</v>
      </c>
      <c r="AO3" s="17">
        <v>0</v>
      </c>
      <c r="AP3" s="40">
        <v>1</v>
      </c>
      <c r="AQ3" s="17">
        <v>0.16666666666666671</v>
      </c>
      <c r="AR3" s="37">
        <v>5</v>
      </c>
      <c r="AS3" s="17">
        <v>0.83333333333333337</v>
      </c>
      <c r="AT3" s="41">
        <v>-1.8516350324423989E-2</v>
      </c>
      <c r="AU3" s="19">
        <v>-2.1561979999329239E-2</v>
      </c>
      <c r="AV3" s="19">
        <v>-9.165881464172021E-3</v>
      </c>
      <c r="AW3" s="19">
        <v>-9.3504688602519676E-3</v>
      </c>
      <c r="AX3" s="19">
        <v>85.355683465725804</v>
      </c>
      <c r="AY3" s="19">
        <v>121.7992956615246</v>
      </c>
      <c r="AZ3" s="19">
        <v>0.13140961859410341</v>
      </c>
      <c r="BA3" s="19">
        <v>1.166666666666667</v>
      </c>
      <c r="BB3" s="19">
        <v>8.1513828238719075</v>
      </c>
      <c r="BC3" s="38">
        <v>0.50551470588235292</v>
      </c>
      <c r="BD3" s="38">
        <v>0.45</v>
      </c>
      <c r="BE3" s="19">
        <v>0.90099132936151394</v>
      </c>
      <c r="BF3" s="38">
        <v>0.9</v>
      </c>
      <c r="BG3" s="38">
        <v>0.2</v>
      </c>
      <c r="BH3" s="19">
        <v>0.17608113818847729</v>
      </c>
      <c r="BI3" s="19">
        <v>0.52824341456543178</v>
      </c>
      <c r="BJ3" s="19">
        <v>0.34435187596445432</v>
      </c>
      <c r="BK3" s="19">
        <v>0</v>
      </c>
      <c r="BL3" s="19">
        <v>0</v>
      </c>
      <c r="BM3" s="19">
        <v>0</v>
      </c>
      <c r="BN3" s="19">
        <v>7.5579442391669467</v>
      </c>
      <c r="BO3" s="20" t="s">
        <v>257</v>
      </c>
      <c r="BP3" s="39">
        <v>19500</v>
      </c>
      <c r="BQ3" s="31" t="s">
        <v>305</v>
      </c>
      <c r="BR3" s="31">
        <v>16.18</v>
      </c>
      <c r="BS3" s="31">
        <v>24.08</v>
      </c>
      <c r="BT3" s="31">
        <v>7.9</v>
      </c>
      <c r="BU3" s="35">
        <v>2.6966666666666672</v>
      </c>
      <c r="BV3" s="35">
        <v>4.0133333333333328</v>
      </c>
      <c r="BW3" s="35">
        <v>1.3166666666666671</v>
      </c>
      <c r="BX3" s="36">
        <v>18.84133915574964</v>
      </c>
      <c r="BY3" s="36">
        <v>28.04075691411936</v>
      </c>
      <c r="BZ3" s="36">
        <v>9.199417758369723</v>
      </c>
      <c r="CA3" s="43">
        <v>1</v>
      </c>
      <c r="CB3" s="43">
        <v>5</v>
      </c>
    </row>
    <row r="4" spans="1:80" x14ac:dyDescent="0.4">
      <c r="A4" s="11" t="s">
        <v>53</v>
      </c>
      <c r="B4" s="22" t="s">
        <v>279</v>
      </c>
      <c r="C4" s="23" t="s">
        <v>271</v>
      </c>
      <c r="D4" s="10">
        <v>53</v>
      </c>
      <c r="E4" s="10">
        <v>16</v>
      </c>
      <c r="F4" s="10">
        <v>21</v>
      </c>
      <c r="G4" s="37">
        <v>51977</v>
      </c>
      <c r="H4" s="37">
        <v>470</v>
      </c>
      <c r="I4" s="17">
        <v>8.8679245283018862</v>
      </c>
      <c r="J4" s="15">
        <v>208</v>
      </c>
      <c r="K4" s="15">
        <v>365</v>
      </c>
      <c r="L4" s="17">
        <v>3.924528301886792</v>
      </c>
      <c r="M4" s="17">
        <v>6.8867924528301883</v>
      </c>
      <c r="N4" s="38">
        <v>0.56986301369863013</v>
      </c>
      <c r="O4" s="37">
        <v>207</v>
      </c>
      <c r="P4" s="37">
        <v>350</v>
      </c>
      <c r="Q4" s="17">
        <v>3.9056603773584899</v>
      </c>
      <c r="R4" s="17">
        <v>6.6037735849056602</v>
      </c>
      <c r="S4" s="38">
        <v>0.59142857142857141</v>
      </c>
      <c r="T4" s="37">
        <v>1</v>
      </c>
      <c r="U4" s="37">
        <v>15</v>
      </c>
      <c r="V4" s="17">
        <v>1.886792452830189E-2</v>
      </c>
      <c r="W4" s="17">
        <v>0.28301886792452829</v>
      </c>
      <c r="X4" s="38">
        <v>6.6666666666666666E-2</v>
      </c>
      <c r="Y4" s="37">
        <v>53</v>
      </c>
      <c r="Z4" s="37">
        <v>98</v>
      </c>
      <c r="AA4" s="17">
        <v>1</v>
      </c>
      <c r="AB4" s="17">
        <v>1.8490566037735849</v>
      </c>
      <c r="AC4" s="38">
        <v>0.54081632653061229</v>
      </c>
      <c r="AD4" s="37">
        <v>246</v>
      </c>
      <c r="AE4" s="17">
        <v>4.6415094339622636</v>
      </c>
      <c r="AF4" s="37">
        <v>77</v>
      </c>
      <c r="AG4" s="17">
        <v>1.452830188679245</v>
      </c>
      <c r="AH4" s="37">
        <v>169</v>
      </c>
      <c r="AI4" s="17">
        <v>3.1886792452830188</v>
      </c>
      <c r="AJ4" s="37">
        <v>70</v>
      </c>
      <c r="AK4" s="17">
        <v>1.320754716981132</v>
      </c>
      <c r="AL4" s="37">
        <v>47</v>
      </c>
      <c r="AM4" s="17">
        <v>0.8867924528301887</v>
      </c>
      <c r="AN4" s="37">
        <v>68</v>
      </c>
      <c r="AO4" s="17">
        <v>1.283018867924528</v>
      </c>
      <c r="AP4" s="40">
        <v>73</v>
      </c>
      <c r="AQ4" s="17">
        <v>1.3773584905660381</v>
      </c>
      <c r="AR4" s="37">
        <v>109</v>
      </c>
      <c r="AS4" s="17">
        <v>2.0566037735849059</v>
      </c>
      <c r="AT4" s="41">
        <v>1.830776185767232</v>
      </c>
      <c r="AU4" s="19">
        <v>8.4534752791453088E-2</v>
      </c>
      <c r="AV4" s="19">
        <v>0.73915075916213013</v>
      </c>
      <c r="AW4" s="19">
        <v>1.091625426605102</v>
      </c>
      <c r="AX4" s="19">
        <v>108.0732951017138</v>
      </c>
      <c r="AY4" s="19">
        <v>107.01015208638491</v>
      </c>
      <c r="AZ4" s="19">
        <v>11.10324819937609</v>
      </c>
      <c r="BA4" s="19">
        <v>11.811320754716981</v>
      </c>
      <c r="BB4" s="19">
        <v>28.905092637127961</v>
      </c>
      <c r="BC4" s="38">
        <v>0.57581103596981276</v>
      </c>
      <c r="BD4" s="38">
        <v>0.57123287671232881</v>
      </c>
      <c r="BE4" s="19">
        <v>16.446262953547642</v>
      </c>
      <c r="BF4" s="38">
        <v>4.1095890410958902E-2</v>
      </c>
      <c r="BG4" s="38">
        <v>0.26849315068493151</v>
      </c>
      <c r="BH4" s="19">
        <v>6.2884514056155103</v>
      </c>
      <c r="BI4" s="19">
        <v>13.03073257588499</v>
      </c>
      <c r="BJ4" s="19">
        <v>9.4453575700584018</v>
      </c>
      <c r="BK4" s="19">
        <v>8.2528348429141989</v>
      </c>
      <c r="BL4" s="19">
        <v>2.9960541091346138</v>
      </c>
      <c r="BM4" s="19">
        <v>4.8046493418275329</v>
      </c>
      <c r="BN4" s="19">
        <v>15.17347142653343</v>
      </c>
      <c r="BO4" s="20" t="s">
        <v>239</v>
      </c>
      <c r="BP4" s="39">
        <v>47000</v>
      </c>
      <c r="BQ4" s="30" t="s">
        <v>305</v>
      </c>
      <c r="BR4" s="30">
        <v>901.95</v>
      </c>
      <c r="BS4" s="30">
        <v>1203.05</v>
      </c>
      <c r="BT4" s="30">
        <v>301.10000000000002</v>
      </c>
      <c r="BU4" s="35">
        <v>17.01792452830189</v>
      </c>
      <c r="BV4" s="35">
        <v>22.699056603773581</v>
      </c>
      <c r="BW4" s="35">
        <v>5.681132075471699</v>
      </c>
      <c r="BX4" s="36">
        <v>41.646882274852338</v>
      </c>
      <c r="BY4" s="36">
        <v>55.54995478769456</v>
      </c>
      <c r="BZ4" s="36">
        <v>13.90307251284222</v>
      </c>
      <c r="CA4" s="31">
        <v>28</v>
      </c>
      <c r="CB4" s="31">
        <v>25</v>
      </c>
    </row>
    <row r="5" spans="1:80" x14ac:dyDescent="0.4">
      <c r="A5" s="11" t="s">
        <v>53</v>
      </c>
      <c r="B5" s="22" t="s">
        <v>278</v>
      </c>
      <c r="C5" s="23" t="s">
        <v>274</v>
      </c>
      <c r="D5" s="10">
        <v>9</v>
      </c>
      <c r="E5" s="10">
        <v>2</v>
      </c>
      <c r="F5" s="10">
        <v>35</v>
      </c>
      <c r="G5" s="37">
        <v>1393</v>
      </c>
      <c r="H5" s="37">
        <v>3</v>
      </c>
      <c r="I5" s="17">
        <v>0.33333333333333331</v>
      </c>
      <c r="J5" s="15">
        <v>1</v>
      </c>
      <c r="K5" s="15">
        <v>5</v>
      </c>
      <c r="L5" s="17">
        <v>0.1111111111111111</v>
      </c>
      <c r="M5" s="17">
        <v>0.55555555555555558</v>
      </c>
      <c r="N5" s="38">
        <v>0.2</v>
      </c>
      <c r="O5" s="37">
        <v>0</v>
      </c>
      <c r="P5" s="37">
        <v>2</v>
      </c>
      <c r="Q5" s="17">
        <v>0</v>
      </c>
      <c r="R5" s="17">
        <v>0.22222222222222221</v>
      </c>
      <c r="S5" s="38">
        <v>0</v>
      </c>
      <c r="T5" s="37">
        <v>1</v>
      </c>
      <c r="U5" s="37">
        <v>3</v>
      </c>
      <c r="V5" s="17">
        <v>0.1111111111111111</v>
      </c>
      <c r="W5" s="17">
        <v>0.33333333333333331</v>
      </c>
      <c r="X5" s="38">
        <v>0.33333333333333331</v>
      </c>
      <c r="Y5" s="37">
        <v>0</v>
      </c>
      <c r="Z5" s="37">
        <v>0</v>
      </c>
      <c r="AA5" s="17">
        <v>0</v>
      </c>
      <c r="AB5" s="17">
        <v>0</v>
      </c>
      <c r="AC5" s="38" t="s">
        <v>304</v>
      </c>
      <c r="AD5" s="37">
        <v>1</v>
      </c>
      <c r="AE5" s="17">
        <v>0.1111111111111111</v>
      </c>
      <c r="AF5" s="37">
        <v>0</v>
      </c>
      <c r="AG5" s="17">
        <v>0</v>
      </c>
      <c r="AH5" s="37">
        <v>1</v>
      </c>
      <c r="AI5" s="17">
        <v>0.1111111111111111</v>
      </c>
      <c r="AJ5" s="37">
        <v>3</v>
      </c>
      <c r="AK5" s="17">
        <v>0.33333333333333331</v>
      </c>
      <c r="AL5" s="37">
        <v>1</v>
      </c>
      <c r="AM5" s="17">
        <v>0.1111111111111111</v>
      </c>
      <c r="AN5" s="37">
        <v>0</v>
      </c>
      <c r="AO5" s="17">
        <v>0</v>
      </c>
      <c r="AP5" s="40">
        <v>2</v>
      </c>
      <c r="AQ5" s="17">
        <v>0.22222222222222221</v>
      </c>
      <c r="AR5" s="37">
        <v>5</v>
      </c>
      <c r="AS5" s="17">
        <v>0.55555555555555558</v>
      </c>
      <c r="AT5" s="41">
        <v>-7.4233469297172644E-2</v>
      </c>
      <c r="AU5" s="19">
        <v>-0.12789686023920629</v>
      </c>
      <c r="AV5" s="19">
        <v>-7.2098426237344582E-2</v>
      </c>
      <c r="AW5" s="19">
        <v>-2.135043059828064E-3</v>
      </c>
      <c r="AX5" s="19">
        <v>74.911197151081794</v>
      </c>
      <c r="AY5" s="19">
        <v>120.46259287394371</v>
      </c>
      <c r="AZ5" s="19">
        <v>-0.7392736905704036</v>
      </c>
      <c r="BA5" s="19">
        <v>0.22222222222222221</v>
      </c>
      <c r="BB5" s="19">
        <v>3.445800430725054</v>
      </c>
      <c r="BC5" s="38">
        <v>0.3</v>
      </c>
      <c r="BD5" s="38">
        <v>0.3</v>
      </c>
      <c r="BE5" s="19">
        <v>2.0945841776943981</v>
      </c>
      <c r="BF5" s="38">
        <v>0.6</v>
      </c>
      <c r="BG5" s="38">
        <v>0</v>
      </c>
      <c r="BH5" s="19">
        <v>0</v>
      </c>
      <c r="BI5" s="19">
        <v>0.69471782877521238</v>
      </c>
      <c r="BJ5" s="19">
        <v>0.33965504492114867</v>
      </c>
      <c r="BK5" s="19">
        <v>1.7584784927994479</v>
      </c>
      <c r="BL5" s="19">
        <v>2.378547821638433</v>
      </c>
      <c r="BM5" s="19">
        <v>0</v>
      </c>
      <c r="BN5" s="19">
        <v>25.761460363039689</v>
      </c>
      <c r="BO5" s="20" t="s">
        <v>257</v>
      </c>
      <c r="BP5" s="39">
        <v>180000</v>
      </c>
      <c r="BQ5" s="11" t="s">
        <v>306</v>
      </c>
      <c r="BR5" s="30">
        <v>8.49</v>
      </c>
      <c r="BS5" s="30">
        <v>15.29</v>
      </c>
      <c r="BT5" s="30">
        <v>6.8</v>
      </c>
      <c r="BU5" s="35">
        <v>0.94333333333333336</v>
      </c>
      <c r="BV5" s="35">
        <v>1.6988888888888889</v>
      </c>
      <c r="BW5" s="35">
        <v>0.75555555555555554</v>
      </c>
      <c r="BX5" s="36">
        <v>14.62742282842785</v>
      </c>
      <c r="BY5" s="36">
        <v>26.34314429289304</v>
      </c>
      <c r="BZ5" s="36">
        <v>11.715721464465179</v>
      </c>
      <c r="CA5" s="31">
        <v>3</v>
      </c>
      <c r="CB5" s="31">
        <v>6</v>
      </c>
    </row>
    <row r="6" spans="1:80" x14ac:dyDescent="0.4">
      <c r="A6" s="11" t="s">
        <v>53</v>
      </c>
      <c r="B6" s="11" t="s">
        <v>260</v>
      </c>
      <c r="C6" s="11" t="s">
        <v>151</v>
      </c>
      <c r="D6" s="10">
        <v>46</v>
      </c>
      <c r="E6" s="10">
        <v>19</v>
      </c>
      <c r="F6" s="10">
        <v>20</v>
      </c>
      <c r="G6" s="16">
        <v>53360</v>
      </c>
      <c r="H6" s="16">
        <v>202</v>
      </c>
      <c r="I6" s="17">
        <f t="shared" ref="I6:I69" si="0">H6/$D6</f>
        <v>4.3913043478260869</v>
      </c>
      <c r="J6" s="15">
        <v>69</v>
      </c>
      <c r="K6" s="15">
        <v>201</v>
      </c>
      <c r="L6" s="17">
        <f t="shared" ref="L6:L69" si="1">J6/$D6</f>
        <v>1.5</v>
      </c>
      <c r="M6" s="17">
        <f t="shared" ref="M6:M69" si="2">K6/$D6</f>
        <v>4.3695652173913047</v>
      </c>
      <c r="N6" s="18">
        <f t="shared" ref="N6:N69" si="3">J6/K6</f>
        <v>0.34328358208955223</v>
      </c>
      <c r="O6" s="16">
        <v>31</v>
      </c>
      <c r="P6" s="15">
        <v>49</v>
      </c>
      <c r="Q6" s="17">
        <f t="shared" ref="Q6:Q65" si="4">O6/$D6</f>
        <v>0.67391304347826086</v>
      </c>
      <c r="R6" s="17">
        <f t="shared" ref="R6:R65" si="5">P6/$D6</f>
        <v>1.0652173913043479</v>
      </c>
      <c r="S6" s="18">
        <f t="shared" ref="S6:S65" si="6">O6/P6</f>
        <v>0.63265306122448983</v>
      </c>
      <c r="T6" s="15">
        <v>38</v>
      </c>
      <c r="U6" s="15">
        <v>152</v>
      </c>
      <c r="V6" s="17">
        <f t="shared" ref="V6:V65" si="7">T6/$D6</f>
        <v>0.82608695652173914</v>
      </c>
      <c r="W6" s="17">
        <f t="shared" ref="W6:W65" si="8">U6/$D6</f>
        <v>3.3043478260869565</v>
      </c>
      <c r="X6" s="18">
        <f t="shared" ref="X6:X65" si="9">T6/U6</f>
        <v>0.25</v>
      </c>
      <c r="Y6" s="9">
        <v>26</v>
      </c>
      <c r="Z6" s="9">
        <v>28</v>
      </c>
      <c r="AA6" s="17">
        <f t="shared" ref="AA6:AA65" si="10">Y6/$D6</f>
        <v>0.56521739130434778</v>
      </c>
      <c r="AB6" s="17">
        <f t="shared" ref="AB6:AB65" si="11">Z6/$D6</f>
        <v>0.60869565217391308</v>
      </c>
      <c r="AC6" s="18">
        <f t="shared" ref="AC6:AC65" si="12">Y6/Z6</f>
        <v>0.9285714285714286</v>
      </c>
      <c r="AD6" s="15">
        <v>85</v>
      </c>
      <c r="AE6" s="17">
        <f t="shared" ref="AE6:AE65" si="13">AD6/$D6</f>
        <v>1.8478260869565217</v>
      </c>
      <c r="AF6" s="15">
        <v>28</v>
      </c>
      <c r="AG6" s="17">
        <f t="shared" ref="AG6:AG65" si="14">AF6/$D6</f>
        <v>0.60869565217391308</v>
      </c>
      <c r="AH6" s="15">
        <v>57</v>
      </c>
      <c r="AI6" s="17">
        <f t="shared" ref="AI6:AI65" si="15">AH6/$D6</f>
        <v>1.2391304347826086</v>
      </c>
      <c r="AJ6" s="15">
        <v>41</v>
      </c>
      <c r="AK6" s="17">
        <f t="shared" ref="AK6:AK65" si="16">AJ6/$D6</f>
        <v>0.89130434782608692</v>
      </c>
      <c r="AL6" s="15">
        <v>44</v>
      </c>
      <c r="AM6" s="17">
        <f t="shared" ref="AM6:AM65" si="17">AL6/$D6</f>
        <v>0.95652173913043481</v>
      </c>
      <c r="AN6" s="7">
        <v>1</v>
      </c>
      <c r="AO6" s="17">
        <f t="shared" ref="AO6:AO65" si="18">AN6/$D6</f>
        <v>2.1739130434782608E-2</v>
      </c>
      <c r="AP6" s="2">
        <v>28</v>
      </c>
      <c r="AQ6" s="17">
        <f t="shared" ref="AQ6:AQ65" si="19">AP6/$D6</f>
        <v>0.60869565217391308</v>
      </c>
      <c r="AR6" s="15">
        <v>99</v>
      </c>
      <c r="AS6" s="17">
        <f t="shared" ref="AS6:AS65" si="20">AR6/$D6</f>
        <v>2.152173913043478</v>
      </c>
      <c r="AT6" s="19">
        <v>-0.19548833861512815</v>
      </c>
      <c r="AU6" s="19">
        <v>-8.792578948206663E-3</v>
      </c>
      <c r="AV6" s="19">
        <v>-0.26764745870420492</v>
      </c>
      <c r="AW6" s="19">
        <v>7.2159120089076767E-2</v>
      </c>
      <c r="AX6" s="19">
        <v>97.529176899548418</v>
      </c>
      <c r="AY6" s="19">
        <v>118.8424997477662</v>
      </c>
      <c r="AZ6" s="19">
        <v>3.8801874905107927</v>
      </c>
      <c r="BA6" s="19">
        <v>4.5869565217391308</v>
      </c>
      <c r="BB6" s="19">
        <v>9.4902548725637175</v>
      </c>
      <c r="BC6" s="18">
        <v>0.47346709169323087</v>
      </c>
      <c r="BD6" s="18">
        <v>0.43781094527363185</v>
      </c>
      <c r="BE6" s="19">
        <v>10.839175183025992</v>
      </c>
      <c r="BF6" s="18">
        <v>0.75621890547263682</v>
      </c>
      <c r="BG6" s="18">
        <v>0.13930348258706468</v>
      </c>
      <c r="BH6" s="19">
        <v>2.9199110122358176</v>
      </c>
      <c r="BI6" s="19">
        <v>5.9441045606229137</v>
      </c>
      <c r="BJ6" s="19">
        <v>4.3337128872724797</v>
      </c>
      <c r="BK6" s="19">
        <v>5.5181695827725434</v>
      </c>
      <c r="BL6" s="19">
        <v>2.7321205600424059</v>
      </c>
      <c r="BM6" s="19">
        <v>9.7546700482856158E-2</v>
      </c>
      <c r="BN6" s="19">
        <v>11.602850986242334</v>
      </c>
      <c r="BO6" s="20" t="s">
        <v>257</v>
      </c>
      <c r="BP6" s="21"/>
      <c r="BQ6" s="11" t="s">
        <v>306</v>
      </c>
      <c r="BR6" s="31">
        <v>479.04</v>
      </c>
      <c r="BS6" s="31">
        <v>643.24</v>
      </c>
      <c r="BT6" s="31">
        <v>164.2</v>
      </c>
      <c r="BU6" s="35">
        <f t="shared" ref="BU6:BU66" si="21">BV6-BW6</f>
        <v>10.413913043478262</v>
      </c>
      <c r="BV6" s="35">
        <f t="shared" ref="BV6:BV66" si="22">BS6/$D6</f>
        <v>13.983478260869566</v>
      </c>
      <c r="BW6" s="35">
        <f t="shared" ref="BW6:BW66" si="23">BT6/$D6</f>
        <v>3.5695652173913039</v>
      </c>
      <c r="BX6" s="36">
        <f t="shared" ref="BX6:BX66" si="24">BY6-BZ6</f>
        <v>21.546026986506746</v>
      </c>
      <c r="BY6" s="36">
        <f t="shared" ref="BY6:BY66" si="25">BS6*2400/$G6</f>
        <v>28.931334332833583</v>
      </c>
      <c r="BZ6" s="36">
        <f t="shared" ref="BZ6:BZ66" si="26">BT6*2400/$G6</f>
        <v>7.3853073463268366</v>
      </c>
      <c r="CA6" s="30">
        <v>14</v>
      </c>
      <c r="CB6" s="30">
        <v>32</v>
      </c>
    </row>
    <row r="7" spans="1:80" x14ac:dyDescent="0.4">
      <c r="A7" s="11" t="s">
        <v>53</v>
      </c>
      <c r="B7" s="11" t="s">
        <v>260</v>
      </c>
      <c r="C7" s="11" t="s">
        <v>148</v>
      </c>
      <c r="D7" s="10">
        <v>47</v>
      </c>
      <c r="E7" s="10">
        <v>23</v>
      </c>
      <c r="F7" s="10">
        <v>34</v>
      </c>
      <c r="G7" s="16">
        <v>66458</v>
      </c>
      <c r="H7" s="16">
        <v>381</v>
      </c>
      <c r="I7" s="17">
        <f t="shared" si="0"/>
        <v>8.1063829787234045</v>
      </c>
      <c r="J7" s="15">
        <v>143</v>
      </c>
      <c r="K7" s="15">
        <v>322</v>
      </c>
      <c r="L7" s="17">
        <f t="shared" si="1"/>
        <v>3.0425531914893615</v>
      </c>
      <c r="M7" s="17">
        <f t="shared" si="2"/>
        <v>6.8510638297872344</v>
      </c>
      <c r="N7" s="18">
        <f t="shared" si="3"/>
        <v>0.44409937888198758</v>
      </c>
      <c r="O7" s="16">
        <v>69</v>
      </c>
      <c r="P7" s="15">
        <v>115</v>
      </c>
      <c r="Q7" s="17">
        <f t="shared" si="4"/>
        <v>1.4680851063829787</v>
      </c>
      <c r="R7" s="17">
        <f t="shared" si="5"/>
        <v>2.4468085106382977</v>
      </c>
      <c r="S7" s="18">
        <f t="shared" si="6"/>
        <v>0.6</v>
      </c>
      <c r="T7" s="15">
        <v>74</v>
      </c>
      <c r="U7" s="15">
        <v>207</v>
      </c>
      <c r="V7" s="17">
        <f t="shared" si="7"/>
        <v>1.574468085106383</v>
      </c>
      <c r="W7" s="17">
        <f t="shared" si="8"/>
        <v>4.4042553191489358</v>
      </c>
      <c r="X7" s="18">
        <f t="shared" si="9"/>
        <v>0.35748792270531399</v>
      </c>
      <c r="Y7" s="9">
        <v>21</v>
      </c>
      <c r="Z7" s="9">
        <v>35</v>
      </c>
      <c r="AA7" s="17">
        <f t="shared" si="10"/>
        <v>0.44680851063829785</v>
      </c>
      <c r="AB7" s="17">
        <f t="shared" si="11"/>
        <v>0.74468085106382975</v>
      </c>
      <c r="AC7" s="18">
        <f t="shared" si="12"/>
        <v>0.6</v>
      </c>
      <c r="AD7" s="15">
        <v>171</v>
      </c>
      <c r="AE7" s="17">
        <f t="shared" si="13"/>
        <v>3.6382978723404253</v>
      </c>
      <c r="AF7" s="15">
        <v>59</v>
      </c>
      <c r="AG7" s="17">
        <f t="shared" si="14"/>
        <v>1.2553191489361701</v>
      </c>
      <c r="AH7" s="15">
        <v>112</v>
      </c>
      <c r="AI7" s="17">
        <f t="shared" si="15"/>
        <v>2.3829787234042552</v>
      </c>
      <c r="AJ7" s="15">
        <v>45</v>
      </c>
      <c r="AK7" s="17">
        <f t="shared" si="16"/>
        <v>0.95744680851063835</v>
      </c>
      <c r="AL7" s="15">
        <v>25</v>
      </c>
      <c r="AM7" s="17">
        <f t="shared" si="17"/>
        <v>0.53191489361702127</v>
      </c>
      <c r="AN7" s="7">
        <v>17</v>
      </c>
      <c r="AO7" s="17">
        <f t="shared" si="18"/>
        <v>0.36170212765957449</v>
      </c>
      <c r="AP7" s="6">
        <v>35</v>
      </c>
      <c r="AQ7" s="17">
        <f t="shared" si="19"/>
        <v>0.74468085106382975</v>
      </c>
      <c r="AR7" s="15">
        <v>110</v>
      </c>
      <c r="AS7" s="17">
        <f t="shared" si="20"/>
        <v>2.3404255319148937</v>
      </c>
      <c r="AT7" s="19">
        <v>0.83369095457879405</v>
      </c>
      <c r="AU7" s="19">
        <v>3.010710961794074E-2</v>
      </c>
      <c r="AV7" s="19">
        <v>0.85187507307447163</v>
      </c>
      <c r="AW7" s="19">
        <v>-1.8184118495677633E-2</v>
      </c>
      <c r="AX7" s="19">
        <v>111.05011305567697</v>
      </c>
      <c r="AY7" s="19">
        <v>119.75665597214935</v>
      </c>
      <c r="AZ7" s="19">
        <v>7.6780063013955289</v>
      </c>
      <c r="BA7" s="19">
        <v>8.7446808510638299</v>
      </c>
      <c r="BB7" s="19">
        <v>14.842456890065904</v>
      </c>
      <c r="BC7" s="18">
        <v>0.56461173681090693</v>
      </c>
      <c r="BD7" s="18">
        <v>0.55900621118012417</v>
      </c>
      <c r="BE7" s="19">
        <v>13.72211867104892</v>
      </c>
      <c r="BF7" s="18">
        <v>0.6428571428571429</v>
      </c>
      <c r="BG7" s="18">
        <v>0.10869565217391304</v>
      </c>
      <c r="BH7" s="19">
        <v>5.0474517497832734</v>
      </c>
      <c r="BI7" s="19">
        <v>9.5816033216224845</v>
      </c>
      <c r="BJ7" s="19">
        <v>7.1523029230332735</v>
      </c>
      <c r="BK7" s="19">
        <v>5.3141237600377895</v>
      </c>
      <c r="BL7" s="19">
        <v>1.246395135101243</v>
      </c>
      <c r="BM7" s="19">
        <v>1.3604108440749105</v>
      </c>
      <c r="BN7" s="19">
        <v>9.3984962406015047</v>
      </c>
      <c r="BO7" s="20" t="s">
        <v>257</v>
      </c>
      <c r="BP7" s="21">
        <v>55000</v>
      </c>
      <c r="BQ7" s="11" t="s">
        <v>307</v>
      </c>
      <c r="BR7" s="30">
        <v>752.05</v>
      </c>
      <c r="BS7" s="30">
        <v>981.45</v>
      </c>
      <c r="BT7" s="30">
        <v>229.4</v>
      </c>
      <c r="BU7" s="35">
        <f t="shared" si="21"/>
        <v>16.001063829787235</v>
      </c>
      <c r="BV7" s="35">
        <f t="shared" si="22"/>
        <v>20.881914893617022</v>
      </c>
      <c r="BW7" s="35">
        <f t="shared" si="23"/>
        <v>4.8808510638297875</v>
      </c>
      <c r="BX7" s="36">
        <f t="shared" si="24"/>
        <v>27.158807066116946</v>
      </c>
      <c r="BY7" s="36">
        <f t="shared" si="25"/>
        <v>35.443137018869059</v>
      </c>
      <c r="BZ7" s="36">
        <f t="shared" si="26"/>
        <v>8.2843299527521133</v>
      </c>
      <c r="CA7" s="31">
        <v>16</v>
      </c>
      <c r="CB7" s="31">
        <v>31</v>
      </c>
    </row>
    <row r="8" spans="1:80" x14ac:dyDescent="0.4">
      <c r="A8" s="11" t="s">
        <v>53</v>
      </c>
      <c r="B8" s="11" t="s">
        <v>260</v>
      </c>
      <c r="C8" s="11" t="s">
        <v>155</v>
      </c>
      <c r="D8" s="15">
        <v>27</v>
      </c>
      <c r="E8" s="15">
        <v>13</v>
      </c>
      <c r="F8" s="15">
        <v>25</v>
      </c>
      <c r="G8" s="16">
        <v>21735</v>
      </c>
      <c r="H8" s="16">
        <v>131</v>
      </c>
      <c r="I8" s="17">
        <f t="shared" si="0"/>
        <v>4.8518518518518521</v>
      </c>
      <c r="J8" s="15">
        <v>46</v>
      </c>
      <c r="K8" s="15">
        <v>132</v>
      </c>
      <c r="L8" s="17">
        <f t="shared" si="1"/>
        <v>1.7037037037037037</v>
      </c>
      <c r="M8" s="17">
        <f t="shared" si="2"/>
        <v>4.8888888888888893</v>
      </c>
      <c r="N8" s="18">
        <f t="shared" si="3"/>
        <v>0.34848484848484851</v>
      </c>
      <c r="O8" s="16">
        <v>15</v>
      </c>
      <c r="P8" s="15">
        <v>33</v>
      </c>
      <c r="Q8" s="17">
        <f t="shared" si="4"/>
        <v>0.55555555555555558</v>
      </c>
      <c r="R8" s="17">
        <f t="shared" si="5"/>
        <v>1.2222222222222223</v>
      </c>
      <c r="S8" s="18">
        <f t="shared" si="6"/>
        <v>0.45454545454545453</v>
      </c>
      <c r="T8" s="15">
        <v>31</v>
      </c>
      <c r="U8" s="15">
        <v>99</v>
      </c>
      <c r="V8" s="17">
        <f t="shared" si="7"/>
        <v>1.1481481481481481</v>
      </c>
      <c r="W8" s="17">
        <f t="shared" si="8"/>
        <v>3.6666666666666665</v>
      </c>
      <c r="X8" s="18">
        <f t="shared" si="9"/>
        <v>0.31313131313131315</v>
      </c>
      <c r="Y8" s="15">
        <v>8</v>
      </c>
      <c r="Z8" s="15">
        <v>18</v>
      </c>
      <c r="AA8" s="17">
        <f t="shared" si="10"/>
        <v>0.29629629629629628</v>
      </c>
      <c r="AB8" s="17">
        <f t="shared" si="11"/>
        <v>0.66666666666666663</v>
      </c>
      <c r="AC8" s="18">
        <f t="shared" si="12"/>
        <v>0.44444444444444442</v>
      </c>
      <c r="AD8" s="15">
        <v>38</v>
      </c>
      <c r="AE8" s="17">
        <f t="shared" si="13"/>
        <v>1.4074074074074074</v>
      </c>
      <c r="AF8" s="15">
        <v>13</v>
      </c>
      <c r="AG8" s="17">
        <f t="shared" si="14"/>
        <v>0.48148148148148145</v>
      </c>
      <c r="AH8" s="15">
        <v>25</v>
      </c>
      <c r="AI8" s="17">
        <f t="shared" si="15"/>
        <v>0.92592592592592593</v>
      </c>
      <c r="AJ8" s="15">
        <v>7</v>
      </c>
      <c r="AK8" s="17">
        <f t="shared" si="16"/>
        <v>0.25925925925925924</v>
      </c>
      <c r="AL8" s="15">
        <v>8</v>
      </c>
      <c r="AM8" s="17">
        <f t="shared" si="17"/>
        <v>0.29629629629629628</v>
      </c>
      <c r="AN8" s="15">
        <v>0</v>
      </c>
      <c r="AO8" s="17">
        <f t="shared" si="18"/>
        <v>0</v>
      </c>
      <c r="AP8" s="4">
        <v>9</v>
      </c>
      <c r="AQ8" s="17">
        <f t="shared" si="19"/>
        <v>0.33333333333333331</v>
      </c>
      <c r="AR8" s="15">
        <v>28</v>
      </c>
      <c r="AS8" s="17">
        <f t="shared" si="20"/>
        <v>1.037037037037037</v>
      </c>
      <c r="AT8" s="19">
        <v>-0.35244401317396373</v>
      </c>
      <c r="AU8" s="19">
        <v>-3.8917213324937333E-2</v>
      </c>
      <c r="AV8" s="19">
        <v>-0.25449442271549427</v>
      </c>
      <c r="AW8" s="19">
        <v>-9.7949590458469446E-2</v>
      </c>
      <c r="AX8" s="19">
        <v>94.716180202758395</v>
      </c>
      <c r="AY8" s="19">
        <v>122.13656164110648</v>
      </c>
      <c r="AZ8" s="19">
        <v>2.769878490946998</v>
      </c>
      <c r="BA8" s="19">
        <v>2.925925925925926</v>
      </c>
      <c r="BB8" s="19">
        <v>8.7232574189095917</v>
      </c>
      <c r="BC8" s="18">
        <v>0.46812464265294457</v>
      </c>
      <c r="BD8" s="18">
        <v>0.46590909090909088</v>
      </c>
      <c r="BE8" s="19">
        <v>9.6386909429670311</v>
      </c>
      <c r="BF8" s="18">
        <v>0.75</v>
      </c>
      <c r="BG8" s="18">
        <v>0.13636363636363635</v>
      </c>
      <c r="BH8" s="19">
        <v>1.9535163293929074</v>
      </c>
      <c r="BI8" s="19">
        <v>3.7567621719094371</v>
      </c>
      <c r="BJ8" s="19">
        <v>2.791816793145355</v>
      </c>
      <c r="BK8" s="19">
        <v>1.3526570048309179</v>
      </c>
      <c r="BL8" s="19">
        <v>1.2195324096774185</v>
      </c>
      <c r="BM8" s="19">
        <v>0</v>
      </c>
      <c r="BN8" s="19">
        <v>6.0435132957292508</v>
      </c>
      <c r="BO8" s="20" t="s">
        <v>257</v>
      </c>
      <c r="BP8" s="21">
        <v>40000</v>
      </c>
      <c r="BQ8" s="11" t="s">
        <v>306</v>
      </c>
      <c r="BR8" s="30">
        <v>185.33</v>
      </c>
      <c r="BS8" s="30">
        <v>286.02999999999997</v>
      </c>
      <c r="BT8" s="30">
        <v>100.7</v>
      </c>
      <c r="BU8" s="35">
        <f t="shared" si="21"/>
        <v>6.8640740740740736</v>
      </c>
      <c r="BV8" s="35">
        <f t="shared" si="22"/>
        <v>10.593703703703703</v>
      </c>
      <c r="BW8" s="35">
        <f t="shared" si="23"/>
        <v>3.7296296296296299</v>
      </c>
      <c r="BX8" s="36">
        <f t="shared" si="24"/>
        <v>20.464320220841955</v>
      </c>
      <c r="BY8" s="36">
        <f t="shared" si="25"/>
        <v>31.583712905452032</v>
      </c>
      <c r="BZ8" s="36">
        <f t="shared" si="26"/>
        <v>11.119392684610077</v>
      </c>
      <c r="CA8" s="30">
        <v>11</v>
      </c>
      <c r="CB8" s="30">
        <v>16</v>
      </c>
    </row>
    <row r="9" spans="1:80" x14ac:dyDescent="0.4">
      <c r="A9" s="11" t="s">
        <v>53</v>
      </c>
      <c r="B9" s="11" t="s">
        <v>260</v>
      </c>
      <c r="C9" s="11" t="s">
        <v>163</v>
      </c>
      <c r="D9" s="15">
        <v>5</v>
      </c>
      <c r="E9" s="15">
        <v>3</v>
      </c>
      <c r="F9" s="15">
        <v>39</v>
      </c>
      <c r="G9" s="16">
        <v>1095</v>
      </c>
      <c r="H9" s="16">
        <v>4</v>
      </c>
      <c r="I9" s="17">
        <f t="shared" si="0"/>
        <v>0.8</v>
      </c>
      <c r="J9" s="15">
        <v>2</v>
      </c>
      <c r="K9" s="15">
        <v>6</v>
      </c>
      <c r="L9" s="17">
        <f t="shared" si="1"/>
        <v>0.4</v>
      </c>
      <c r="M9" s="17">
        <f t="shared" si="2"/>
        <v>1.2</v>
      </c>
      <c r="N9" s="18">
        <f>J9/K9</f>
        <v>0.33333333333333331</v>
      </c>
      <c r="O9" s="16">
        <v>2</v>
      </c>
      <c r="P9" s="15">
        <v>6</v>
      </c>
      <c r="Q9" s="17">
        <f t="shared" si="4"/>
        <v>0.4</v>
      </c>
      <c r="R9" s="17">
        <f t="shared" si="5"/>
        <v>1.2</v>
      </c>
      <c r="S9" s="18">
        <f t="shared" si="6"/>
        <v>0.33333333333333331</v>
      </c>
      <c r="T9" s="15">
        <v>0</v>
      </c>
      <c r="U9" s="15">
        <v>0</v>
      </c>
      <c r="V9" s="17">
        <f t="shared" si="7"/>
        <v>0</v>
      </c>
      <c r="W9" s="17">
        <f t="shared" si="8"/>
        <v>0</v>
      </c>
      <c r="X9" s="18" t="e">
        <f t="shared" si="9"/>
        <v>#DIV/0!</v>
      </c>
      <c r="Y9" s="15">
        <v>0</v>
      </c>
      <c r="Z9" s="15">
        <v>0</v>
      </c>
      <c r="AA9" s="17">
        <f t="shared" si="10"/>
        <v>0</v>
      </c>
      <c r="AB9" s="17">
        <f t="shared" si="11"/>
        <v>0</v>
      </c>
      <c r="AC9" s="18" t="e">
        <f t="shared" si="12"/>
        <v>#DIV/0!</v>
      </c>
      <c r="AD9" s="15">
        <v>1</v>
      </c>
      <c r="AE9" s="17">
        <f t="shared" si="13"/>
        <v>0.2</v>
      </c>
      <c r="AF9" s="15">
        <v>1</v>
      </c>
      <c r="AG9" s="17">
        <f t="shared" si="14"/>
        <v>0.2</v>
      </c>
      <c r="AH9" s="15">
        <v>0</v>
      </c>
      <c r="AI9" s="17">
        <f t="shared" si="15"/>
        <v>0</v>
      </c>
      <c r="AJ9" s="15">
        <v>1</v>
      </c>
      <c r="AK9" s="17">
        <f t="shared" si="16"/>
        <v>0.2</v>
      </c>
      <c r="AL9" s="15">
        <v>2</v>
      </c>
      <c r="AM9" s="17">
        <f t="shared" si="17"/>
        <v>0.4</v>
      </c>
      <c r="AN9" s="15">
        <v>1</v>
      </c>
      <c r="AO9" s="17">
        <f t="shared" si="18"/>
        <v>0.2</v>
      </c>
      <c r="AP9" s="4">
        <v>1</v>
      </c>
      <c r="AQ9" s="17">
        <f t="shared" si="19"/>
        <v>0.2</v>
      </c>
      <c r="AR9" s="15">
        <v>7</v>
      </c>
      <c r="AS9" s="17">
        <f t="shared" si="20"/>
        <v>1.4</v>
      </c>
      <c r="AT9" s="19">
        <v>-3.6034067942942179E-2</v>
      </c>
      <c r="AU9" s="19">
        <v>-7.8978779053023945E-2</v>
      </c>
      <c r="AV9" s="19">
        <v>-5.2828687438519636E-2</v>
      </c>
      <c r="AW9" s="19">
        <v>1.6794619495577458E-2</v>
      </c>
      <c r="AX9" s="19">
        <v>72.644479026579191</v>
      </c>
      <c r="AY9" s="19">
        <v>110.97947152278662</v>
      </c>
      <c r="AZ9" s="19">
        <v>-0.12778457358566661</v>
      </c>
      <c r="BA9" s="19">
        <v>0.8</v>
      </c>
      <c r="BB9" s="19">
        <v>8.7671232876712324</v>
      </c>
      <c r="BC9" s="18">
        <v>0.33333333333333331</v>
      </c>
      <c r="BD9" s="18">
        <v>0.33333333333333331</v>
      </c>
      <c r="BE9" s="19">
        <v>1.66538570749332</v>
      </c>
      <c r="BF9" s="18">
        <v>0</v>
      </c>
      <c r="BG9" s="18">
        <v>0</v>
      </c>
      <c r="BH9" s="19">
        <v>0.55236411842686695</v>
      </c>
      <c r="BI9" s="19">
        <v>0</v>
      </c>
      <c r="BJ9" s="19">
        <v>0.27005677943787681</v>
      </c>
      <c r="BK9" s="19">
        <v>0.66093853271645742</v>
      </c>
      <c r="BL9" s="19">
        <v>6.0517207589814364</v>
      </c>
      <c r="BM9" s="19">
        <v>0.51668571945257158</v>
      </c>
      <c r="BN9" s="19">
        <v>14.285714285714286</v>
      </c>
      <c r="BO9" s="20" t="s">
        <v>257</v>
      </c>
      <c r="BP9" s="21">
        <v>225000</v>
      </c>
      <c r="BQ9" s="11" t="s">
        <v>307</v>
      </c>
      <c r="BR9" s="31">
        <v>9.07</v>
      </c>
      <c r="BS9" s="31">
        <v>14.57</v>
      </c>
      <c r="BT9" s="31">
        <v>5.5</v>
      </c>
      <c r="BU9" s="35">
        <f t="shared" si="21"/>
        <v>1.8140000000000001</v>
      </c>
      <c r="BV9" s="35">
        <f t="shared" si="22"/>
        <v>2.9140000000000001</v>
      </c>
      <c r="BW9" s="35">
        <f t="shared" si="23"/>
        <v>1.1000000000000001</v>
      </c>
      <c r="BX9" s="36">
        <f t="shared" si="24"/>
        <v>19.87945205479452</v>
      </c>
      <c r="BY9" s="36">
        <f t="shared" si="25"/>
        <v>31.934246575342467</v>
      </c>
      <c r="BZ9" s="36">
        <f t="shared" si="26"/>
        <v>12.054794520547945</v>
      </c>
      <c r="CA9" s="31">
        <v>2</v>
      </c>
      <c r="CB9" s="31">
        <v>3</v>
      </c>
    </row>
    <row r="10" spans="1:80" x14ac:dyDescent="0.4">
      <c r="A10" s="11" t="s">
        <v>53</v>
      </c>
      <c r="B10" s="11" t="s">
        <v>260</v>
      </c>
      <c r="C10" s="11" t="s">
        <v>147</v>
      </c>
      <c r="D10" s="15">
        <v>33</v>
      </c>
      <c r="E10" s="15">
        <v>13</v>
      </c>
      <c r="F10" s="15">
        <v>50</v>
      </c>
      <c r="G10" s="16">
        <v>27390</v>
      </c>
      <c r="H10" s="16">
        <v>82</v>
      </c>
      <c r="I10" s="17">
        <f t="shared" si="0"/>
        <v>2.4848484848484849</v>
      </c>
      <c r="J10" s="15">
        <v>34</v>
      </c>
      <c r="K10" s="15">
        <v>79</v>
      </c>
      <c r="L10" s="17">
        <f t="shared" si="1"/>
        <v>1.0303030303030303</v>
      </c>
      <c r="M10" s="17">
        <f t="shared" si="2"/>
        <v>2.393939393939394</v>
      </c>
      <c r="N10" s="18">
        <f t="shared" si="3"/>
        <v>0.43037974683544306</v>
      </c>
      <c r="O10" s="16">
        <v>27</v>
      </c>
      <c r="P10" s="15">
        <v>43</v>
      </c>
      <c r="Q10" s="17">
        <f t="shared" si="4"/>
        <v>0.81818181818181823</v>
      </c>
      <c r="R10" s="17">
        <f t="shared" si="5"/>
        <v>1.303030303030303</v>
      </c>
      <c r="S10" s="18">
        <f t="shared" si="6"/>
        <v>0.62790697674418605</v>
      </c>
      <c r="T10" s="15">
        <v>7</v>
      </c>
      <c r="U10" s="15">
        <v>36</v>
      </c>
      <c r="V10" s="17">
        <f t="shared" si="7"/>
        <v>0.21212121212121213</v>
      </c>
      <c r="W10" s="17">
        <f t="shared" si="8"/>
        <v>1.0909090909090908</v>
      </c>
      <c r="X10" s="18">
        <f t="shared" si="9"/>
        <v>0.19444444444444445</v>
      </c>
      <c r="Y10" s="15">
        <v>7</v>
      </c>
      <c r="Z10" s="15">
        <v>9</v>
      </c>
      <c r="AA10" s="17">
        <f t="shared" si="10"/>
        <v>0.21212121212121213</v>
      </c>
      <c r="AB10" s="17">
        <f t="shared" si="11"/>
        <v>0.27272727272727271</v>
      </c>
      <c r="AC10" s="18">
        <f t="shared" si="12"/>
        <v>0.77777777777777779</v>
      </c>
      <c r="AD10" s="15">
        <v>142</v>
      </c>
      <c r="AE10" s="17">
        <f t="shared" si="13"/>
        <v>4.3030303030303028</v>
      </c>
      <c r="AF10" s="15">
        <v>63</v>
      </c>
      <c r="AG10" s="17">
        <f t="shared" si="14"/>
        <v>1.9090909090909092</v>
      </c>
      <c r="AH10" s="15">
        <v>79</v>
      </c>
      <c r="AI10" s="17">
        <f t="shared" si="15"/>
        <v>2.393939393939394</v>
      </c>
      <c r="AJ10" s="15">
        <v>31</v>
      </c>
      <c r="AK10" s="17">
        <f t="shared" si="16"/>
        <v>0.93939393939393945</v>
      </c>
      <c r="AL10" s="15">
        <v>16</v>
      </c>
      <c r="AM10" s="17">
        <f t="shared" si="17"/>
        <v>0.48484848484848486</v>
      </c>
      <c r="AN10" s="15">
        <v>2</v>
      </c>
      <c r="AO10" s="17">
        <f t="shared" si="18"/>
        <v>6.0606060606060608E-2</v>
      </c>
      <c r="AP10" s="4">
        <v>12</v>
      </c>
      <c r="AQ10" s="17">
        <f t="shared" si="19"/>
        <v>0.36363636363636365</v>
      </c>
      <c r="AR10" s="15">
        <v>74</v>
      </c>
      <c r="AS10" s="17">
        <f t="shared" si="20"/>
        <v>2.2424242424242422</v>
      </c>
      <c r="AT10" s="19">
        <v>0.75923614281708152</v>
      </c>
      <c r="AU10" s="19">
        <v>6.6526715690434307E-2</v>
      </c>
      <c r="AV10" s="19">
        <v>0.54676021884971926</v>
      </c>
      <c r="AW10" s="19">
        <v>0.2124759239673622</v>
      </c>
      <c r="AX10" s="19">
        <v>120.37057818865998</v>
      </c>
      <c r="AY10" s="19">
        <v>115.24130168295557</v>
      </c>
      <c r="AZ10" s="19">
        <v>5.1469400185670988</v>
      </c>
      <c r="BA10" s="19">
        <v>6.4848484848484844</v>
      </c>
      <c r="BB10" s="19">
        <v>18.751369112814896</v>
      </c>
      <c r="BC10" s="18">
        <v>0.49421407907425269</v>
      </c>
      <c r="BD10" s="18">
        <v>0.47468354430379744</v>
      </c>
      <c r="BE10" s="19">
        <v>5.9610603899485151</v>
      </c>
      <c r="BF10" s="18">
        <v>0.45569620253164556</v>
      </c>
      <c r="BG10" s="18">
        <v>0.11392405063291139</v>
      </c>
      <c r="BH10" s="19">
        <v>9.1818888457054015</v>
      </c>
      <c r="BI10" s="19">
        <v>11.51379712397979</v>
      </c>
      <c r="BJ10" s="19">
        <v>10.118344249348304</v>
      </c>
      <c r="BK10" s="19">
        <v>5.6672760511883</v>
      </c>
      <c r="BL10" s="19">
        <v>1.9354901003533183</v>
      </c>
      <c r="BM10" s="19">
        <v>0.27266065677135698</v>
      </c>
      <c r="BN10" s="19">
        <v>12.636899747262007</v>
      </c>
      <c r="BO10" s="20" t="s">
        <v>257</v>
      </c>
      <c r="BP10" s="21"/>
      <c r="BQ10" s="11" t="s">
        <v>306</v>
      </c>
      <c r="BR10" s="31">
        <v>387.37</v>
      </c>
      <c r="BS10" s="31">
        <v>449.07</v>
      </c>
      <c r="BT10" s="31">
        <v>61.7</v>
      </c>
      <c r="BU10" s="35">
        <f t="shared" si="21"/>
        <v>11.738484848484848</v>
      </c>
      <c r="BV10" s="35">
        <f t="shared" si="22"/>
        <v>13.608181818181817</v>
      </c>
      <c r="BW10" s="35">
        <f t="shared" si="23"/>
        <v>1.8696969696969699</v>
      </c>
      <c r="BX10" s="36">
        <f t="shared" si="24"/>
        <v>33.942606790799566</v>
      </c>
      <c r="BY10" s="36">
        <f t="shared" si="25"/>
        <v>39.348959474260681</v>
      </c>
      <c r="BZ10" s="36">
        <f t="shared" si="26"/>
        <v>5.4063526834611171</v>
      </c>
      <c r="CA10" s="31">
        <v>9</v>
      </c>
      <c r="CB10" s="31">
        <v>24</v>
      </c>
    </row>
    <row r="11" spans="1:80" x14ac:dyDescent="0.4">
      <c r="A11" s="11" t="s">
        <v>53</v>
      </c>
      <c r="B11" s="11" t="s">
        <v>260</v>
      </c>
      <c r="C11" s="11" t="s">
        <v>159</v>
      </c>
      <c r="D11" s="15">
        <v>16</v>
      </c>
      <c r="E11" s="15">
        <v>12</v>
      </c>
      <c r="F11" s="15">
        <v>28</v>
      </c>
      <c r="G11" s="16">
        <v>11968</v>
      </c>
      <c r="H11" s="16">
        <v>107</v>
      </c>
      <c r="I11" s="17">
        <f t="shared" si="0"/>
        <v>6.6875</v>
      </c>
      <c r="J11" s="15">
        <v>41</v>
      </c>
      <c r="K11" s="15">
        <v>119</v>
      </c>
      <c r="L11" s="17">
        <f t="shared" si="1"/>
        <v>2.5625</v>
      </c>
      <c r="M11" s="17">
        <f t="shared" si="2"/>
        <v>7.4375</v>
      </c>
      <c r="N11" s="18">
        <f t="shared" si="3"/>
        <v>0.34453781512605042</v>
      </c>
      <c r="O11" s="16">
        <v>23</v>
      </c>
      <c r="P11" s="15">
        <v>60</v>
      </c>
      <c r="Q11" s="17">
        <f t="shared" si="4"/>
        <v>1.4375</v>
      </c>
      <c r="R11" s="17">
        <f t="shared" si="5"/>
        <v>3.75</v>
      </c>
      <c r="S11" s="18">
        <f t="shared" si="6"/>
        <v>0.38333333333333336</v>
      </c>
      <c r="T11" s="15">
        <v>18</v>
      </c>
      <c r="U11" s="15">
        <v>59</v>
      </c>
      <c r="V11" s="17">
        <f t="shared" si="7"/>
        <v>1.125</v>
      </c>
      <c r="W11" s="17">
        <f t="shared" si="8"/>
        <v>3.6875</v>
      </c>
      <c r="X11" s="18">
        <f t="shared" si="9"/>
        <v>0.30508474576271188</v>
      </c>
      <c r="Y11" s="15">
        <v>7</v>
      </c>
      <c r="Z11" s="15">
        <v>14</v>
      </c>
      <c r="AA11" s="17">
        <f t="shared" si="10"/>
        <v>0.4375</v>
      </c>
      <c r="AB11" s="17">
        <f t="shared" si="11"/>
        <v>0.875</v>
      </c>
      <c r="AC11" s="18">
        <f t="shared" si="12"/>
        <v>0.5</v>
      </c>
      <c r="AD11" s="15">
        <v>34</v>
      </c>
      <c r="AE11" s="17">
        <f t="shared" si="13"/>
        <v>2.125</v>
      </c>
      <c r="AF11" s="15">
        <v>7</v>
      </c>
      <c r="AG11" s="17">
        <f t="shared" si="14"/>
        <v>0.4375</v>
      </c>
      <c r="AH11" s="15">
        <v>27</v>
      </c>
      <c r="AI11" s="17">
        <f t="shared" si="15"/>
        <v>1.6875</v>
      </c>
      <c r="AJ11" s="15">
        <v>8</v>
      </c>
      <c r="AK11" s="17">
        <f t="shared" si="16"/>
        <v>0.5</v>
      </c>
      <c r="AL11" s="15">
        <v>5</v>
      </c>
      <c r="AM11" s="17">
        <f t="shared" si="17"/>
        <v>0.3125</v>
      </c>
      <c r="AN11" s="15">
        <v>2</v>
      </c>
      <c r="AO11" s="17">
        <f t="shared" si="18"/>
        <v>0.125</v>
      </c>
      <c r="AP11" s="4">
        <v>20</v>
      </c>
      <c r="AQ11" s="17">
        <f t="shared" si="19"/>
        <v>1.25</v>
      </c>
      <c r="AR11" s="15">
        <v>20</v>
      </c>
      <c r="AS11" s="17">
        <f t="shared" si="20"/>
        <v>1.25</v>
      </c>
      <c r="AT11" s="19">
        <v>-0.80426842105112439</v>
      </c>
      <c r="AU11" s="19">
        <v>-0.1612837742749581</v>
      </c>
      <c r="AV11" s="19">
        <v>-0.83586032450006886</v>
      </c>
      <c r="AW11" s="19">
        <v>3.1591903448944469E-2</v>
      </c>
      <c r="AX11" s="19">
        <v>78.00955657991085</v>
      </c>
      <c r="AY11" s="19">
        <v>118.11868062317252</v>
      </c>
      <c r="AZ11" s="19">
        <v>1.2739979512920268</v>
      </c>
      <c r="BA11" s="19">
        <v>3.1875</v>
      </c>
      <c r="BB11" s="19">
        <v>10.227272727272727</v>
      </c>
      <c r="BC11" s="18">
        <v>0.42745286033876639</v>
      </c>
      <c r="BD11" s="18">
        <v>0.42016806722689076</v>
      </c>
      <c r="BE11" s="19">
        <v>10.111283089503615</v>
      </c>
      <c r="BF11" s="18">
        <v>0.49579831932773111</v>
      </c>
      <c r="BG11" s="18">
        <v>0.11764705882352941</v>
      </c>
      <c r="BH11" s="19">
        <v>1.1320510608935657</v>
      </c>
      <c r="BI11" s="19">
        <v>4.3664826634466101</v>
      </c>
      <c r="BJ11" s="19">
        <v>2.6882924862225011</v>
      </c>
      <c r="BK11" s="19">
        <v>1.6576875259013675</v>
      </c>
      <c r="BL11" s="19">
        <v>1.3842401050895454</v>
      </c>
      <c r="BM11" s="19">
        <v>0.30255126352971434</v>
      </c>
      <c r="BN11" s="19">
        <v>13.777900248002204</v>
      </c>
      <c r="BO11" s="20" t="s">
        <v>239</v>
      </c>
      <c r="BP11" s="21">
        <v>70000</v>
      </c>
      <c r="BQ11" s="11" t="s">
        <v>305</v>
      </c>
      <c r="BR11" s="30">
        <v>103.89</v>
      </c>
      <c r="BS11" s="30">
        <v>213.39</v>
      </c>
      <c r="BT11" s="30">
        <v>109.5</v>
      </c>
      <c r="BU11" s="35">
        <f t="shared" si="21"/>
        <v>6.4931249999999991</v>
      </c>
      <c r="BV11" s="35">
        <f t="shared" si="22"/>
        <v>13.336874999999999</v>
      </c>
      <c r="BW11" s="35">
        <f t="shared" si="23"/>
        <v>6.84375</v>
      </c>
      <c r="BX11" s="36">
        <f t="shared" si="24"/>
        <v>20.833556149732619</v>
      </c>
      <c r="BY11" s="36">
        <f t="shared" si="25"/>
        <v>42.792112299465238</v>
      </c>
      <c r="BZ11" s="36">
        <f t="shared" si="26"/>
        <v>21.958556149732619</v>
      </c>
      <c r="CA11" s="31">
        <v>5</v>
      </c>
      <c r="CB11" s="31">
        <v>11</v>
      </c>
    </row>
    <row r="12" spans="1:80" x14ac:dyDescent="0.4">
      <c r="A12" s="11" t="s">
        <v>53</v>
      </c>
      <c r="B12" s="11" t="s">
        <v>295</v>
      </c>
      <c r="C12" s="11" t="s">
        <v>296</v>
      </c>
      <c r="D12" s="15">
        <v>22</v>
      </c>
      <c r="E12" s="15">
        <v>12</v>
      </c>
      <c r="F12" s="15">
        <v>40</v>
      </c>
      <c r="G12" s="16">
        <v>16720</v>
      </c>
      <c r="H12" s="16">
        <v>144</v>
      </c>
      <c r="I12" s="17">
        <f t="shared" si="0"/>
        <v>6.5454545454545459</v>
      </c>
      <c r="J12" s="15">
        <v>61</v>
      </c>
      <c r="K12" s="15">
        <v>116</v>
      </c>
      <c r="L12" s="17">
        <f t="shared" si="1"/>
        <v>2.7727272727272729</v>
      </c>
      <c r="M12" s="17">
        <f t="shared" si="2"/>
        <v>5.2727272727272725</v>
      </c>
      <c r="N12" s="18">
        <f t="shared" si="3"/>
        <v>0.52586206896551724</v>
      </c>
      <c r="O12" s="16">
        <v>55</v>
      </c>
      <c r="P12" s="15">
        <v>83</v>
      </c>
      <c r="Q12" s="17">
        <f t="shared" si="4"/>
        <v>2.5</v>
      </c>
      <c r="R12" s="17">
        <f t="shared" si="5"/>
        <v>3.7727272727272729</v>
      </c>
      <c r="S12" s="18">
        <f t="shared" si="6"/>
        <v>0.66265060240963858</v>
      </c>
      <c r="T12" s="15">
        <v>6</v>
      </c>
      <c r="U12" s="15">
        <v>33</v>
      </c>
      <c r="V12" s="17">
        <f t="shared" si="7"/>
        <v>0.27272727272727271</v>
      </c>
      <c r="W12" s="17">
        <f t="shared" si="8"/>
        <v>1.5</v>
      </c>
      <c r="X12" s="18">
        <f t="shared" si="9"/>
        <v>0.18181818181818182</v>
      </c>
      <c r="Y12" s="15">
        <v>16</v>
      </c>
      <c r="Z12" s="15">
        <v>23</v>
      </c>
      <c r="AA12" s="17">
        <f t="shared" si="10"/>
        <v>0.72727272727272729</v>
      </c>
      <c r="AB12" s="17">
        <f t="shared" si="11"/>
        <v>1.0454545454545454</v>
      </c>
      <c r="AC12" s="18">
        <f t="shared" si="12"/>
        <v>0.69565217391304346</v>
      </c>
      <c r="AD12" s="15">
        <v>103</v>
      </c>
      <c r="AE12" s="17">
        <f t="shared" si="13"/>
        <v>4.6818181818181817</v>
      </c>
      <c r="AF12" s="15">
        <v>28</v>
      </c>
      <c r="AG12" s="17">
        <f t="shared" si="14"/>
        <v>1.2727272727272727</v>
      </c>
      <c r="AH12" s="15">
        <v>75</v>
      </c>
      <c r="AI12" s="17">
        <f t="shared" si="15"/>
        <v>3.4090909090909092</v>
      </c>
      <c r="AJ12" s="15">
        <v>7</v>
      </c>
      <c r="AK12" s="17">
        <f t="shared" si="16"/>
        <v>0.31818181818181818</v>
      </c>
      <c r="AL12" s="15">
        <v>7</v>
      </c>
      <c r="AM12" s="17">
        <f t="shared" si="17"/>
        <v>0.31818181818181818</v>
      </c>
      <c r="AN12" s="15">
        <v>28</v>
      </c>
      <c r="AO12" s="17">
        <f t="shared" si="18"/>
        <v>1.2727272727272727</v>
      </c>
      <c r="AP12" s="4">
        <v>17</v>
      </c>
      <c r="AQ12" s="17">
        <f t="shared" si="19"/>
        <v>0.77272727272727271</v>
      </c>
      <c r="AR12" s="15">
        <v>27</v>
      </c>
      <c r="AS12" s="17">
        <f t="shared" si="20"/>
        <v>1.2272727272727273</v>
      </c>
      <c r="AT12" s="19">
        <v>0.53033592138754471</v>
      </c>
      <c r="AU12" s="19">
        <v>7.6124773404910709E-2</v>
      </c>
      <c r="AV12" s="19">
        <v>0.16737879225993751</v>
      </c>
      <c r="AW12" s="19">
        <v>0.36295712912760725</v>
      </c>
      <c r="AX12" s="19">
        <v>106.62765625923166</v>
      </c>
      <c r="AY12" s="19">
        <v>107.39778836953204</v>
      </c>
      <c r="AZ12" s="19">
        <v>7.3321661568086638</v>
      </c>
      <c r="BA12" s="19">
        <v>9.545454545454545</v>
      </c>
      <c r="BB12" s="19">
        <v>30.14354066985646</v>
      </c>
      <c r="BC12" s="18">
        <v>0.57088487155090384</v>
      </c>
      <c r="BD12" s="18">
        <v>0.55172413793103448</v>
      </c>
      <c r="BE12" s="19">
        <v>9.8117764169100035</v>
      </c>
      <c r="BF12" s="18">
        <v>0.28448275862068967</v>
      </c>
      <c r="BG12" s="18">
        <v>0.19827586206896552</v>
      </c>
      <c r="BH12" s="19">
        <v>4.4567062818336156</v>
      </c>
      <c r="BI12" s="19">
        <v>11.937606112054329</v>
      </c>
      <c r="BJ12" s="19">
        <v>8.015356281289721</v>
      </c>
      <c r="BK12" s="19">
        <v>1.4861995753715498</v>
      </c>
      <c r="BL12" s="19">
        <v>1.3871542947844708</v>
      </c>
      <c r="BM12" s="19">
        <v>4.1688379364252217</v>
      </c>
      <c r="BN12" s="19">
        <v>11.878144214645053</v>
      </c>
      <c r="BO12" s="20" t="s">
        <v>239</v>
      </c>
      <c r="BP12" s="21">
        <v>70000</v>
      </c>
      <c r="BQ12" s="11" t="s">
        <v>307</v>
      </c>
      <c r="BR12" s="30">
        <v>292.75</v>
      </c>
      <c r="BS12" s="30">
        <v>376.15</v>
      </c>
      <c r="BT12" s="30">
        <v>83.4</v>
      </c>
      <c r="BU12" s="35">
        <f t="shared" si="21"/>
        <v>13.306818181818182</v>
      </c>
      <c r="BV12" s="35">
        <f t="shared" si="22"/>
        <v>17.097727272727273</v>
      </c>
      <c r="BW12" s="35">
        <f t="shared" si="23"/>
        <v>3.790909090909091</v>
      </c>
      <c r="BX12" s="36">
        <f t="shared" si="24"/>
        <v>42.02153110047847</v>
      </c>
      <c r="BY12" s="36">
        <f t="shared" si="25"/>
        <v>53.992822966507177</v>
      </c>
      <c r="BZ12" s="36">
        <f t="shared" si="26"/>
        <v>11.971291866028707</v>
      </c>
      <c r="CA12" s="30">
        <v>8</v>
      </c>
      <c r="CB12" s="30">
        <v>14</v>
      </c>
    </row>
    <row r="13" spans="1:80" x14ac:dyDescent="0.4">
      <c r="A13" s="11" t="s">
        <v>53</v>
      </c>
      <c r="B13" s="11" t="s">
        <v>260</v>
      </c>
      <c r="C13" s="11" t="s">
        <v>164</v>
      </c>
      <c r="D13" s="15">
        <v>22</v>
      </c>
      <c r="E13" s="15">
        <v>4</v>
      </c>
      <c r="F13" s="15">
        <v>42</v>
      </c>
      <c r="G13" s="16">
        <v>6204</v>
      </c>
      <c r="H13" s="16">
        <v>20</v>
      </c>
      <c r="I13" s="17">
        <f t="shared" si="0"/>
        <v>0.90909090909090906</v>
      </c>
      <c r="J13" s="15">
        <v>7</v>
      </c>
      <c r="K13" s="15">
        <v>31</v>
      </c>
      <c r="L13" s="17">
        <f t="shared" si="1"/>
        <v>0.31818181818181818</v>
      </c>
      <c r="M13" s="17">
        <f t="shared" si="2"/>
        <v>1.4090909090909092</v>
      </c>
      <c r="N13" s="18">
        <f t="shared" si="3"/>
        <v>0.22580645161290322</v>
      </c>
      <c r="O13" s="16">
        <v>1</v>
      </c>
      <c r="P13" s="15">
        <v>7</v>
      </c>
      <c r="Q13" s="17">
        <f t="shared" si="4"/>
        <v>4.5454545454545456E-2</v>
      </c>
      <c r="R13" s="17">
        <f t="shared" si="5"/>
        <v>0.31818181818181818</v>
      </c>
      <c r="S13" s="18">
        <f t="shared" si="6"/>
        <v>0.14285714285714285</v>
      </c>
      <c r="T13" s="15">
        <v>6</v>
      </c>
      <c r="U13" s="15">
        <v>24</v>
      </c>
      <c r="V13" s="17">
        <f t="shared" si="7"/>
        <v>0.27272727272727271</v>
      </c>
      <c r="W13" s="17">
        <f t="shared" si="8"/>
        <v>1.0909090909090908</v>
      </c>
      <c r="X13" s="18">
        <f t="shared" si="9"/>
        <v>0.25</v>
      </c>
      <c r="Y13" s="15">
        <v>0</v>
      </c>
      <c r="Z13" s="15">
        <v>0</v>
      </c>
      <c r="AA13" s="17">
        <f t="shared" si="10"/>
        <v>0</v>
      </c>
      <c r="AB13" s="17">
        <f t="shared" si="11"/>
        <v>0</v>
      </c>
      <c r="AC13" s="18" t="e">
        <f t="shared" si="12"/>
        <v>#DIV/0!</v>
      </c>
      <c r="AD13" s="15">
        <v>3</v>
      </c>
      <c r="AE13" s="17">
        <f t="shared" si="13"/>
        <v>0.13636363636363635</v>
      </c>
      <c r="AF13" s="15">
        <v>1</v>
      </c>
      <c r="AG13" s="17">
        <f t="shared" si="14"/>
        <v>4.5454545454545456E-2</v>
      </c>
      <c r="AH13" s="15">
        <v>2</v>
      </c>
      <c r="AI13" s="17">
        <f t="shared" si="15"/>
        <v>9.0909090909090912E-2</v>
      </c>
      <c r="AJ13" s="15">
        <v>10</v>
      </c>
      <c r="AK13" s="17">
        <f t="shared" si="16"/>
        <v>0.45454545454545453</v>
      </c>
      <c r="AL13" s="15">
        <v>5</v>
      </c>
      <c r="AM13" s="17">
        <f t="shared" si="17"/>
        <v>0.22727272727272727</v>
      </c>
      <c r="AN13" s="15">
        <v>0</v>
      </c>
      <c r="AO13" s="17">
        <f t="shared" si="18"/>
        <v>0</v>
      </c>
      <c r="AP13" s="4">
        <v>4</v>
      </c>
      <c r="AQ13" s="17">
        <f t="shared" si="19"/>
        <v>0.18181818181818182</v>
      </c>
      <c r="AR13" s="15">
        <v>15</v>
      </c>
      <c r="AS13" s="17">
        <f t="shared" si="20"/>
        <v>0.68181818181818177</v>
      </c>
      <c r="AT13" s="19">
        <v>-0.24917993879782707</v>
      </c>
      <c r="AU13" s="19">
        <v>-9.6394560463376036E-2</v>
      </c>
      <c r="AV13" s="19">
        <v>-0.23352731559443143</v>
      </c>
      <c r="AW13" s="19">
        <v>-1.5652623203395652E-2</v>
      </c>
      <c r="AX13" s="19">
        <v>75.749576165759962</v>
      </c>
      <c r="AY13" s="19">
        <v>121.02133640824051</v>
      </c>
      <c r="AZ13" s="19">
        <v>-9.8834028229129178E-2</v>
      </c>
      <c r="BA13" s="19">
        <v>0.45454545454545453</v>
      </c>
      <c r="BB13" s="19">
        <v>3.8684719535783363</v>
      </c>
      <c r="BC13" s="18">
        <v>0.32258064516129031</v>
      </c>
      <c r="BD13" s="18">
        <v>0.32258064516129031</v>
      </c>
      <c r="BE13" s="19">
        <v>6.4666572684581034</v>
      </c>
      <c r="BF13" s="18">
        <v>0.77419354838709675</v>
      </c>
      <c r="BG13" s="18">
        <v>0</v>
      </c>
      <c r="BH13" s="19">
        <v>0.42896362388469461</v>
      </c>
      <c r="BI13" s="19">
        <v>0.85792724776938922</v>
      </c>
      <c r="BJ13" s="19">
        <v>0.62917483720101086</v>
      </c>
      <c r="BK13" s="19">
        <v>5.2521008403361353</v>
      </c>
      <c r="BL13" s="19">
        <v>2.6703071530805413</v>
      </c>
      <c r="BM13" s="19">
        <v>0</v>
      </c>
      <c r="BN13" s="19">
        <v>11.428571428571429</v>
      </c>
      <c r="BO13" s="20" t="s">
        <v>257</v>
      </c>
      <c r="BP13" s="21">
        <v>75000</v>
      </c>
      <c r="BQ13" s="11" t="s">
        <v>306</v>
      </c>
      <c r="BR13" s="31">
        <v>47.16</v>
      </c>
      <c r="BS13" s="31">
        <v>75.36</v>
      </c>
      <c r="BT13" s="31">
        <v>28.2</v>
      </c>
      <c r="BU13" s="35">
        <f t="shared" si="21"/>
        <v>2.1436363636363636</v>
      </c>
      <c r="BV13" s="35">
        <f t="shared" si="22"/>
        <v>3.4254545454545453</v>
      </c>
      <c r="BW13" s="35">
        <f t="shared" si="23"/>
        <v>1.2818181818181817</v>
      </c>
      <c r="BX13" s="36">
        <f t="shared" si="24"/>
        <v>18.243713733075438</v>
      </c>
      <c r="BY13" s="36">
        <f t="shared" si="25"/>
        <v>29.152804642166345</v>
      </c>
      <c r="BZ13" s="36">
        <f t="shared" si="26"/>
        <v>10.909090909090908</v>
      </c>
      <c r="CA13" s="31">
        <v>9</v>
      </c>
      <c r="CB13" s="31">
        <v>13</v>
      </c>
    </row>
    <row r="14" spans="1:80" x14ac:dyDescent="0.4">
      <c r="A14" s="11" t="s">
        <v>53</v>
      </c>
      <c r="B14" s="11" t="s">
        <v>260</v>
      </c>
      <c r="C14" s="11" t="s">
        <v>157</v>
      </c>
      <c r="D14" s="15">
        <v>22</v>
      </c>
      <c r="E14" s="15">
        <v>14</v>
      </c>
      <c r="F14" s="15">
        <v>56</v>
      </c>
      <c r="G14" s="16">
        <v>19712</v>
      </c>
      <c r="H14" s="16">
        <v>105</v>
      </c>
      <c r="I14" s="17">
        <f t="shared" si="0"/>
        <v>4.7727272727272725</v>
      </c>
      <c r="J14" s="15">
        <v>38</v>
      </c>
      <c r="K14" s="15">
        <v>98</v>
      </c>
      <c r="L14" s="17">
        <f t="shared" si="1"/>
        <v>1.7272727272727273</v>
      </c>
      <c r="M14" s="17">
        <f t="shared" si="2"/>
        <v>4.4545454545454541</v>
      </c>
      <c r="N14" s="18">
        <f t="shared" si="3"/>
        <v>0.38775510204081631</v>
      </c>
      <c r="O14" s="16">
        <v>19</v>
      </c>
      <c r="P14" s="15">
        <v>32</v>
      </c>
      <c r="Q14" s="17">
        <f t="shared" si="4"/>
        <v>0.86363636363636365</v>
      </c>
      <c r="R14" s="17">
        <f t="shared" si="5"/>
        <v>1.4545454545454546</v>
      </c>
      <c r="S14" s="18">
        <f t="shared" si="6"/>
        <v>0.59375</v>
      </c>
      <c r="T14" s="15">
        <v>19</v>
      </c>
      <c r="U14" s="15">
        <v>66</v>
      </c>
      <c r="V14" s="17">
        <f t="shared" si="7"/>
        <v>0.86363636363636365</v>
      </c>
      <c r="W14" s="17">
        <f t="shared" si="8"/>
        <v>3</v>
      </c>
      <c r="X14" s="18">
        <f t="shared" si="9"/>
        <v>0.2878787878787879</v>
      </c>
      <c r="Y14" s="15">
        <v>10</v>
      </c>
      <c r="Z14" s="15">
        <v>15</v>
      </c>
      <c r="AA14" s="17">
        <f t="shared" si="10"/>
        <v>0.45454545454545453</v>
      </c>
      <c r="AB14" s="17">
        <f t="shared" si="11"/>
        <v>0.68181818181818177</v>
      </c>
      <c r="AC14" s="18">
        <f t="shared" si="12"/>
        <v>0.66666666666666663</v>
      </c>
      <c r="AD14" s="15">
        <v>17</v>
      </c>
      <c r="AE14" s="17">
        <f t="shared" si="13"/>
        <v>0.77272727272727271</v>
      </c>
      <c r="AF14" s="15">
        <v>8</v>
      </c>
      <c r="AG14" s="17">
        <f t="shared" si="14"/>
        <v>0.36363636363636365</v>
      </c>
      <c r="AH14" s="15">
        <v>9</v>
      </c>
      <c r="AI14" s="17">
        <f t="shared" si="15"/>
        <v>0.40909090909090912</v>
      </c>
      <c r="AJ14" s="15">
        <v>14</v>
      </c>
      <c r="AK14" s="17">
        <f t="shared" si="16"/>
        <v>0.63636363636363635</v>
      </c>
      <c r="AL14" s="15">
        <v>14</v>
      </c>
      <c r="AM14" s="17">
        <f t="shared" si="17"/>
        <v>0.63636363636363635</v>
      </c>
      <c r="AN14" s="15">
        <v>0</v>
      </c>
      <c r="AO14" s="17">
        <f t="shared" si="18"/>
        <v>0</v>
      </c>
      <c r="AP14" s="4">
        <v>9</v>
      </c>
      <c r="AQ14" s="17">
        <f t="shared" si="19"/>
        <v>0.40909090909090912</v>
      </c>
      <c r="AR14" s="15">
        <v>39</v>
      </c>
      <c r="AS14" s="17">
        <f t="shared" si="20"/>
        <v>1.7727272727272727</v>
      </c>
      <c r="AT14" s="19">
        <v>-7.5296073622083848E-2</v>
      </c>
      <c r="AU14" s="19">
        <v>-9.1675414312602076E-3</v>
      </c>
      <c r="AV14" s="19">
        <v>-1.1285636795648256E-2</v>
      </c>
      <c r="AW14" s="19">
        <v>-6.4010436826435591E-2</v>
      </c>
      <c r="AX14" s="19">
        <v>101.4770188038775</v>
      </c>
      <c r="AY14" s="19">
        <v>121.42856150333475</v>
      </c>
      <c r="AZ14" s="19">
        <v>2.1713181987054155</v>
      </c>
      <c r="BA14" s="19">
        <v>3.4545454545454546</v>
      </c>
      <c r="BB14" s="19">
        <v>9.2532467532467528</v>
      </c>
      <c r="BC14" s="18">
        <v>0.50191204588910132</v>
      </c>
      <c r="BD14" s="18">
        <v>0.48469387755102039</v>
      </c>
      <c r="BE14" s="19">
        <v>6.6058883586259265</v>
      </c>
      <c r="BF14" s="18">
        <v>0.67346938775510201</v>
      </c>
      <c r="BG14" s="18">
        <v>0.15306122448979592</v>
      </c>
      <c r="BH14" s="19">
        <v>1.0800691244239631</v>
      </c>
      <c r="BI14" s="19">
        <v>1.2150777649769584</v>
      </c>
      <c r="BJ14" s="19">
        <v>1.1221220868830528</v>
      </c>
      <c r="BK14" s="19">
        <v>2.3761031907671417</v>
      </c>
      <c r="BL14" s="19">
        <v>2.3532081786522276</v>
      </c>
      <c r="BM14" s="19">
        <v>0</v>
      </c>
      <c r="BN14" s="19">
        <v>7.922535211267606</v>
      </c>
      <c r="BO14" s="20" t="s">
        <v>257</v>
      </c>
      <c r="BP14" s="21"/>
      <c r="BQ14" s="11" t="s">
        <v>306</v>
      </c>
      <c r="BR14" s="31">
        <v>171.85</v>
      </c>
      <c r="BS14" s="31">
        <v>244.65</v>
      </c>
      <c r="BT14" s="31">
        <v>72.8</v>
      </c>
      <c r="BU14" s="35">
        <f t="shared" si="21"/>
        <v>7.8113636363636374</v>
      </c>
      <c r="BV14" s="35">
        <f t="shared" si="22"/>
        <v>11.120454545454546</v>
      </c>
      <c r="BW14" s="35">
        <f t="shared" si="23"/>
        <v>3.3090909090909091</v>
      </c>
      <c r="BX14" s="36">
        <f t="shared" si="24"/>
        <v>20.923295454545453</v>
      </c>
      <c r="BY14" s="36">
        <f t="shared" si="25"/>
        <v>29.786931818181817</v>
      </c>
      <c r="BZ14" s="36">
        <f t="shared" si="26"/>
        <v>8.8636363636363633</v>
      </c>
      <c r="CA14" s="30">
        <v>9</v>
      </c>
      <c r="CB14" s="30">
        <v>13</v>
      </c>
    </row>
    <row r="15" spans="1:80" x14ac:dyDescent="0.4">
      <c r="A15" s="11" t="s">
        <v>53</v>
      </c>
      <c r="B15" s="11" t="s">
        <v>260</v>
      </c>
      <c r="C15" s="11" t="s">
        <v>154</v>
      </c>
      <c r="D15" s="15">
        <v>38</v>
      </c>
      <c r="E15" s="15">
        <v>8</v>
      </c>
      <c r="F15" s="15">
        <v>34</v>
      </c>
      <c r="G15" s="16">
        <v>19532</v>
      </c>
      <c r="H15" s="16">
        <v>60</v>
      </c>
      <c r="I15" s="17">
        <f t="shared" si="0"/>
        <v>1.5789473684210527</v>
      </c>
      <c r="J15" s="15">
        <v>21</v>
      </c>
      <c r="K15" s="15">
        <v>76</v>
      </c>
      <c r="L15" s="17">
        <f t="shared" si="1"/>
        <v>0.55263157894736847</v>
      </c>
      <c r="M15" s="17">
        <f t="shared" si="2"/>
        <v>2</v>
      </c>
      <c r="N15" s="18">
        <f t="shared" si="3"/>
        <v>0.27631578947368424</v>
      </c>
      <c r="O15" s="16">
        <v>4</v>
      </c>
      <c r="P15" s="15">
        <v>6</v>
      </c>
      <c r="Q15" s="17">
        <f t="shared" si="4"/>
        <v>0.10526315789473684</v>
      </c>
      <c r="R15" s="17">
        <f t="shared" si="5"/>
        <v>0.15789473684210525</v>
      </c>
      <c r="S15" s="18">
        <f t="shared" si="6"/>
        <v>0.66666666666666663</v>
      </c>
      <c r="T15" s="15">
        <v>17</v>
      </c>
      <c r="U15" s="15">
        <v>70</v>
      </c>
      <c r="V15" s="17">
        <f t="shared" si="7"/>
        <v>0.44736842105263158</v>
      </c>
      <c r="W15" s="17">
        <f t="shared" si="8"/>
        <v>1.8421052631578947</v>
      </c>
      <c r="X15" s="18">
        <f t="shared" si="9"/>
        <v>0.24285714285714285</v>
      </c>
      <c r="Y15" s="15">
        <v>1</v>
      </c>
      <c r="Z15" s="15">
        <v>4</v>
      </c>
      <c r="AA15" s="17">
        <f t="shared" si="10"/>
        <v>2.6315789473684209E-2</v>
      </c>
      <c r="AB15" s="17">
        <f t="shared" si="11"/>
        <v>0.10526315789473684</v>
      </c>
      <c r="AC15" s="18">
        <f t="shared" si="12"/>
        <v>0.25</v>
      </c>
      <c r="AD15" s="15">
        <v>26</v>
      </c>
      <c r="AE15" s="17">
        <f t="shared" si="13"/>
        <v>0.68421052631578949</v>
      </c>
      <c r="AF15" s="15">
        <v>15</v>
      </c>
      <c r="AG15" s="17">
        <f t="shared" si="14"/>
        <v>0.39473684210526316</v>
      </c>
      <c r="AH15" s="15">
        <v>11</v>
      </c>
      <c r="AI15" s="17">
        <f t="shared" si="15"/>
        <v>0.28947368421052633</v>
      </c>
      <c r="AJ15" s="15">
        <v>7</v>
      </c>
      <c r="AK15" s="17">
        <f t="shared" si="16"/>
        <v>0.18421052631578946</v>
      </c>
      <c r="AL15" s="15">
        <v>4</v>
      </c>
      <c r="AM15" s="17">
        <f t="shared" si="17"/>
        <v>0.10526315789473684</v>
      </c>
      <c r="AN15" s="15">
        <v>0</v>
      </c>
      <c r="AO15" s="17">
        <f t="shared" si="18"/>
        <v>0</v>
      </c>
      <c r="AP15" s="4">
        <v>9</v>
      </c>
      <c r="AQ15" s="17">
        <f t="shared" si="19"/>
        <v>0.23684210526315788</v>
      </c>
      <c r="AR15" s="15">
        <v>43</v>
      </c>
      <c r="AS15" s="17">
        <f t="shared" si="20"/>
        <v>1.131578947368421</v>
      </c>
      <c r="AT15" s="19">
        <v>-0.59697127279326412</v>
      </c>
      <c r="AU15" s="19">
        <v>-7.3353013245127677E-2</v>
      </c>
      <c r="AV15" s="19">
        <v>-0.41560470368667529</v>
      </c>
      <c r="AW15" s="19">
        <v>-0.18136656910658877</v>
      </c>
      <c r="AX15" s="19">
        <v>82.86292872184174</v>
      </c>
      <c r="AY15" s="19">
        <v>124.82353619465562</v>
      </c>
      <c r="AZ15" s="19">
        <v>-0.20928958704558615</v>
      </c>
      <c r="BA15" s="19">
        <v>0.78947368421052633</v>
      </c>
      <c r="BB15" s="19">
        <v>3.6862584476756091</v>
      </c>
      <c r="BC15" s="18">
        <v>0.38580246913580246</v>
      </c>
      <c r="BD15" s="18">
        <v>0.38815789473684209</v>
      </c>
      <c r="BE15" s="19">
        <v>8.7946251284281178</v>
      </c>
      <c r="BF15" s="18">
        <v>0.92105263157894735</v>
      </c>
      <c r="BG15" s="18">
        <v>5.2631578947368418E-2</v>
      </c>
      <c r="BH15" s="19">
        <v>3.5301870214635369</v>
      </c>
      <c r="BI15" s="19">
        <v>2.5888038157399271</v>
      </c>
      <c r="BJ15" s="19">
        <v>2.9916406656016936</v>
      </c>
      <c r="BK15" s="19">
        <v>2.0661157024793386</v>
      </c>
      <c r="BL15" s="19">
        <v>0.67854128927756219</v>
      </c>
      <c r="BM15" s="19">
        <v>0</v>
      </c>
      <c r="BN15" s="19">
        <v>10.373443983402488</v>
      </c>
      <c r="BO15" s="20" t="s">
        <v>257</v>
      </c>
      <c r="BP15" s="21">
        <v>113750</v>
      </c>
      <c r="BQ15" s="11" t="s">
        <v>306</v>
      </c>
      <c r="BR15" s="30">
        <v>126.75</v>
      </c>
      <c r="BS15" s="30">
        <v>192.35</v>
      </c>
      <c r="BT15" s="30">
        <v>65.599999999999994</v>
      </c>
      <c r="BU15" s="35">
        <f t="shared" si="21"/>
        <v>3.3355263157894735</v>
      </c>
      <c r="BV15" s="35">
        <f t="shared" si="22"/>
        <v>5.0618421052631577</v>
      </c>
      <c r="BW15" s="35">
        <f t="shared" si="23"/>
        <v>1.726315789473684</v>
      </c>
      <c r="BX15" s="36">
        <f t="shared" si="24"/>
        <v>15.57444194142945</v>
      </c>
      <c r="BY15" s="36">
        <f t="shared" si="25"/>
        <v>23.635060413680115</v>
      </c>
      <c r="BZ15" s="36">
        <f t="shared" si="26"/>
        <v>8.0606184722506651</v>
      </c>
      <c r="CA15" s="30">
        <v>13</v>
      </c>
      <c r="CB15" s="30">
        <v>25</v>
      </c>
    </row>
    <row r="16" spans="1:80" x14ac:dyDescent="0.4">
      <c r="A16" s="11" t="s">
        <v>53</v>
      </c>
      <c r="B16" s="11" t="s">
        <v>260</v>
      </c>
      <c r="C16" s="11" t="s">
        <v>160</v>
      </c>
      <c r="D16" s="15">
        <v>27</v>
      </c>
      <c r="E16" s="15">
        <v>6</v>
      </c>
      <c r="F16" s="15">
        <v>41</v>
      </c>
      <c r="G16" s="16">
        <v>10827</v>
      </c>
      <c r="H16" s="16">
        <v>33</v>
      </c>
      <c r="I16" s="17">
        <f t="shared" si="0"/>
        <v>1.2222222222222223</v>
      </c>
      <c r="J16" s="15">
        <v>11</v>
      </c>
      <c r="K16" s="15">
        <v>28</v>
      </c>
      <c r="L16" s="17">
        <f t="shared" si="1"/>
        <v>0.40740740740740738</v>
      </c>
      <c r="M16" s="17">
        <f t="shared" si="2"/>
        <v>1.037037037037037</v>
      </c>
      <c r="N16" s="18">
        <f t="shared" si="3"/>
        <v>0.39285714285714285</v>
      </c>
      <c r="O16" s="16">
        <v>3</v>
      </c>
      <c r="P16" s="15">
        <v>6</v>
      </c>
      <c r="Q16" s="17">
        <f t="shared" si="4"/>
        <v>0.1111111111111111</v>
      </c>
      <c r="R16" s="17">
        <f t="shared" si="5"/>
        <v>0.22222222222222221</v>
      </c>
      <c r="S16" s="18">
        <f t="shared" si="6"/>
        <v>0.5</v>
      </c>
      <c r="T16" s="15">
        <v>8</v>
      </c>
      <c r="U16" s="15">
        <v>22</v>
      </c>
      <c r="V16" s="17">
        <f t="shared" si="7"/>
        <v>0.29629629629629628</v>
      </c>
      <c r="W16" s="17">
        <f t="shared" si="8"/>
        <v>0.81481481481481477</v>
      </c>
      <c r="X16" s="18">
        <f t="shared" si="9"/>
        <v>0.36363636363636365</v>
      </c>
      <c r="Y16" s="15">
        <v>3</v>
      </c>
      <c r="Z16" s="15">
        <v>3</v>
      </c>
      <c r="AA16" s="17">
        <f t="shared" si="10"/>
        <v>0.1111111111111111</v>
      </c>
      <c r="AB16" s="17">
        <f t="shared" si="11"/>
        <v>0.1111111111111111</v>
      </c>
      <c r="AC16" s="18">
        <f t="shared" si="12"/>
        <v>1</v>
      </c>
      <c r="AD16" s="15">
        <v>11</v>
      </c>
      <c r="AE16" s="17">
        <f t="shared" si="13"/>
        <v>0.40740740740740738</v>
      </c>
      <c r="AF16" s="15">
        <v>3</v>
      </c>
      <c r="AG16" s="17">
        <f t="shared" si="14"/>
        <v>0.1111111111111111</v>
      </c>
      <c r="AH16" s="15">
        <v>8</v>
      </c>
      <c r="AI16" s="17">
        <f t="shared" si="15"/>
        <v>0.29629629629629628</v>
      </c>
      <c r="AJ16" s="15">
        <v>2</v>
      </c>
      <c r="AK16" s="17">
        <f t="shared" si="16"/>
        <v>7.407407407407407E-2</v>
      </c>
      <c r="AL16" s="15">
        <v>2</v>
      </c>
      <c r="AM16" s="17">
        <f t="shared" si="17"/>
        <v>7.407407407407407E-2</v>
      </c>
      <c r="AN16" s="15">
        <v>0</v>
      </c>
      <c r="AO16" s="17">
        <f t="shared" si="18"/>
        <v>0</v>
      </c>
      <c r="AP16" s="4">
        <v>4</v>
      </c>
      <c r="AQ16" s="17">
        <f t="shared" si="19"/>
        <v>0.14814814814814814</v>
      </c>
      <c r="AR16" s="15">
        <v>32</v>
      </c>
      <c r="AS16" s="17">
        <f t="shared" si="20"/>
        <v>1.1851851851851851</v>
      </c>
      <c r="AT16" s="19">
        <v>-7.2976925813781846E-2</v>
      </c>
      <c r="AU16" s="19">
        <v>-1.617665299280285E-2</v>
      </c>
      <c r="AV16" s="19">
        <v>1.847577800120289E-2</v>
      </c>
      <c r="AW16" s="19">
        <v>-9.1452703814984729E-2</v>
      </c>
      <c r="AX16" s="19">
        <v>104.17020497583283</v>
      </c>
      <c r="AY16" s="19">
        <v>124.35188327709241</v>
      </c>
      <c r="AZ16" s="19">
        <v>4.8360079397988621E-2</v>
      </c>
      <c r="BA16" s="19">
        <v>1</v>
      </c>
      <c r="BB16" s="19">
        <v>5.9850374064837908</v>
      </c>
      <c r="BC16" s="18">
        <v>0.56275579809004095</v>
      </c>
      <c r="BD16" s="18">
        <v>0.5357142857142857</v>
      </c>
      <c r="BE16" s="19">
        <v>4.3293383464322606</v>
      </c>
      <c r="BF16" s="18">
        <v>0.7857142857142857</v>
      </c>
      <c r="BG16" s="18">
        <v>0.10714285714285714</v>
      </c>
      <c r="BH16" s="19">
        <v>0.90499557557718602</v>
      </c>
      <c r="BI16" s="19">
        <v>2.4133215348724963</v>
      </c>
      <c r="BJ16" s="19">
        <v>1.6223610515357736</v>
      </c>
      <c r="BK16" s="19">
        <v>0.7415647015202077</v>
      </c>
      <c r="BL16" s="19">
        <v>0.6120471258044401</v>
      </c>
      <c r="BM16" s="19">
        <v>0</v>
      </c>
      <c r="BN16" s="19">
        <v>12.004801920768307</v>
      </c>
      <c r="BO16" s="20" t="s">
        <v>257</v>
      </c>
      <c r="BP16" s="21">
        <v>90000</v>
      </c>
      <c r="BQ16" s="11" t="s">
        <v>305</v>
      </c>
      <c r="BR16" s="31">
        <v>75.5</v>
      </c>
      <c r="BS16" s="31">
        <v>97.1</v>
      </c>
      <c r="BT16" s="31">
        <v>21.6</v>
      </c>
      <c r="BU16" s="35">
        <f t="shared" si="21"/>
        <v>2.7962962962962958</v>
      </c>
      <c r="BV16" s="35">
        <f t="shared" si="22"/>
        <v>3.5962962962962961</v>
      </c>
      <c r="BW16" s="35">
        <f t="shared" si="23"/>
        <v>0.8</v>
      </c>
      <c r="BX16" s="36">
        <f t="shared" si="24"/>
        <v>16.735937932945415</v>
      </c>
      <c r="BY16" s="36">
        <f t="shared" si="25"/>
        <v>21.523967858132448</v>
      </c>
      <c r="BZ16" s="36">
        <f t="shared" si="26"/>
        <v>4.7880299251870326</v>
      </c>
      <c r="CA16" s="30">
        <v>7</v>
      </c>
      <c r="CB16" s="30">
        <v>20</v>
      </c>
    </row>
    <row r="17" spans="1:80" x14ac:dyDescent="0.4">
      <c r="A17" s="11" t="s">
        <v>53</v>
      </c>
      <c r="B17" s="11" t="s">
        <v>260</v>
      </c>
      <c r="C17" s="11" t="s">
        <v>162</v>
      </c>
      <c r="D17" s="15">
        <v>11</v>
      </c>
      <c r="E17" s="15">
        <v>9</v>
      </c>
      <c r="F17" s="15">
        <v>27</v>
      </c>
      <c r="G17" s="16">
        <v>6237</v>
      </c>
      <c r="H17" s="16">
        <v>44</v>
      </c>
      <c r="I17" s="17">
        <f t="shared" si="0"/>
        <v>4</v>
      </c>
      <c r="J17" s="15">
        <v>16</v>
      </c>
      <c r="K17" s="15">
        <v>51</v>
      </c>
      <c r="L17" s="17">
        <f t="shared" si="1"/>
        <v>1.4545454545454546</v>
      </c>
      <c r="M17" s="17">
        <f t="shared" si="2"/>
        <v>4.6363636363636367</v>
      </c>
      <c r="N17" s="18">
        <f t="shared" si="3"/>
        <v>0.31372549019607843</v>
      </c>
      <c r="O17" s="16">
        <v>12</v>
      </c>
      <c r="P17" s="15">
        <v>37</v>
      </c>
      <c r="Q17" s="17">
        <f t="shared" si="4"/>
        <v>1.0909090909090908</v>
      </c>
      <c r="R17" s="17">
        <f t="shared" si="5"/>
        <v>3.3636363636363638</v>
      </c>
      <c r="S17" s="18">
        <f t="shared" si="6"/>
        <v>0.32432432432432434</v>
      </c>
      <c r="T17" s="15">
        <v>4</v>
      </c>
      <c r="U17" s="15">
        <v>14</v>
      </c>
      <c r="V17" s="17">
        <f t="shared" si="7"/>
        <v>0.36363636363636365</v>
      </c>
      <c r="W17" s="17">
        <f t="shared" si="8"/>
        <v>1.2727272727272727</v>
      </c>
      <c r="X17" s="18">
        <f t="shared" si="9"/>
        <v>0.2857142857142857</v>
      </c>
      <c r="Y17" s="15">
        <v>8</v>
      </c>
      <c r="Z17" s="15">
        <v>9</v>
      </c>
      <c r="AA17" s="17">
        <f t="shared" si="10"/>
        <v>0.72727272727272729</v>
      </c>
      <c r="AB17" s="17">
        <f t="shared" si="11"/>
        <v>0.81818181818181823</v>
      </c>
      <c r="AC17" s="18">
        <f t="shared" si="12"/>
        <v>0.88888888888888884</v>
      </c>
      <c r="AD17" s="15">
        <v>8</v>
      </c>
      <c r="AE17" s="17">
        <f t="shared" si="13"/>
        <v>0.72727272727272729</v>
      </c>
      <c r="AF17" s="15">
        <v>2</v>
      </c>
      <c r="AG17" s="17">
        <f t="shared" si="14"/>
        <v>0.18181818181818182</v>
      </c>
      <c r="AH17" s="15">
        <v>6</v>
      </c>
      <c r="AI17" s="17">
        <f t="shared" si="15"/>
        <v>0.54545454545454541</v>
      </c>
      <c r="AJ17" s="15">
        <v>14</v>
      </c>
      <c r="AK17" s="17">
        <f t="shared" si="16"/>
        <v>1.2727272727272727</v>
      </c>
      <c r="AL17" s="15">
        <v>2</v>
      </c>
      <c r="AM17" s="17">
        <f t="shared" si="17"/>
        <v>0.18181818181818182</v>
      </c>
      <c r="AN17" s="15">
        <v>0</v>
      </c>
      <c r="AO17" s="17">
        <f t="shared" si="18"/>
        <v>0</v>
      </c>
      <c r="AP17" s="4">
        <v>9</v>
      </c>
      <c r="AQ17" s="17">
        <f t="shared" si="19"/>
        <v>0.81818181818181823</v>
      </c>
      <c r="AR17" s="15">
        <v>10</v>
      </c>
      <c r="AS17" s="17">
        <f t="shared" si="20"/>
        <v>0.90909090909090906</v>
      </c>
      <c r="AT17" s="19">
        <v>-0.33704411889376529</v>
      </c>
      <c r="AU17" s="19">
        <v>-0.12969470664502752</v>
      </c>
      <c r="AV17" s="19">
        <v>-0.29982755404052519</v>
      </c>
      <c r="AW17" s="19">
        <v>-3.7216564853240069E-2</v>
      </c>
      <c r="AX17" s="19">
        <v>83.538479694449236</v>
      </c>
      <c r="AY17" s="19">
        <v>122.95772318043424</v>
      </c>
      <c r="AZ17" s="19">
        <v>0.64553384855571161</v>
      </c>
      <c r="BA17" s="19">
        <v>2.0909090909090908</v>
      </c>
      <c r="BB17" s="19">
        <v>8.8504088504088489</v>
      </c>
      <c r="BC17" s="18">
        <v>0.40029112081513829</v>
      </c>
      <c r="BD17" s="18">
        <v>0.35294117647058826</v>
      </c>
      <c r="BE17" s="19">
        <v>5.8774142850664468</v>
      </c>
      <c r="BF17" s="18">
        <v>0.27450980392156865</v>
      </c>
      <c r="BG17" s="18">
        <v>0.17647058823529413</v>
      </c>
      <c r="BH17" s="19">
        <v>0.42669397508107182</v>
      </c>
      <c r="BI17" s="19">
        <v>1.2800819252432156</v>
      </c>
      <c r="BJ17" s="19">
        <v>0.8344611597445506</v>
      </c>
      <c r="BK17" s="19">
        <v>3.6755053819900239</v>
      </c>
      <c r="BL17" s="19">
        <v>1.0624714175219934</v>
      </c>
      <c r="BM17" s="19">
        <v>0</v>
      </c>
      <c r="BN17" s="19">
        <v>14.071294559099437</v>
      </c>
      <c r="BO17" s="20" t="s">
        <v>244</v>
      </c>
      <c r="BP17" s="21">
        <v>50000</v>
      </c>
      <c r="BQ17" s="11" t="s">
        <v>306</v>
      </c>
      <c r="BR17" s="30">
        <v>53.69</v>
      </c>
      <c r="BS17" s="30">
        <v>101.99</v>
      </c>
      <c r="BT17" s="30">
        <v>48.3</v>
      </c>
      <c r="BU17" s="35">
        <f t="shared" si="21"/>
        <v>4.8809090909090909</v>
      </c>
      <c r="BV17" s="35">
        <f t="shared" si="22"/>
        <v>9.2718181818181815</v>
      </c>
      <c r="BW17" s="35">
        <f t="shared" si="23"/>
        <v>4.3909090909090907</v>
      </c>
      <c r="BX17" s="36">
        <f t="shared" si="24"/>
        <v>20.659932659932661</v>
      </c>
      <c r="BY17" s="36">
        <f t="shared" si="25"/>
        <v>39.245791245791246</v>
      </c>
      <c r="BZ17" s="36">
        <f t="shared" si="26"/>
        <v>18.585858585858585</v>
      </c>
      <c r="CA17" s="30">
        <v>2</v>
      </c>
      <c r="CB17" s="30">
        <v>9</v>
      </c>
    </row>
    <row r="18" spans="1:80" x14ac:dyDescent="0.4">
      <c r="A18" s="11" t="s">
        <v>53</v>
      </c>
      <c r="B18" s="11" t="s">
        <v>260</v>
      </c>
      <c r="C18" s="11" t="s">
        <v>270</v>
      </c>
      <c r="D18" s="15">
        <v>44</v>
      </c>
      <c r="E18" s="15">
        <v>36</v>
      </c>
      <c r="F18" s="15">
        <v>43</v>
      </c>
      <c r="G18" s="16">
        <v>96932</v>
      </c>
      <c r="H18" s="16">
        <v>1003</v>
      </c>
      <c r="I18" s="17">
        <f t="shared" si="0"/>
        <v>22.795454545454547</v>
      </c>
      <c r="J18" s="15">
        <v>339</v>
      </c>
      <c r="K18" s="15">
        <v>731</v>
      </c>
      <c r="L18" s="17">
        <f t="shared" si="1"/>
        <v>7.7045454545454541</v>
      </c>
      <c r="M18" s="17">
        <f t="shared" si="2"/>
        <v>16.613636363636363</v>
      </c>
      <c r="N18" s="18">
        <f t="shared" si="3"/>
        <v>0.4637482900136799</v>
      </c>
      <c r="O18" s="16">
        <v>210</v>
      </c>
      <c r="P18" s="15">
        <v>384</v>
      </c>
      <c r="Q18" s="17">
        <f t="shared" si="4"/>
        <v>4.7727272727272725</v>
      </c>
      <c r="R18" s="17">
        <f t="shared" si="5"/>
        <v>8.7272727272727266</v>
      </c>
      <c r="S18" s="18">
        <f t="shared" si="6"/>
        <v>0.546875</v>
      </c>
      <c r="T18" s="15">
        <v>129</v>
      </c>
      <c r="U18" s="15">
        <v>347</v>
      </c>
      <c r="V18" s="17">
        <f t="shared" si="7"/>
        <v>2.9318181818181817</v>
      </c>
      <c r="W18" s="17">
        <f t="shared" si="8"/>
        <v>7.8863636363636367</v>
      </c>
      <c r="X18" s="18">
        <f t="shared" si="9"/>
        <v>0.37175792507204614</v>
      </c>
      <c r="Y18" s="15">
        <v>196</v>
      </c>
      <c r="Z18" s="15">
        <v>228</v>
      </c>
      <c r="AA18" s="17">
        <f t="shared" si="10"/>
        <v>4.4545454545454541</v>
      </c>
      <c r="AB18" s="17">
        <f t="shared" si="11"/>
        <v>5.1818181818181817</v>
      </c>
      <c r="AC18" s="18">
        <f t="shared" si="12"/>
        <v>0.85964912280701755</v>
      </c>
      <c r="AD18" s="15">
        <v>149</v>
      </c>
      <c r="AE18" s="17">
        <f t="shared" si="13"/>
        <v>3.3863636363636362</v>
      </c>
      <c r="AF18" s="15">
        <v>29</v>
      </c>
      <c r="AG18" s="17">
        <f t="shared" si="14"/>
        <v>0.65909090909090906</v>
      </c>
      <c r="AH18" s="15">
        <v>120</v>
      </c>
      <c r="AI18" s="17">
        <f t="shared" si="15"/>
        <v>2.7272727272727271</v>
      </c>
      <c r="AJ18" s="15">
        <v>291</v>
      </c>
      <c r="AK18" s="17">
        <f t="shared" si="16"/>
        <v>6.6136363636363633</v>
      </c>
      <c r="AL18" s="15">
        <v>87</v>
      </c>
      <c r="AM18" s="17">
        <f t="shared" si="17"/>
        <v>1.9772727272727273</v>
      </c>
      <c r="AN18" s="15">
        <v>6</v>
      </c>
      <c r="AO18" s="17">
        <f t="shared" si="18"/>
        <v>0.13636363636363635</v>
      </c>
      <c r="AP18" s="4">
        <v>112</v>
      </c>
      <c r="AQ18" s="17">
        <f t="shared" si="19"/>
        <v>2.5454545454545454</v>
      </c>
      <c r="AR18" s="15">
        <v>112</v>
      </c>
      <c r="AS18" s="17">
        <f t="shared" si="20"/>
        <v>2.5454545454545454</v>
      </c>
      <c r="AT18" s="19">
        <v>4.7864494768321411</v>
      </c>
      <c r="AU18" s="19">
        <v>0.11851069558450397</v>
      </c>
      <c r="AV18" s="19">
        <v>4.479330776172131</v>
      </c>
      <c r="AW18" s="19">
        <v>0.30711870066001046</v>
      </c>
      <c r="AX18" s="19">
        <v>120.1492274657935</v>
      </c>
      <c r="AY18" s="19">
        <v>117.82142821781366</v>
      </c>
      <c r="AZ18" s="19">
        <v>14.459221115657604</v>
      </c>
      <c r="BA18" s="19">
        <v>22.727272727272727</v>
      </c>
      <c r="BB18" s="19">
        <v>24.759625304337064</v>
      </c>
      <c r="BC18" s="18">
        <v>0.60325747004763508</v>
      </c>
      <c r="BD18" s="18">
        <v>0.55198358413132698</v>
      </c>
      <c r="BE18" s="19">
        <v>22.310302210283318</v>
      </c>
      <c r="BF18" s="18">
        <v>0.47469220246238031</v>
      </c>
      <c r="BG18" s="18">
        <v>0.31190150478796169</v>
      </c>
      <c r="BH18" s="19">
        <v>1.5924033209845811</v>
      </c>
      <c r="BI18" s="19">
        <v>6.5892551213155084</v>
      </c>
      <c r="BJ18" s="19">
        <v>4.0001011211245387</v>
      </c>
      <c r="BK18" s="19">
        <v>24.187515584739419</v>
      </c>
      <c r="BL18" s="19">
        <v>2.973822773203723</v>
      </c>
      <c r="BM18" s="19">
        <v>0.308182040563177</v>
      </c>
      <c r="BN18" s="19">
        <v>11.872959335114277</v>
      </c>
      <c r="BO18" s="20" t="s">
        <v>257</v>
      </c>
      <c r="BP18" s="21">
        <v>40000</v>
      </c>
      <c r="BQ18" s="11" t="s">
        <v>306</v>
      </c>
      <c r="BR18" s="30">
        <v>1573.62</v>
      </c>
      <c r="BS18" s="30">
        <v>2137.42</v>
      </c>
      <c r="BT18" s="30">
        <v>563.79999999999995</v>
      </c>
      <c r="BU18" s="35">
        <f t="shared" si="21"/>
        <v>35.76409090909091</v>
      </c>
      <c r="BV18" s="35">
        <f t="shared" si="22"/>
        <v>48.577727272727273</v>
      </c>
      <c r="BW18" s="35">
        <f t="shared" si="23"/>
        <v>12.813636363636363</v>
      </c>
      <c r="BX18" s="36">
        <f t="shared" si="24"/>
        <v>38.962241571410885</v>
      </c>
      <c r="BY18" s="36">
        <f t="shared" si="25"/>
        <v>52.921718317996124</v>
      </c>
      <c r="BZ18" s="36">
        <f t="shared" si="26"/>
        <v>13.959476746585235</v>
      </c>
      <c r="CA18" s="30">
        <v>18</v>
      </c>
      <c r="CB18" s="30">
        <v>26</v>
      </c>
    </row>
    <row r="19" spans="1:80" x14ac:dyDescent="0.4">
      <c r="A19" s="11" t="s">
        <v>53</v>
      </c>
      <c r="B19" s="11" t="s">
        <v>260</v>
      </c>
      <c r="C19" s="11" t="s">
        <v>161</v>
      </c>
      <c r="D19" s="15">
        <v>9</v>
      </c>
      <c r="E19" s="15">
        <v>2</v>
      </c>
      <c r="F19" s="15">
        <v>55</v>
      </c>
      <c r="G19" s="16">
        <v>1575</v>
      </c>
      <c r="H19" s="16">
        <v>1</v>
      </c>
      <c r="I19" s="17">
        <f t="shared" si="0"/>
        <v>0.1111111111111111</v>
      </c>
      <c r="J19" s="15">
        <v>0</v>
      </c>
      <c r="K19" s="15">
        <v>2</v>
      </c>
      <c r="L19" s="17">
        <f t="shared" si="1"/>
        <v>0</v>
      </c>
      <c r="M19" s="17">
        <f t="shared" si="2"/>
        <v>0.22222222222222221</v>
      </c>
      <c r="N19" s="18">
        <f t="shared" si="3"/>
        <v>0</v>
      </c>
      <c r="O19" s="16">
        <v>0</v>
      </c>
      <c r="P19" s="15">
        <v>1</v>
      </c>
      <c r="Q19" s="17">
        <f t="shared" si="4"/>
        <v>0</v>
      </c>
      <c r="R19" s="17">
        <f t="shared" si="5"/>
        <v>0.1111111111111111</v>
      </c>
      <c r="S19" s="18">
        <f t="shared" si="6"/>
        <v>0</v>
      </c>
      <c r="T19" s="15">
        <v>0</v>
      </c>
      <c r="U19" s="15">
        <v>1</v>
      </c>
      <c r="V19" s="17">
        <f t="shared" si="7"/>
        <v>0</v>
      </c>
      <c r="W19" s="17">
        <f t="shared" si="8"/>
        <v>0.1111111111111111</v>
      </c>
      <c r="X19" s="18">
        <f t="shared" si="9"/>
        <v>0</v>
      </c>
      <c r="Y19" s="15">
        <v>1</v>
      </c>
      <c r="Z19" s="15">
        <v>2</v>
      </c>
      <c r="AA19" s="17">
        <f t="shared" si="10"/>
        <v>0.1111111111111111</v>
      </c>
      <c r="AB19" s="17">
        <f t="shared" si="11"/>
        <v>0.22222222222222221</v>
      </c>
      <c r="AC19" s="18">
        <f t="shared" si="12"/>
        <v>0.5</v>
      </c>
      <c r="AD19" s="15">
        <v>4</v>
      </c>
      <c r="AE19" s="17">
        <f t="shared" si="13"/>
        <v>0.44444444444444442</v>
      </c>
      <c r="AF19" s="15">
        <v>3</v>
      </c>
      <c r="AG19" s="17">
        <f t="shared" si="14"/>
        <v>0.33333333333333331</v>
      </c>
      <c r="AH19" s="15">
        <v>1</v>
      </c>
      <c r="AI19" s="17">
        <f t="shared" si="15"/>
        <v>0.1111111111111111</v>
      </c>
      <c r="AJ19" s="15">
        <v>2</v>
      </c>
      <c r="AK19" s="17">
        <f t="shared" si="16"/>
        <v>0.22222222222222221</v>
      </c>
      <c r="AL19" s="15">
        <v>0</v>
      </c>
      <c r="AM19" s="17">
        <f t="shared" si="17"/>
        <v>0</v>
      </c>
      <c r="AN19" s="15">
        <v>0</v>
      </c>
      <c r="AO19" s="17">
        <f t="shared" si="18"/>
        <v>0</v>
      </c>
      <c r="AP19" s="4">
        <v>4</v>
      </c>
      <c r="AQ19" s="17">
        <f t="shared" si="19"/>
        <v>0.44444444444444442</v>
      </c>
      <c r="AR19" s="15">
        <v>2</v>
      </c>
      <c r="AS19" s="17">
        <f t="shared" si="20"/>
        <v>0.22222222222222221</v>
      </c>
      <c r="AT19" s="19">
        <v>-0.13215327431370569</v>
      </c>
      <c r="AU19" s="19">
        <v>-0.20137641800183723</v>
      </c>
      <c r="AV19" s="19">
        <v>-0.11340707143235566</v>
      </c>
      <c r="AW19" s="19">
        <v>-1.8746202881350017E-2</v>
      </c>
      <c r="AX19" s="19">
        <v>50.722082995056603</v>
      </c>
      <c r="AY19" s="19">
        <v>126.29476498868203</v>
      </c>
      <c r="AZ19" s="19">
        <v>-0.77105518782559102</v>
      </c>
      <c r="BA19" s="19">
        <v>0</v>
      </c>
      <c r="BB19" s="19">
        <v>0</v>
      </c>
      <c r="BC19" s="18">
        <v>0.1736111111111111</v>
      </c>
      <c r="BD19" s="18">
        <v>0</v>
      </c>
      <c r="BE19" s="19">
        <v>2.0483836352606812</v>
      </c>
      <c r="BF19" s="18">
        <v>0.5</v>
      </c>
      <c r="BG19" s="18">
        <v>1</v>
      </c>
      <c r="BH19" s="19">
        <v>2.0737327188940093</v>
      </c>
      <c r="BI19" s="19">
        <v>0.69124423963133641</v>
      </c>
      <c r="BJ19" s="19">
        <v>1.3518270787861719</v>
      </c>
      <c r="BK19" s="19">
        <v>1.6326530612244896</v>
      </c>
      <c r="BL19" s="19">
        <v>0</v>
      </c>
      <c r="BM19" s="19">
        <v>0</v>
      </c>
      <c r="BN19" s="19">
        <v>58.139534883720934</v>
      </c>
      <c r="BO19" s="20" t="s">
        <v>257</v>
      </c>
      <c r="BP19" s="21">
        <v>200000</v>
      </c>
      <c r="BQ19" s="11" t="s">
        <v>305</v>
      </c>
      <c r="BR19" s="30">
        <v>8.8800000000000008</v>
      </c>
      <c r="BS19" s="30">
        <v>17.579999999999998</v>
      </c>
      <c r="BT19" s="30">
        <v>8.6999999999999993</v>
      </c>
      <c r="BU19" s="35">
        <f t="shared" si="21"/>
        <v>0.98666666666666658</v>
      </c>
      <c r="BV19" s="35">
        <f t="shared" si="22"/>
        <v>1.9533333333333331</v>
      </c>
      <c r="BW19" s="35">
        <f t="shared" si="23"/>
        <v>0.96666666666666656</v>
      </c>
      <c r="BX19" s="36">
        <f t="shared" si="24"/>
        <v>13.531428571428565</v>
      </c>
      <c r="BY19" s="36">
        <f t="shared" si="25"/>
        <v>26.788571428571423</v>
      </c>
      <c r="BZ19" s="36">
        <f t="shared" si="26"/>
        <v>13.257142857142858</v>
      </c>
      <c r="CA19" s="30">
        <v>6</v>
      </c>
      <c r="CB19" s="30">
        <v>3</v>
      </c>
    </row>
    <row r="20" spans="1:80" x14ac:dyDescent="0.4">
      <c r="A20" s="11" t="s">
        <v>53</v>
      </c>
      <c r="B20" s="11" t="s">
        <v>295</v>
      </c>
      <c r="C20" s="11" t="s">
        <v>299</v>
      </c>
      <c r="D20" s="15">
        <v>9</v>
      </c>
      <c r="E20" s="15">
        <v>23</v>
      </c>
      <c r="F20" s="15">
        <v>28</v>
      </c>
      <c r="G20" s="16">
        <v>12672</v>
      </c>
      <c r="H20" s="16">
        <v>134</v>
      </c>
      <c r="I20" s="17">
        <f t="shared" si="0"/>
        <v>14.888888888888889</v>
      </c>
      <c r="J20" s="15">
        <v>52</v>
      </c>
      <c r="K20" s="15">
        <v>129</v>
      </c>
      <c r="L20" s="17">
        <f t="shared" si="1"/>
        <v>5.7777777777777777</v>
      </c>
      <c r="M20" s="17">
        <f t="shared" si="2"/>
        <v>14.333333333333334</v>
      </c>
      <c r="N20" s="18">
        <f t="shared" si="3"/>
        <v>0.40310077519379844</v>
      </c>
      <c r="O20" s="16">
        <v>37</v>
      </c>
      <c r="P20" s="15">
        <v>72</v>
      </c>
      <c r="Q20" s="17">
        <f t="shared" si="4"/>
        <v>4.1111111111111107</v>
      </c>
      <c r="R20" s="17">
        <f t="shared" si="5"/>
        <v>8</v>
      </c>
      <c r="S20" s="18">
        <f t="shared" si="6"/>
        <v>0.51388888888888884</v>
      </c>
      <c r="T20" s="15">
        <v>15</v>
      </c>
      <c r="U20" s="15">
        <v>57</v>
      </c>
      <c r="V20" s="17">
        <f t="shared" si="7"/>
        <v>1.6666666666666667</v>
      </c>
      <c r="W20" s="17">
        <f t="shared" si="8"/>
        <v>6.333333333333333</v>
      </c>
      <c r="X20" s="18">
        <f t="shared" si="9"/>
        <v>0.26315789473684209</v>
      </c>
      <c r="Y20" s="15">
        <v>15</v>
      </c>
      <c r="Z20" s="15">
        <v>21</v>
      </c>
      <c r="AA20" s="17">
        <f t="shared" si="10"/>
        <v>1.6666666666666667</v>
      </c>
      <c r="AB20" s="17">
        <f t="shared" si="11"/>
        <v>2.3333333333333335</v>
      </c>
      <c r="AC20" s="18">
        <f t="shared" si="12"/>
        <v>0.7142857142857143</v>
      </c>
      <c r="AD20" s="15">
        <v>54</v>
      </c>
      <c r="AE20" s="17">
        <f t="shared" si="13"/>
        <v>6</v>
      </c>
      <c r="AF20" s="15">
        <v>11</v>
      </c>
      <c r="AG20" s="17">
        <f t="shared" si="14"/>
        <v>1.2222222222222223</v>
      </c>
      <c r="AH20" s="15">
        <v>43</v>
      </c>
      <c r="AI20" s="17">
        <f t="shared" si="15"/>
        <v>4.7777777777777777</v>
      </c>
      <c r="AJ20" s="15">
        <v>16</v>
      </c>
      <c r="AK20" s="17">
        <f t="shared" si="16"/>
        <v>1.7777777777777777</v>
      </c>
      <c r="AL20" s="15">
        <v>8</v>
      </c>
      <c r="AM20" s="17">
        <f t="shared" si="17"/>
        <v>0.88888888888888884</v>
      </c>
      <c r="AN20" s="15">
        <v>2</v>
      </c>
      <c r="AO20" s="17">
        <f t="shared" si="18"/>
        <v>0.22222222222222221</v>
      </c>
      <c r="AP20" s="4">
        <v>13</v>
      </c>
      <c r="AQ20" s="17">
        <f t="shared" si="19"/>
        <v>1.4444444444444444</v>
      </c>
      <c r="AR20" s="15">
        <v>17</v>
      </c>
      <c r="AS20" s="17">
        <f t="shared" si="20"/>
        <v>1.8888888888888888</v>
      </c>
      <c r="AT20" s="19">
        <v>-5.6771313247187816E-2</v>
      </c>
      <c r="AU20" s="19">
        <v>-1.0752142660452239E-2</v>
      </c>
      <c r="AV20" s="19">
        <v>-0.19538856977507996</v>
      </c>
      <c r="AW20" s="19">
        <v>0.13861725652789214</v>
      </c>
      <c r="AX20" s="19">
        <v>96.557676258461797</v>
      </c>
      <c r="AY20" s="19">
        <v>113.4525798919931</v>
      </c>
      <c r="AZ20" s="19">
        <v>2.300050475448348</v>
      </c>
      <c r="BA20" s="19">
        <v>13.111111111111111</v>
      </c>
      <c r="BB20" s="19">
        <v>22.348484848484848</v>
      </c>
      <c r="BC20" s="18">
        <v>0.4846643518518518</v>
      </c>
      <c r="BD20" s="18">
        <v>0.46124031007751937</v>
      </c>
      <c r="BE20" s="19">
        <v>5.596608424703982</v>
      </c>
      <c r="BF20" s="18">
        <v>0.44186046511627908</v>
      </c>
      <c r="BG20" s="18">
        <v>0.16279069767441862</v>
      </c>
      <c r="BH20" s="19">
        <v>0.94506048387096775</v>
      </c>
      <c r="BI20" s="19">
        <v>3.6943273460410557</v>
      </c>
      <c r="BJ20" s="19">
        <v>2.268246785250235</v>
      </c>
      <c r="BK20" s="19">
        <v>1.7137960582690659</v>
      </c>
      <c r="BL20" s="19">
        <v>2.0917406032464241</v>
      </c>
      <c r="BM20" s="19">
        <v>0.16073035875016076</v>
      </c>
      <c r="BN20" s="19">
        <v>8.5956096270827818</v>
      </c>
      <c r="BO20" s="20" t="s">
        <v>239</v>
      </c>
      <c r="BP20" s="21">
        <v>150000</v>
      </c>
      <c r="BQ20" s="11" t="s">
        <v>305</v>
      </c>
      <c r="BR20" s="30">
        <v>183.19</v>
      </c>
      <c r="BS20" s="30">
        <v>280.29000000000002</v>
      </c>
      <c r="BT20" s="30">
        <v>97.1</v>
      </c>
      <c r="BU20" s="35">
        <f t="shared" si="21"/>
        <v>20.354444444444447</v>
      </c>
      <c r="BV20" s="35">
        <f t="shared" si="22"/>
        <v>31.143333333333334</v>
      </c>
      <c r="BW20" s="35">
        <f t="shared" si="23"/>
        <v>10.788888888888888</v>
      </c>
      <c r="BX20" s="36">
        <f t="shared" si="24"/>
        <v>34.695075757575758</v>
      </c>
      <c r="BY20" s="36">
        <f t="shared" si="25"/>
        <v>53.085227272727273</v>
      </c>
      <c r="BZ20" s="36">
        <f t="shared" si="26"/>
        <v>18.390151515151516</v>
      </c>
      <c r="CA20" s="31">
        <v>4</v>
      </c>
      <c r="CB20" s="31">
        <v>5</v>
      </c>
    </row>
    <row r="21" spans="1:80" x14ac:dyDescent="0.4">
      <c r="A21" s="11" t="s">
        <v>53</v>
      </c>
      <c r="B21" s="11" t="s">
        <v>260</v>
      </c>
      <c r="C21" s="11" t="s">
        <v>156</v>
      </c>
      <c r="D21" s="15">
        <v>30</v>
      </c>
      <c r="E21" s="15">
        <v>29</v>
      </c>
      <c r="F21" s="15">
        <v>28</v>
      </c>
      <c r="G21" s="16">
        <v>53040</v>
      </c>
      <c r="H21" s="16">
        <v>355</v>
      </c>
      <c r="I21" s="17">
        <f t="shared" si="0"/>
        <v>11.833333333333334</v>
      </c>
      <c r="J21" s="15">
        <v>118</v>
      </c>
      <c r="K21" s="15">
        <v>336</v>
      </c>
      <c r="L21" s="17">
        <f t="shared" si="1"/>
        <v>3.9333333333333331</v>
      </c>
      <c r="M21" s="17">
        <f t="shared" si="2"/>
        <v>11.2</v>
      </c>
      <c r="N21" s="18">
        <f t="shared" si="3"/>
        <v>0.35119047619047616</v>
      </c>
      <c r="O21" s="16">
        <v>42</v>
      </c>
      <c r="P21" s="15">
        <v>105</v>
      </c>
      <c r="Q21" s="17">
        <f t="shared" si="4"/>
        <v>1.4</v>
      </c>
      <c r="R21" s="17">
        <f t="shared" si="5"/>
        <v>3.5</v>
      </c>
      <c r="S21" s="18">
        <f t="shared" si="6"/>
        <v>0.4</v>
      </c>
      <c r="T21" s="15">
        <v>76</v>
      </c>
      <c r="U21" s="15">
        <v>231</v>
      </c>
      <c r="V21" s="17">
        <f t="shared" si="7"/>
        <v>2.5333333333333332</v>
      </c>
      <c r="W21" s="17">
        <f t="shared" si="8"/>
        <v>7.7</v>
      </c>
      <c r="X21" s="18">
        <f t="shared" si="9"/>
        <v>0.32900432900432902</v>
      </c>
      <c r="Y21" s="15">
        <v>43</v>
      </c>
      <c r="Z21" s="15">
        <v>55</v>
      </c>
      <c r="AA21" s="17">
        <f t="shared" si="10"/>
        <v>1.4333333333333333</v>
      </c>
      <c r="AB21" s="17">
        <f t="shared" si="11"/>
        <v>1.8333333333333333</v>
      </c>
      <c r="AC21" s="18">
        <f t="shared" si="12"/>
        <v>0.78181818181818186</v>
      </c>
      <c r="AD21" s="15">
        <v>48</v>
      </c>
      <c r="AE21" s="17">
        <f t="shared" si="13"/>
        <v>1.6</v>
      </c>
      <c r="AF21" s="15">
        <v>12</v>
      </c>
      <c r="AG21" s="17">
        <f t="shared" si="14"/>
        <v>0.4</v>
      </c>
      <c r="AH21" s="15">
        <v>36</v>
      </c>
      <c r="AI21" s="17">
        <f t="shared" si="15"/>
        <v>1.2</v>
      </c>
      <c r="AJ21" s="15">
        <v>28</v>
      </c>
      <c r="AK21" s="17">
        <f t="shared" si="16"/>
        <v>0.93333333333333335</v>
      </c>
      <c r="AL21" s="15">
        <v>14</v>
      </c>
      <c r="AM21" s="17">
        <f t="shared" si="17"/>
        <v>0.46666666666666667</v>
      </c>
      <c r="AN21" s="15">
        <v>0</v>
      </c>
      <c r="AO21" s="17">
        <f t="shared" si="18"/>
        <v>0</v>
      </c>
      <c r="AP21" s="4">
        <v>31</v>
      </c>
      <c r="AQ21" s="17">
        <f t="shared" si="19"/>
        <v>1.0333333333333334</v>
      </c>
      <c r="AR21" s="15">
        <v>42</v>
      </c>
      <c r="AS21" s="17">
        <f t="shared" si="20"/>
        <v>1.4</v>
      </c>
      <c r="AT21" s="19">
        <v>-0.91650055803444486</v>
      </c>
      <c r="AU21" s="19">
        <v>-4.1470613485721494E-2</v>
      </c>
      <c r="AV21" s="19">
        <v>-0.47279813832973616</v>
      </c>
      <c r="AW21" s="19">
        <v>-0.44370241970470869</v>
      </c>
      <c r="AX21" s="19">
        <v>96.788329620957356</v>
      </c>
      <c r="AY21" s="19">
        <v>124.30617568108345</v>
      </c>
      <c r="AZ21" s="19">
        <v>3.2910947445496666</v>
      </c>
      <c r="BA21" s="19">
        <v>6.1333333333333337</v>
      </c>
      <c r="BB21" s="19">
        <v>8.3257918552036205</v>
      </c>
      <c r="BC21" s="18">
        <v>0.49278178789561355</v>
      </c>
      <c r="BD21" s="18">
        <v>0.4642857142857143</v>
      </c>
      <c r="BE21" s="19">
        <v>11.528624486177577</v>
      </c>
      <c r="BF21" s="18">
        <v>0.6875</v>
      </c>
      <c r="BG21" s="18">
        <v>0.16369047619047619</v>
      </c>
      <c r="BH21" s="19">
        <v>0.82104802218654216</v>
      </c>
      <c r="BI21" s="19">
        <v>2.4631440665596265</v>
      </c>
      <c r="BJ21" s="19">
        <v>1.6056769600966974</v>
      </c>
      <c r="BK21" s="19">
        <v>2.5008931761343334</v>
      </c>
      <c r="BL21" s="19">
        <v>0.87455579972836928</v>
      </c>
      <c r="BM21" s="19">
        <v>0</v>
      </c>
      <c r="BN21" s="19">
        <v>7.924335378323109</v>
      </c>
      <c r="BO21" s="20" t="s">
        <v>257</v>
      </c>
      <c r="BP21" s="21">
        <v>800000</v>
      </c>
      <c r="BQ21" s="11" t="s">
        <v>305</v>
      </c>
      <c r="BR21" s="30">
        <v>427.35</v>
      </c>
      <c r="BS21" s="30">
        <v>685.95</v>
      </c>
      <c r="BT21" s="30">
        <v>258.60000000000002</v>
      </c>
      <c r="BU21" s="35">
        <f t="shared" si="21"/>
        <v>14.245000000000001</v>
      </c>
      <c r="BV21" s="35">
        <f t="shared" si="22"/>
        <v>22.865000000000002</v>
      </c>
      <c r="BW21" s="35">
        <f t="shared" si="23"/>
        <v>8.620000000000001</v>
      </c>
      <c r="BX21" s="36">
        <f t="shared" si="24"/>
        <v>19.337104072398191</v>
      </c>
      <c r="BY21" s="36">
        <f t="shared" si="25"/>
        <v>31.03846153846154</v>
      </c>
      <c r="BZ21" s="36">
        <f t="shared" si="26"/>
        <v>11.701357466063348</v>
      </c>
      <c r="CA21" s="31">
        <v>11</v>
      </c>
      <c r="CB21" s="31">
        <v>19</v>
      </c>
    </row>
    <row r="22" spans="1:80" x14ac:dyDescent="0.4">
      <c r="A22" s="11" t="s">
        <v>53</v>
      </c>
      <c r="B22" s="11" t="s">
        <v>260</v>
      </c>
      <c r="C22" s="11" t="s">
        <v>301</v>
      </c>
      <c r="D22" s="15">
        <v>11</v>
      </c>
      <c r="E22" s="15">
        <v>9</v>
      </c>
      <c r="F22" s="15">
        <v>0</v>
      </c>
      <c r="G22" s="16">
        <v>5940</v>
      </c>
      <c r="H22" s="16">
        <v>42</v>
      </c>
      <c r="I22" s="17">
        <f t="shared" si="0"/>
        <v>3.8181818181818183</v>
      </c>
      <c r="J22" s="15">
        <v>16</v>
      </c>
      <c r="K22" s="15">
        <v>49</v>
      </c>
      <c r="L22" s="17">
        <f t="shared" si="1"/>
        <v>1.4545454545454546</v>
      </c>
      <c r="M22" s="17">
        <f t="shared" si="2"/>
        <v>4.4545454545454541</v>
      </c>
      <c r="N22" s="18">
        <f t="shared" si="3"/>
        <v>0.32653061224489793</v>
      </c>
      <c r="O22" s="16">
        <v>9</v>
      </c>
      <c r="P22" s="15">
        <v>21</v>
      </c>
      <c r="Q22" s="17">
        <f t="shared" si="4"/>
        <v>0.81818181818181823</v>
      </c>
      <c r="R22" s="17">
        <f t="shared" si="5"/>
        <v>1.9090909090909092</v>
      </c>
      <c r="S22" s="18">
        <f t="shared" si="6"/>
        <v>0.42857142857142855</v>
      </c>
      <c r="T22" s="15">
        <v>7</v>
      </c>
      <c r="U22" s="15">
        <v>28</v>
      </c>
      <c r="V22" s="17">
        <f t="shared" si="7"/>
        <v>0.63636363636363635</v>
      </c>
      <c r="W22" s="17">
        <f t="shared" si="8"/>
        <v>2.5454545454545454</v>
      </c>
      <c r="X22" s="18">
        <f t="shared" si="9"/>
        <v>0.25</v>
      </c>
      <c r="Y22" s="15">
        <v>3</v>
      </c>
      <c r="Z22" s="15">
        <v>4</v>
      </c>
      <c r="AA22" s="17">
        <f t="shared" si="10"/>
        <v>0.27272727272727271</v>
      </c>
      <c r="AB22" s="17">
        <f t="shared" si="11"/>
        <v>0.36363636363636365</v>
      </c>
      <c r="AC22" s="18">
        <f t="shared" si="12"/>
        <v>0.75</v>
      </c>
      <c r="AD22" s="15">
        <v>8</v>
      </c>
      <c r="AE22" s="17">
        <f t="shared" si="13"/>
        <v>0.72727272727272729</v>
      </c>
      <c r="AF22" s="15">
        <v>1</v>
      </c>
      <c r="AG22" s="17">
        <f t="shared" si="14"/>
        <v>9.0909090909090912E-2</v>
      </c>
      <c r="AH22" s="15">
        <v>7</v>
      </c>
      <c r="AI22" s="17">
        <f t="shared" si="15"/>
        <v>0.63636363636363635</v>
      </c>
      <c r="AJ22" s="15">
        <v>8</v>
      </c>
      <c r="AK22" s="17">
        <f t="shared" si="16"/>
        <v>0.72727272727272729</v>
      </c>
      <c r="AL22" s="15">
        <v>5</v>
      </c>
      <c r="AM22" s="17">
        <f t="shared" si="17"/>
        <v>0.45454545454545453</v>
      </c>
      <c r="AN22" s="15">
        <v>0</v>
      </c>
      <c r="AO22" s="17">
        <f t="shared" si="18"/>
        <v>0</v>
      </c>
      <c r="AP22" s="4">
        <v>2</v>
      </c>
      <c r="AQ22" s="17">
        <f t="shared" si="19"/>
        <v>0.18181818181818182</v>
      </c>
      <c r="AR22" s="15">
        <v>19</v>
      </c>
      <c r="AS22" s="17">
        <f t="shared" si="20"/>
        <v>1.7272727272727273</v>
      </c>
      <c r="AT22" s="19">
        <v>-0.12214840664219706</v>
      </c>
      <c r="AU22" s="19">
        <v>-4.9352891572604876E-2</v>
      </c>
      <c r="AV22" s="19">
        <v>-0.13661360250588514</v>
      </c>
      <c r="AW22" s="19">
        <v>1.4465195863688083E-2</v>
      </c>
      <c r="AX22" s="19">
        <v>91.108966670511109</v>
      </c>
      <c r="AY22" s="19">
        <v>118.23364674218692</v>
      </c>
      <c r="AZ22" s="19">
        <v>0.88624163972518721</v>
      </c>
      <c r="BA22" s="19">
        <v>2.4545454545454546</v>
      </c>
      <c r="BB22" s="19">
        <v>10.909090909090908</v>
      </c>
      <c r="BC22" s="18">
        <v>0.41371158392434992</v>
      </c>
      <c r="BD22" s="18">
        <v>0.39795918367346939</v>
      </c>
      <c r="BE22" s="19">
        <v>5.0906347180129936</v>
      </c>
      <c r="BF22" s="18">
        <v>0.5714285714285714</v>
      </c>
      <c r="BG22" s="18">
        <v>8.1632653061224483E-2</v>
      </c>
      <c r="BH22" s="19">
        <v>0.2240143369175627</v>
      </c>
      <c r="BI22" s="19">
        <v>1.5681003584229389</v>
      </c>
      <c r="BJ22" s="19">
        <v>0.87618421773177813</v>
      </c>
      <c r="BK22" s="19">
        <v>2.2099447513812156</v>
      </c>
      <c r="BL22" s="19">
        <v>2.7889874709952323</v>
      </c>
      <c r="BM22" s="19">
        <v>0</v>
      </c>
      <c r="BN22" s="19">
        <v>3.7907505686125855</v>
      </c>
      <c r="BO22" s="20" t="s">
        <v>239</v>
      </c>
      <c r="BP22" s="21">
        <v>80000</v>
      </c>
      <c r="BQ22" s="11" t="s">
        <v>306</v>
      </c>
      <c r="BR22" s="31">
        <v>57.54</v>
      </c>
      <c r="BS22" s="31">
        <v>92.24</v>
      </c>
      <c r="BT22" s="31">
        <v>34.700000000000003</v>
      </c>
      <c r="BU22" s="35">
        <f t="shared" si="21"/>
        <v>5.2309090909090905</v>
      </c>
      <c r="BV22" s="35">
        <f t="shared" si="22"/>
        <v>8.3854545454545448</v>
      </c>
      <c r="BW22" s="35">
        <f t="shared" si="23"/>
        <v>3.1545454545454548</v>
      </c>
      <c r="BX22" s="36">
        <f t="shared" si="24"/>
        <v>23.24848484848485</v>
      </c>
      <c r="BY22" s="36">
        <f t="shared" si="25"/>
        <v>37.268686868686871</v>
      </c>
      <c r="BZ22" s="36">
        <f t="shared" si="26"/>
        <v>14.020202020202021</v>
      </c>
      <c r="CA22" s="30">
        <v>6</v>
      </c>
      <c r="CB22" s="30">
        <v>5</v>
      </c>
    </row>
    <row r="23" spans="1:80" x14ac:dyDescent="0.4">
      <c r="A23" s="11" t="s">
        <v>53</v>
      </c>
      <c r="B23" s="11" t="s">
        <v>260</v>
      </c>
      <c r="C23" s="14" t="s">
        <v>165</v>
      </c>
      <c r="D23" s="15">
        <v>8</v>
      </c>
      <c r="E23" s="15">
        <v>2</v>
      </c>
      <c r="F23" s="15">
        <v>37</v>
      </c>
      <c r="G23" s="16">
        <v>1256</v>
      </c>
      <c r="H23" s="16">
        <v>3</v>
      </c>
      <c r="I23" s="17">
        <f t="shared" si="0"/>
        <v>0.375</v>
      </c>
      <c r="J23" s="15">
        <v>1</v>
      </c>
      <c r="K23" s="15">
        <v>5</v>
      </c>
      <c r="L23" s="17">
        <f t="shared" si="1"/>
        <v>0.125</v>
      </c>
      <c r="M23" s="17">
        <f t="shared" si="2"/>
        <v>0.625</v>
      </c>
      <c r="N23" s="18">
        <f t="shared" si="3"/>
        <v>0.2</v>
      </c>
      <c r="O23" s="16">
        <v>0</v>
      </c>
      <c r="P23" s="15">
        <v>2</v>
      </c>
      <c r="Q23" s="17">
        <f t="shared" si="4"/>
        <v>0</v>
      </c>
      <c r="R23" s="17">
        <f t="shared" si="5"/>
        <v>0.25</v>
      </c>
      <c r="S23" s="18">
        <f t="shared" si="6"/>
        <v>0</v>
      </c>
      <c r="T23" s="15">
        <v>1</v>
      </c>
      <c r="U23" s="15">
        <v>3</v>
      </c>
      <c r="V23" s="17">
        <f t="shared" si="7"/>
        <v>0.125</v>
      </c>
      <c r="W23" s="17">
        <f t="shared" si="8"/>
        <v>0.375</v>
      </c>
      <c r="X23" s="18">
        <f t="shared" si="9"/>
        <v>0.33333333333333331</v>
      </c>
      <c r="Y23" s="15">
        <v>0</v>
      </c>
      <c r="Z23" s="15">
        <v>0</v>
      </c>
      <c r="AA23" s="17">
        <f t="shared" si="10"/>
        <v>0</v>
      </c>
      <c r="AB23" s="17">
        <f t="shared" si="11"/>
        <v>0</v>
      </c>
      <c r="AC23" s="18" t="e">
        <f t="shared" si="12"/>
        <v>#DIV/0!</v>
      </c>
      <c r="AD23" s="15">
        <v>1</v>
      </c>
      <c r="AE23" s="17">
        <f t="shared" si="13"/>
        <v>0.125</v>
      </c>
      <c r="AF23" s="15">
        <v>0</v>
      </c>
      <c r="AG23" s="17">
        <f t="shared" si="14"/>
        <v>0</v>
      </c>
      <c r="AH23" s="15">
        <v>1</v>
      </c>
      <c r="AI23" s="17">
        <f t="shared" si="15"/>
        <v>0.125</v>
      </c>
      <c r="AJ23" s="15">
        <v>2</v>
      </c>
      <c r="AK23" s="17">
        <f t="shared" si="16"/>
        <v>0.25</v>
      </c>
      <c r="AL23" s="15">
        <v>1</v>
      </c>
      <c r="AM23" s="17">
        <f t="shared" si="17"/>
        <v>0.125</v>
      </c>
      <c r="AN23" s="15">
        <v>0</v>
      </c>
      <c r="AO23" s="17">
        <f t="shared" si="18"/>
        <v>0</v>
      </c>
      <c r="AP23" s="4">
        <v>2</v>
      </c>
      <c r="AQ23" s="17">
        <f t="shared" si="19"/>
        <v>0.25</v>
      </c>
      <c r="AR23" s="15">
        <v>5</v>
      </c>
      <c r="AS23" s="17">
        <f t="shared" si="20"/>
        <v>0.625</v>
      </c>
      <c r="AT23" s="19">
        <v>-8.0734719423924989E-2</v>
      </c>
      <c r="AU23" s="19">
        <v>-0.15427016450431527</v>
      </c>
      <c r="AV23" s="19">
        <v>-8.0958217830638654E-2</v>
      </c>
      <c r="AW23" s="19">
        <v>2.2349840671367135E-4</v>
      </c>
      <c r="AX23" s="19">
        <v>58.146741438568128</v>
      </c>
      <c r="AY23" s="19">
        <v>119.50277046152704</v>
      </c>
      <c r="AZ23" s="19">
        <v>-0.84406593142205322</v>
      </c>
      <c r="BA23" s="19">
        <v>0.125</v>
      </c>
      <c r="BB23" s="19">
        <v>1.9108280254777068</v>
      </c>
      <c r="BC23" s="18">
        <v>0.3</v>
      </c>
      <c r="BD23" s="18">
        <v>0.3</v>
      </c>
      <c r="BE23" s="19">
        <v>2.3230539486690254</v>
      </c>
      <c r="BF23" s="18">
        <v>0.6</v>
      </c>
      <c r="BG23" s="18">
        <v>0</v>
      </c>
      <c r="BH23" s="19">
        <v>0</v>
      </c>
      <c r="BI23" s="19">
        <v>0.77049517156359149</v>
      </c>
      <c r="BJ23" s="19">
        <v>0.37670340571270716</v>
      </c>
      <c r="BK23" s="19">
        <v>1.8365472910927458</v>
      </c>
      <c r="BL23" s="19">
        <v>2.6379913340305228</v>
      </c>
      <c r="BM23" s="19">
        <v>0</v>
      </c>
      <c r="BN23" s="19">
        <v>28.571428571428573</v>
      </c>
      <c r="BO23" s="20" t="s">
        <v>257</v>
      </c>
      <c r="BP23" s="21">
        <v>350000</v>
      </c>
      <c r="BQ23" s="11" t="s">
        <v>306</v>
      </c>
      <c r="BU23" s="35"/>
      <c r="BV23" s="35"/>
      <c r="BW23" s="35"/>
      <c r="BX23" s="36"/>
      <c r="BY23" s="36"/>
      <c r="BZ23" s="36"/>
      <c r="CA23" s="44">
        <v>3</v>
      </c>
      <c r="CB23" s="44">
        <v>5</v>
      </c>
    </row>
    <row r="24" spans="1:80" x14ac:dyDescent="0.4">
      <c r="A24" s="11" t="s">
        <v>53</v>
      </c>
      <c r="B24" s="11" t="s">
        <v>260</v>
      </c>
      <c r="C24" s="11" t="s">
        <v>158</v>
      </c>
      <c r="D24" s="15">
        <v>14</v>
      </c>
      <c r="E24" s="15">
        <v>5</v>
      </c>
      <c r="F24" s="15">
        <v>33</v>
      </c>
      <c r="G24" s="16">
        <v>4662</v>
      </c>
      <c r="H24" s="16">
        <v>16</v>
      </c>
      <c r="I24" s="17">
        <f t="shared" si="0"/>
        <v>1.1428571428571428</v>
      </c>
      <c r="J24" s="15">
        <v>7</v>
      </c>
      <c r="K24" s="15">
        <v>18</v>
      </c>
      <c r="L24" s="17">
        <f t="shared" si="1"/>
        <v>0.5</v>
      </c>
      <c r="M24" s="17">
        <f t="shared" si="2"/>
        <v>1.2857142857142858</v>
      </c>
      <c r="N24" s="18">
        <f t="shared" si="3"/>
        <v>0.3888888888888889</v>
      </c>
      <c r="O24" s="16">
        <v>7</v>
      </c>
      <c r="P24" s="15">
        <v>16</v>
      </c>
      <c r="Q24" s="17">
        <f t="shared" si="4"/>
        <v>0.5</v>
      </c>
      <c r="R24" s="17">
        <f t="shared" si="5"/>
        <v>1.1428571428571428</v>
      </c>
      <c r="S24" s="18">
        <f t="shared" si="6"/>
        <v>0.4375</v>
      </c>
      <c r="T24" s="15">
        <v>0</v>
      </c>
      <c r="U24" s="15">
        <v>2</v>
      </c>
      <c r="V24" s="17">
        <f t="shared" si="7"/>
        <v>0</v>
      </c>
      <c r="W24" s="17">
        <f t="shared" si="8"/>
        <v>0.14285714285714285</v>
      </c>
      <c r="X24" s="18">
        <f t="shared" si="9"/>
        <v>0</v>
      </c>
      <c r="Y24" s="15">
        <v>2</v>
      </c>
      <c r="Z24" s="15">
        <v>4</v>
      </c>
      <c r="AA24" s="17">
        <f t="shared" si="10"/>
        <v>0.14285714285714285</v>
      </c>
      <c r="AB24" s="17">
        <f t="shared" si="11"/>
        <v>0.2857142857142857</v>
      </c>
      <c r="AC24" s="18">
        <f t="shared" si="12"/>
        <v>0.5</v>
      </c>
      <c r="AD24" s="15">
        <v>9</v>
      </c>
      <c r="AE24" s="17">
        <f t="shared" si="13"/>
        <v>0.6428571428571429</v>
      </c>
      <c r="AF24" s="15">
        <v>8</v>
      </c>
      <c r="AG24" s="17">
        <f t="shared" si="14"/>
        <v>0.5714285714285714</v>
      </c>
      <c r="AH24" s="15">
        <v>1</v>
      </c>
      <c r="AI24" s="17">
        <f t="shared" si="15"/>
        <v>7.1428571428571425E-2</v>
      </c>
      <c r="AJ24" s="15">
        <v>2</v>
      </c>
      <c r="AK24" s="17">
        <f t="shared" si="16"/>
        <v>0.14285714285714285</v>
      </c>
      <c r="AL24" s="15">
        <v>1</v>
      </c>
      <c r="AM24" s="17">
        <f t="shared" si="17"/>
        <v>7.1428571428571425E-2</v>
      </c>
      <c r="AN24" s="15">
        <v>2</v>
      </c>
      <c r="AO24" s="17">
        <f t="shared" si="18"/>
        <v>0.14285714285714285</v>
      </c>
      <c r="AP24" s="4">
        <v>4</v>
      </c>
      <c r="AQ24" s="17">
        <f t="shared" si="19"/>
        <v>0.2857142857142857</v>
      </c>
      <c r="AR24" s="15">
        <v>19</v>
      </c>
      <c r="AS24" s="17">
        <f t="shared" si="20"/>
        <v>1.3571428571428572</v>
      </c>
      <c r="AT24" s="19">
        <v>-0.13732624069182189</v>
      </c>
      <c r="AU24" s="19">
        <v>-7.0695619403769311E-2</v>
      </c>
      <c r="AV24" s="19">
        <v>-9.984816603592267E-2</v>
      </c>
      <c r="AW24" s="19">
        <v>-3.7478074655899217E-2</v>
      </c>
      <c r="AX24" s="19">
        <v>86.474729070567292</v>
      </c>
      <c r="AY24" s="19">
        <v>124.12267533264335</v>
      </c>
      <c r="AZ24" s="19">
        <v>-0.21133989401847597</v>
      </c>
      <c r="BA24" s="19">
        <v>0.9285714285714286</v>
      </c>
      <c r="BB24" s="19">
        <v>6.6924066924066921</v>
      </c>
      <c r="BC24" s="18">
        <v>0.40485829959514169</v>
      </c>
      <c r="BD24" s="18">
        <v>0.3888888888888889</v>
      </c>
      <c r="BE24" s="19">
        <v>3.7176038634916515</v>
      </c>
      <c r="BF24" s="18">
        <v>0.1111111111111111</v>
      </c>
      <c r="BG24" s="18">
        <v>0.22222222222222221</v>
      </c>
      <c r="BH24" s="19">
        <v>2.9061319383900028</v>
      </c>
      <c r="BI24" s="19">
        <v>0.36326649229875035</v>
      </c>
      <c r="BJ24" s="19">
        <v>1.5984441809971628</v>
      </c>
      <c r="BK24" s="19">
        <v>0.88456435205661199</v>
      </c>
      <c r="BL24" s="19">
        <v>0.710707231991063</v>
      </c>
      <c r="BM24" s="19">
        <v>0.67960464000067966</v>
      </c>
      <c r="BN24" s="19">
        <v>16.835016835016834</v>
      </c>
      <c r="BO24" s="20" t="s">
        <v>257</v>
      </c>
      <c r="BP24" s="21">
        <v>150000</v>
      </c>
      <c r="BQ24" s="11" t="s">
        <v>307</v>
      </c>
      <c r="BR24" s="31">
        <v>36.020000000000003</v>
      </c>
      <c r="BS24" s="31">
        <v>54.42</v>
      </c>
      <c r="BT24" s="31">
        <v>18.399999999999999</v>
      </c>
      <c r="BU24" s="35">
        <f t="shared" si="21"/>
        <v>2.572857142857143</v>
      </c>
      <c r="BV24" s="35">
        <f t="shared" si="22"/>
        <v>3.8871428571428575</v>
      </c>
      <c r="BW24" s="35">
        <f t="shared" si="23"/>
        <v>1.3142857142857143</v>
      </c>
      <c r="BX24" s="36">
        <f t="shared" si="24"/>
        <v>18.543114543114541</v>
      </c>
      <c r="BY24" s="36">
        <f t="shared" si="25"/>
        <v>28.015444015444015</v>
      </c>
      <c r="BZ24" s="36">
        <f t="shared" si="26"/>
        <v>9.4723294723294718</v>
      </c>
      <c r="CA24" s="31">
        <v>5</v>
      </c>
      <c r="CB24" s="31">
        <v>9</v>
      </c>
    </row>
    <row r="25" spans="1:80" x14ac:dyDescent="0.4">
      <c r="A25" s="11" t="s">
        <v>53</v>
      </c>
      <c r="B25" s="11" t="s">
        <v>260</v>
      </c>
      <c r="C25" s="11" t="s">
        <v>149</v>
      </c>
      <c r="D25" s="15">
        <v>36</v>
      </c>
      <c r="E25" s="15">
        <v>18</v>
      </c>
      <c r="F25" s="15">
        <v>39</v>
      </c>
      <c r="G25" s="16">
        <v>40284</v>
      </c>
      <c r="H25" s="16">
        <v>168</v>
      </c>
      <c r="I25" s="17">
        <f t="shared" si="0"/>
        <v>4.666666666666667</v>
      </c>
      <c r="J25" s="15">
        <v>60</v>
      </c>
      <c r="K25" s="15">
        <v>163</v>
      </c>
      <c r="L25" s="17">
        <f t="shared" si="1"/>
        <v>1.6666666666666667</v>
      </c>
      <c r="M25" s="17">
        <f t="shared" si="2"/>
        <v>4.5277777777777777</v>
      </c>
      <c r="N25" s="18">
        <f t="shared" si="3"/>
        <v>0.36809815950920244</v>
      </c>
      <c r="O25" s="16">
        <v>28</v>
      </c>
      <c r="P25" s="15">
        <v>60</v>
      </c>
      <c r="Q25" s="17">
        <f t="shared" si="4"/>
        <v>0.77777777777777779</v>
      </c>
      <c r="R25" s="17">
        <f t="shared" si="5"/>
        <v>1.6666666666666667</v>
      </c>
      <c r="S25" s="18">
        <f t="shared" si="6"/>
        <v>0.46666666666666667</v>
      </c>
      <c r="T25" s="15">
        <v>32</v>
      </c>
      <c r="U25" s="15">
        <v>103</v>
      </c>
      <c r="V25" s="17">
        <f t="shared" si="7"/>
        <v>0.88888888888888884</v>
      </c>
      <c r="W25" s="17">
        <f t="shared" si="8"/>
        <v>2.8611111111111112</v>
      </c>
      <c r="X25" s="18">
        <f t="shared" si="9"/>
        <v>0.31067961165048541</v>
      </c>
      <c r="Y25" s="15">
        <v>16</v>
      </c>
      <c r="Z25" s="15">
        <v>27</v>
      </c>
      <c r="AA25" s="17">
        <f t="shared" si="10"/>
        <v>0.44444444444444442</v>
      </c>
      <c r="AB25" s="17">
        <f t="shared" si="11"/>
        <v>0.75</v>
      </c>
      <c r="AC25" s="18">
        <f t="shared" si="12"/>
        <v>0.59259259259259256</v>
      </c>
      <c r="AD25" s="15">
        <v>100</v>
      </c>
      <c r="AE25" s="17">
        <f t="shared" si="13"/>
        <v>2.7777777777777777</v>
      </c>
      <c r="AF25" s="15">
        <v>38</v>
      </c>
      <c r="AG25" s="17">
        <f t="shared" si="14"/>
        <v>1.0555555555555556</v>
      </c>
      <c r="AH25" s="15">
        <v>62</v>
      </c>
      <c r="AI25" s="17">
        <f t="shared" si="15"/>
        <v>1.7222222222222223</v>
      </c>
      <c r="AJ25" s="15">
        <v>38</v>
      </c>
      <c r="AK25" s="17">
        <f t="shared" si="16"/>
        <v>1.0555555555555556</v>
      </c>
      <c r="AL25" s="15">
        <v>12</v>
      </c>
      <c r="AM25" s="17">
        <f t="shared" si="17"/>
        <v>0.33333333333333331</v>
      </c>
      <c r="AN25" s="15">
        <v>2</v>
      </c>
      <c r="AO25" s="17">
        <f t="shared" si="18"/>
        <v>5.5555555555555552E-2</v>
      </c>
      <c r="AP25" s="4">
        <v>16</v>
      </c>
      <c r="AQ25" s="17">
        <f t="shared" si="19"/>
        <v>0.44444444444444442</v>
      </c>
      <c r="AR25" s="15">
        <v>83</v>
      </c>
      <c r="AS25" s="17">
        <f t="shared" si="20"/>
        <v>2.3055555555555554</v>
      </c>
      <c r="AT25" s="19">
        <v>5.4187999403060474E-2</v>
      </c>
      <c r="AU25" s="19">
        <v>3.2283586179958578E-3</v>
      </c>
      <c r="AV25" s="19">
        <v>0.17497481032132398</v>
      </c>
      <c r="AW25" s="19">
        <v>-0.1207868109182635</v>
      </c>
      <c r="AX25" s="19">
        <v>105.39081296333983</v>
      </c>
      <c r="AY25" s="19">
        <v>121.28862006961845</v>
      </c>
      <c r="AZ25" s="19">
        <v>3.4448717577086825</v>
      </c>
      <c r="BA25" s="19">
        <v>5.2777777777777777</v>
      </c>
      <c r="BB25" s="19">
        <v>11.319630622579684</v>
      </c>
      <c r="BC25" s="18">
        <v>0.48032936870997256</v>
      </c>
      <c r="BD25" s="18">
        <v>0.46625766871165641</v>
      </c>
      <c r="BE25" s="19">
        <v>8.8877380853242887</v>
      </c>
      <c r="BF25" s="18">
        <v>0.63190184049079756</v>
      </c>
      <c r="BG25" s="18">
        <v>0.16564417177914109</v>
      </c>
      <c r="BH25" s="19">
        <v>4.1079304678716593</v>
      </c>
      <c r="BI25" s="19">
        <v>6.7024128686327078</v>
      </c>
      <c r="BJ25" s="19">
        <v>5.285293538596517</v>
      </c>
      <c r="BK25" s="19">
        <v>5.2536983271118487</v>
      </c>
      <c r="BL25" s="19">
        <v>0.9869875232476425</v>
      </c>
      <c r="BM25" s="19">
        <v>0.20224159528170363</v>
      </c>
      <c r="BN25" s="19">
        <v>8.3822296730930432</v>
      </c>
      <c r="BO25" s="20" t="s">
        <v>257</v>
      </c>
      <c r="BP25" s="21">
        <v>500000</v>
      </c>
      <c r="BQ25" s="11" t="s">
        <v>305</v>
      </c>
      <c r="BR25" s="30">
        <v>401.62</v>
      </c>
      <c r="BS25" s="30">
        <v>530.32000000000005</v>
      </c>
      <c r="BT25" s="30">
        <v>128.69999999999999</v>
      </c>
      <c r="BU25" s="35">
        <f t="shared" si="21"/>
        <v>11.156111111111112</v>
      </c>
      <c r="BV25" s="35">
        <f t="shared" si="22"/>
        <v>14.731111111111112</v>
      </c>
      <c r="BW25" s="35">
        <f t="shared" si="23"/>
        <v>3.5749999999999997</v>
      </c>
      <c r="BX25" s="36">
        <f t="shared" si="24"/>
        <v>23.92731605600239</v>
      </c>
      <c r="BY25" s="36">
        <f t="shared" si="25"/>
        <v>31.594876377718208</v>
      </c>
      <c r="BZ25" s="36">
        <f t="shared" si="26"/>
        <v>7.6675603217158175</v>
      </c>
      <c r="CA25" s="31">
        <v>14</v>
      </c>
      <c r="CB25" s="31">
        <v>22</v>
      </c>
    </row>
    <row r="26" spans="1:80" x14ac:dyDescent="0.4">
      <c r="A26" s="11" t="s">
        <v>53</v>
      </c>
      <c r="B26" s="11" t="s">
        <v>260</v>
      </c>
      <c r="C26" s="11" t="s">
        <v>146</v>
      </c>
      <c r="D26" s="15">
        <v>44</v>
      </c>
      <c r="E26" s="15">
        <v>31</v>
      </c>
      <c r="F26" s="15">
        <v>31</v>
      </c>
      <c r="G26" s="16">
        <v>83204</v>
      </c>
      <c r="H26" s="16">
        <v>832</v>
      </c>
      <c r="I26" s="17">
        <f t="shared" si="0"/>
        <v>18.90909090909091</v>
      </c>
      <c r="J26" s="15">
        <v>332</v>
      </c>
      <c r="K26" s="15">
        <v>616</v>
      </c>
      <c r="L26" s="17">
        <f t="shared" si="1"/>
        <v>7.5454545454545459</v>
      </c>
      <c r="M26" s="17">
        <f t="shared" si="2"/>
        <v>14</v>
      </c>
      <c r="N26" s="18">
        <f t="shared" si="3"/>
        <v>0.53896103896103897</v>
      </c>
      <c r="O26" s="16">
        <v>305</v>
      </c>
      <c r="P26" s="15">
        <v>525</v>
      </c>
      <c r="Q26" s="17">
        <f t="shared" si="4"/>
        <v>6.9318181818181817</v>
      </c>
      <c r="R26" s="17">
        <f t="shared" si="5"/>
        <v>11.931818181818182</v>
      </c>
      <c r="S26" s="18">
        <f t="shared" si="6"/>
        <v>0.580952380952381</v>
      </c>
      <c r="T26" s="15">
        <v>27</v>
      </c>
      <c r="U26" s="15">
        <v>91</v>
      </c>
      <c r="V26" s="17">
        <f t="shared" si="7"/>
        <v>0.61363636363636365</v>
      </c>
      <c r="W26" s="17">
        <f t="shared" si="8"/>
        <v>2.0681818181818183</v>
      </c>
      <c r="X26" s="18">
        <f t="shared" si="9"/>
        <v>0.2967032967032967</v>
      </c>
      <c r="Y26" s="15">
        <v>141</v>
      </c>
      <c r="Z26" s="15">
        <v>197</v>
      </c>
      <c r="AA26" s="17">
        <f t="shared" si="10"/>
        <v>3.2045454545454546</v>
      </c>
      <c r="AB26" s="17">
        <f t="shared" si="11"/>
        <v>4.4772727272727275</v>
      </c>
      <c r="AC26" s="18">
        <f t="shared" si="12"/>
        <v>0.71573604060913709</v>
      </c>
      <c r="AD26" s="15">
        <v>547</v>
      </c>
      <c r="AE26" s="17">
        <f t="shared" si="13"/>
        <v>12.431818181818182</v>
      </c>
      <c r="AF26" s="15">
        <v>146</v>
      </c>
      <c r="AG26" s="17">
        <f t="shared" si="14"/>
        <v>3.3181818181818183</v>
      </c>
      <c r="AH26" s="15">
        <v>401</v>
      </c>
      <c r="AI26" s="17">
        <f t="shared" si="15"/>
        <v>9.1136363636363633</v>
      </c>
      <c r="AJ26" s="15">
        <v>175</v>
      </c>
      <c r="AK26" s="17">
        <f t="shared" si="16"/>
        <v>3.9772727272727271</v>
      </c>
      <c r="AL26" s="15">
        <v>61</v>
      </c>
      <c r="AM26" s="17">
        <f t="shared" si="17"/>
        <v>1.3863636363636365</v>
      </c>
      <c r="AN26" s="15">
        <v>43</v>
      </c>
      <c r="AO26" s="17">
        <f t="shared" si="18"/>
        <v>0.97727272727272729</v>
      </c>
      <c r="AP26" s="4">
        <v>147</v>
      </c>
      <c r="AQ26" s="17">
        <f t="shared" si="19"/>
        <v>3.3409090909090908</v>
      </c>
      <c r="AR26" s="15">
        <v>126</v>
      </c>
      <c r="AS26" s="17">
        <f t="shared" si="20"/>
        <v>2.8636363636363638</v>
      </c>
      <c r="AT26" s="19">
        <v>3.7208448046112395</v>
      </c>
      <c r="AU26" s="19">
        <v>0.10732690172427978</v>
      </c>
      <c r="AV26" s="19">
        <v>1.947398716081219</v>
      </c>
      <c r="AW26" s="19">
        <v>1.7734460885300207</v>
      </c>
      <c r="AX26" s="19">
        <v>110.50223574177669</v>
      </c>
      <c r="AY26" s="19">
        <v>107.61904522411724</v>
      </c>
      <c r="AZ26" s="19">
        <v>16.385030327886156</v>
      </c>
      <c r="BA26" s="19">
        <v>26.613636363636363</v>
      </c>
      <c r="BB26" s="19">
        <v>33.777222248930336</v>
      </c>
      <c r="BC26" s="18">
        <v>0.59201912677178792</v>
      </c>
      <c r="BD26" s="18">
        <v>0.56087662337662336</v>
      </c>
      <c r="BE26" s="19">
        <v>23.411259289831559</v>
      </c>
      <c r="BF26" s="18">
        <v>0.14772727272727273</v>
      </c>
      <c r="BG26" s="18">
        <v>0.31980519480519481</v>
      </c>
      <c r="BH26" s="19">
        <v>9.3396564371129802</v>
      </c>
      <c r="BI26" s="19">
        <v>25.652070077276061</v>
      </c>
      <c r="BJ26" s="19">
        <v>17.10783277588661</v>
      </c>
      <c r="BK26" s="19">
        <v>17.646465665019662</v>
      </c>
      <c r="BL26" s="19">
        <v>2.4291181198990732</v>
      </c>
      <c r="BM26" s="19">
        <v>2.573045700732346</v>
      </c>
      <c r="BN26" s="19">
        <v>17.300630825722624</v>
      </c>
      <c r="BO26" s="20" t="s">
        <v>239</v>
      </c>
      <c r="BP26" s="21">
        <v>450000</v>
      </c>
      <c r="BQ26" s="11" t="s">
        <v>307</v>
      </c>
      <c r="BR26" s="30">
        <v>1628.32</v>
      </c>
      <c r="BS26" s="30">
        <v>2171.2199999999998</v>
      </c>
      <c r="BT26" s="30">
        <v>542.9</v>
      </c>
      <c r="BU26" s="35">
        <f t="shared" si="21"/>
        <v>37.007272727272728</v>
      </c>
      <c r="BV26" s="35">
        <f t="shared" si="22"/>
        <v>49.345909090909089</v>
      </c>
      <c r="BW26" s="35">
        <f t="shared" si="23"/>
        <v>12.338636363636363</v>
      </c>
      <c r="BX26" s="36">
        <f t="shared" si="24"/>
        <v>46.968511129272613</v>
      </c>
      <c r="BY26" s="36">
        <f t="shared" si="25"/>
        <v>62.628335176193438</v>
      </c>
      <c r="BZ26" s="36">
        <f t="shared" si="26"/>
        <v>15.659824046920821</v>
      </c>
      <c r="CA26" s="30">
        <v>16</v>
      </c>
      <c r="CB26" s="30">
        <v>28</v>
      </c>
    </row>
    <row r="27" spans="1:80" x14ac:dyDescent="0.4">
      <c r="A27" s="11" t="s">
        <v>53</v>
      </c>
      <c r="B27" s="11" t="s">
        <v>260</v>
      </c>
      <c r="C27" s="11" t="s">
        <v>152</v>
      </c>
      <c r="D27" s="15">
        <v>43</v>
      </c>
      <c r="E27" s="15">
        <v>24</v>
      </c>
      <c r="F27" s="15">
        <v>15</v>
      </c>
      <c r="G27" s="16">
        <v>62565</v>
      </c>
      <c r="H27" s="16">
        <v>310</v>
      </c>
      <c r="I27" s="17">
        <f t="shared" si="0"/>
        <v>7.2093023255813957</v>
      </c>
      <c r="J27" s="15">
        <v>109</v>
      </c>
      <c r="K27" s="15">
        <v>303</v>
      </c>
      <c r="L27" s="17">
        <f t="shared" si="1"/>
        <v>2.5348837209302326</v>
      </c>
      <c r="M27" s="17">
        <f t="shared" si="2"/>
        <v>7.0465116279069768</v>
      </c>
      <c r="N27" s="18">
        <f t="shared" si="3"/>
        <v>0.35973597359735976</v>
      </c>
      <c r="O27" s="16">
        <v>51</v>
      </c>
      <c r="P27" s="15">
        <v>105</v>
      </c>
      <c r="Q27" s="17">
        <f t="shared" si="4"/>
        <v>1.1860465116279071</v>
      </c>
      <c r="R27" s="17">
        <f t="shared" si="5"/>
        <v>2.441860465116279</v>
      </c>
      <c r="S27" s="18">
        <f t="shared" si="6"/>
        <v>0.48571428571428571</v>
      </c>
      <c r="T27" s="15">
        <v>58</v>
      </c>
      <c r="U27" s="15">
        <v>198</v>
      </c>
      <c r="V27" s="17">
        <f t="shared" si="7"/>
        <v>1.3488372093023255</v>
      </c>
      <c r="W27" s="17">
        <f t="shared" si="8"/>
        <v>4.6046511627906979</v>
      </c>
      <c r="X27" s="18">
        <f t="shared" si="9"/>
        <v>0.29292929292929293</v>
      </c>
      <c r="Y27" s="15">
        <v>34</v>
      </c>
      <c r="Z27" s="15">
        <v>47</v>
      </c>
      <c r="AA27" s="17">
        <f t="shared" si="10"/>
        <v>0.79069767441860461</v>
      </c>
      <c r="AB27" s="17">
        <f t="shared" si="11"/>
        <v>1.0930232558139534</v>
      </c>
      <c r="AC27" s="18">
        <f t="shared" si="12"/>
        <v>0.72340425531914898</v>
      </c>
      <c r="AD27" s="15">
        <v>87</v>
      </c>
      <c r="AE27" s="17">
        <f t="shared" si="13"/>
        <v>2.0232558139534884</v>
      </c>
      <c r="AF27" s="15">
        <v>22</v>
      </c>
      <c r="AG27" s="17">
        <f t="shared" si="14"/>
        <v>0.51162790697674421</v>
      </c>
      <c r="AH27" s="15">
        <v>65</v>
      </c>
      <c r="AI27" s="17">
        <f t="shared" si="15"/>
        <v>1.5116279069767442</v>
      </c>
      <c r="AJ27" s="15">
        <v>157</v>
      </c>
      <c r="AK27" s="17">
        <f t="shared" si="16"/>
        <v>3.6511627906976742</v>
      </c>
      <c r="AL27" s="15">
        <v>40</v>
      </c>
      <c r="AM27" s="17">
        <f t="shared" si="17"/>
        <v>0.93023255813953487</v>
      </c>
      <c r="AN27" s="15">
        <v>0</v>
      </c>
      <c r="AO27" s="17">
        <f t="shared" si="18"/>
        <v>0</v>
      </c>
      <c r="AP27" s="4">
        <v>44</v>
      </c>
      <c r="AQ27" s="17">
        <f t="shared" si="19"/>
        <v>1.0232558139534884</v>
      </c>
      <c r="AR27" s="15">
        <v>91</v>
      </c>
      <c r="AS27" s="17">
        <f t="shared" si="20"/>
        <v>2.1162790697674421</v>
      </c>
      <c r="AT27" s="19">
        <v>0.2771928643759648</v>
      </c>
      <c r="AU27" s="19">
        <v>1.0633147518617686E-2</v>
      </c>
      <c r="AV27" s="19">
        <v>0.36772619453372629</v>
      </c>
      <c r="AW27" s="19">
        <v>-9.0533330157761521E-2</v>
      </c>
      <c r="AX27" s="19">
        <v>105.58806116002106</v>
      </c>
      <c r="AY27" s="19">
        <v>120.41639110636153</v>
      </c>
      <c r="AZ27" s="19">
        <v>6.2088055429429199</v>
      </c>
      <c r="BA27" s="19">
        <v>7.9767441860465116</v>
      </c>
      <c r="BB27" s="19">
        <v>13.157516183169504</v>
      </c>
      <c r="BC27" s="18">
        <v>0.47886801779535343</v>
      </c>
      <c r="BD27" s="18">
        <v>0.45544554455445546</v>
      </c>
      <c r="BE27" s="19">
        <v>13.166426579079088</v>
      </c>
      <c r="BF27" s="18">
        <v>0.65346534653465349</v>
      </c>
      <c r="BG27" s="18">
        <v>0.15511551155115511</v>
      </c>
      <c r="BH27" s="19">
        <v>1.8290655138011307</v>
      </c>
      <c r="BI27" s="19">
        <v>5.4040571998669771</v>
      </c>
      <c r="BJ27" s="19">
        <v>3.5363517653813519</v>
      </c>
      <c r="BK27" s="19">
        <v>17.262231995601983</v>
      </c>
      <c r="BL27" s="19">
        <v>2.1183199012497949</v>
      </c>
      <c r="BM27" s="19">
        <v>0</v>
      </c>
      <c r="BN27" s="19">
        <v>11.966927763272411</v>
      </c>
      <c r="BO27" s="20" t="s">
        <v>257</v>
      </c>
      <c r="BP27" s="20">
        <v>370000</v>
      </c>
      <c r="BQ27" s="11" t="s">
        <v>306</v>
      </c>
      <c r="BR27">
        <v>701.32</v>
      </c>
      <c r="BS27">
        <v>957.72</v>
      </c>
      <c r="BT27">
        <v>256.39999999999998</v>
      </c>
      <c r="BU27" s="35">
        <f t="shared" si="21"/>
        <v>16.309767441860465</v>
      </c>
      <c r="BV27" s="35">
        <f t="shared" si="22"/>
        <v>22.272558139534883</v>
      </c>
      <c r="BW27" s="35">
        <f t="shared" si="23"/>
        <v>5.9627906976744178</v>
      </c>
      <c r="BX27" s="36">
        <f t="shared" si="24"/>
        <v>26.902709182450252</v>
      </c>
      <c r="BY27" s="36">
        <f t="shared" si="25"/>
        <v>36.738240230160635</v>
      </c>
      <c r="BZ27" s="36">
        <f t="shared" si="26"/>
        <v>9.835531047710381</v>
      </c>
      <c r="CA27">
        <v>15</v>
      </c>
      <c r="CB27">
        <v>28</v>
      </c>
    </row>
    <row r="28" spans="1:80" x14ac:dyDescent="0.4">
      <c r="A28" s="11" t="s">
        <v>53</v>
      </c>
      <c r="B28" s="11" t="s">
        <v>260</v>
      </c>
      <c r="C28" s="11" t="s">
        <v>153</v>
      </c>
      <c r="D28" s="15">
        <v>35</v>
      </c>
      <c r="E28" s="15">
        <v>13</v>
      </c>
      <c r="F28" s="15">
        <v>53</v>
      </c>
      <c r="G28" s="16">
        <v>29155</v>
      </c>
      <c r="H28" s="16">
        <v>98</v>
      </c>
      <c r="I28" s="17">
        <f t="shared" si="0"/>
        <v>2.8</v>
      </c>
      <c r="J28" s="15">
        <v>37</v>
      </c>
      <c r="K28" s="15">
        <v>86</v>
      </c>
      <c r="L28" s="17">
        <f t="shared" si="1"/>
        <v>1.0571428571428572</v>
      </c>
      <c r="M28" s="17">
        <f t="shared" si="2"/>
        <v>2.4571428571428573</v>
      </c>
      <c r="N28" s="18">
        <f t="shared" si="3"/>
        <v>0.43023255813953487</v>
      </c>
      <c r="O28" s="16">
        <v>20</v>
      </c>
      <c r="P28" s="15">
        <v>41</v>
      </c>
      <c r="Q28" s="17">
        <f t="shared" si="4"/>
        <v>0.5714285714285714</v>
      </c>
      <c r="R28" s="17">
        <f t="shared" si="5"/>
        <v>1.1714285714285715</v>
      </c>
      <c r="S28" s="18">
        <f t="shared" si="6"/>
        <v>0.48780487804878048</v>
      </c>
      <c r="T28" s="15">
        <v>17</v>
      </c>
      <c r="U28" s="15">
        <v>45</v>
      </c>
      <c r="V28" s="17">
        <f t="shared" si="7"/>
        <v>0.48571428571428571</v>
      </c>
      <c r="W28" s="17">
        <f t="shared" si="8"/>
        <v>1.2857142857142858</v>
      </c>
      <c r="X28" s="18">
        <f t="shared" si="9"/>
        <v>0.37777777777777777</v>
      </c>
      <c r="Y28" s="15">
        <v>7</v>
      </c>
      <c r="Z28" s="15">
        <v>10</v>
      </c>
      <c r="AA28" s="17">
        <f t="shared" si="10"/>
        <v>0.2</v>
      </c>
      <c r="AB28" s="17">
        <f t="shared" si="11"/>
        <v>0.2857142857142857</v>
      </c>
      <c r="AC28" s="18">
        <f t="shared" si="12"/>
        <v>0.7</v>
      </c>
      <c r="AD28" s="15">
        <v>55</v>
      </c>
      <c r="AE28" s="17">
        <f t="shared" si="13"/>
        <v>1.5714285714285714</v>
      </c>
      <c r="AF28" s="15">
        <v>22</v>
      </c>
      <c r="AG28" s="17">
        <f t="shared" si="14"/>
        <v>0.62857142857142856</v>
      </c>
      <c r="AH28" s="15">
        <v>33</v>
      </c>
      <c r="AI28" s="17">
        <f t="shared" si="15"/>
        <v>0.94285714285714284</v>
      </c>
      <c r="AJ28" s="15">
        <v>16</v>
      </c>
      <c r="AK28" s="17">
        <f t="shared" si="16"/>
        <v>0.45714285714285713</v>
      </c>
      <c r="AL28" s="15">
        <v>9</v>
      </c>
      <c r="AM28" s="17">
        <f t="shared" si="17"/>
        <v>0.25714285714285712</v>
      </c>
      <c r="AN28" s="15">
        <v>2</v>
      </c>
      <c r="AO28" s="17">
        <f t="shared" si="18"/>
        <v>5.7142857142857141E-2</v>
      </c>
      <c r="AP28" s="4">
        <v>14</v>
      </c>
      <c r="AQ28" s="17">
        <f t="shared" si="19"/>
        <v>0.4</v>
      </c>
      <c r="AR28" s="15">
        <v>60</v>
      </c>
      <c r="AS28" s="17">
        <f t="shared" si="20"/>
        <v>1.7142857142857142</v>
      </c>
      <c r="AT28" s="19">
        <v>-1.3749455711570407E-2</v>
      </c>
      <c r="AU28" s="19">
        <v>-1.1318365188739145E-3</v>
      </c>
      <c r="AV28" s="19">
        <v>0.12555064246867337</v>
      </c>
      <c r="AW28" s="19">
        <v>-0.13930009818024378</v>
      </c>
      <c r="AX28" s="19">
        <v>106.49960089231062</v>
      </c>
      <c r="AY28" s="19">
        <v>122.28914002415894</v>
      </c>
      <c r="AZ28" s="19">
        <v>2.4432293920370007</v>
      </c>
      <c r="BA28" s="19">
        <v>3.2571428571428571</v>
      </c>
      <c r="BB28" s="19">
        <v>9.3843251586348817</v>
      </c>
      <c r="BC28" s="18">
        <v>0.54203539823008851</v>
      </c>
      <c r="BD28" s="18">
        <v>0.52906976744186052</v>
      </c>
      <c r="BE28" s="19">
        <v>6.530048475706443</v>
      </c>
      <c r="BF28" s="18">
        <v>0.52325581395348841</v>
      </c>
      <c r="BG28" s="18">
        <v>0.11627906976744186</v>
      </c>
      <c r="BH28" s="19">
        <v>3.1948263176238236</v>
      </c>
      <c r="BI28" s="19">
        <v>4.7922394764357357</v>
      </c>
      <c r="BJ28" s="19">
        <v>3.9049626750650974</v>
      </c>
      <c r="BK28" s="19">
        <v>2.9298663248489287</v>
      </c>
      <c r="BL28" s="19">
        <v>1.0228041172999838</v>
      </c>
      <c r="BM28" s="19">
        <v>0.27167868561851899</v>
      </c>
      <c r="BN28" s="19">
        <v>13.409961685823754</v>
      </c>
      <c r="BO28" s="20" t="s">
        <v>257</v>
      </c>
      <c r="BP28" s="20"/>
      <c r="BQ28" s="11" t="s">
        <v>305</v>
      </c>
      <c r="BR28" s="30">
        <v>253.91</v>
      </c>
      <c r="BS28" s="30">
        <v>323.51</v>
      </c>
      <c r="BT28" s="30">
        <v>69.599999999999994</v>
      </c>
      <c r="BU28" s="35">
        <f t="shared" si="21"/>
        <v>7.2545714285714284</v>
      </c>
      <c r="BV28" s="35">
        <f t="shared" si="22"/>
        <v>9.2431428571428569</v>
      </c>
      <c r="BW28" s="35">
        <f t="shared" si="23"/>
        <v>1.9885714285714284</v>
      </c>
      <c r="BX28" s="36">
        <f t="shared" si="24"/>
        <v>20.901526324815638</v>
      </c>
      <c r="BY28" s="36">
        <f t="shared" si="25"/>
        <v>26.630903790087462</v>
      </c>
      <c r="BZ28" s="36">
        <f t="shared" si="26"/>
        <v>5.7293774652718232</v>
      </c>
      <c r="CA28" s="30">
        <v>13</v>
      </c>
      <c r="CB28" s="30">
        <v>22</v>
      </c>
    </row>
    <row r="29" spans="1:80" x14ac:dyDescent="0.4">
      <c r="A29" s="11" t="s">
        <v>53</v>
      </c>
      <c r="B29" s="11" t="s">
        <v>261</v>
      </c>
      <c r="C29" s="11" t="s">
        <v>208</v>
      </c>
      <c r="D29" s="15">
        <v>33</v>
      </c>
      <c r="E29" s="15">
        <v>22</v>
      </c>
      <c r="F29" s="15">
        <v>25</v>
      </c>
      <c r="G29" s="16">
        <v>44385</v>
      </c>
      <c r="H29" s="16">
        <v>351</v>
      </c>
      <c r="I29" s="17">
        <f t="shared" si="0"/>
        <v>10.636363636363637</v>
      </c>
      <c r="J29" s="15">
        <v>123</v>
      </c>
      <c r="K29" s="15">
        <v>295</v>
      </c>
      <c r="L29" s="17">
        <f t="shared" si="1"/>
        <v>3.7272727272727271</v>
      </c>
      <c r="M29" s="17">
        <f t="shared" si="2"/>
        <v>8.9393939393939394</v>
      </c>
      <c r="N29" s="18">
        <f t="shared" si="3"/>
        <v>0.41694915254237286</v>
      </c>
      <c r="O29" s="16">
        <v>64</v>
      </c>
      <c r="P29" s="15">
        <v>126</v>
      </c>
      <c r="Q29" s="17">
        <f t="shared" si="4"/>
        <v>1.9393939393939394</v>
      </c>
      <c r="R29" s="17">
        <f t="shared" si="5"/>
        <v>3.8181818181818183</v>
      </c>
      <c r="S29" s="18">
        <f t="shared" si="6"/>
        <v>0.50793650793650791</v>
      </c>
      <c r="T29" s="15">
        <v>59</v>
      </c>
      <c r="U29" s="15">
        <v>169</v>
      </c>
      <c r="V29" s="17">
        <f t="shared" si="7"/>
        <v>1.7878787878787878</v>
      </c>
      <c r="W29" s="17">
        <f t="shared" si="8"/>
        <v>5.1212121212121211</v>
      </c>
      <c r="X29" s="18">
        <f t="shared" si="9"/>
        <v>0.34911242603550297</v>
      </c>
      <c r="Y29" s="15">
        <v>46</v>
      </c>
      <c r="Z29" s="15">
        <v>56</v>
      </c>
      <c r="AA29" s="17">
        <f t="shared" si="10"/>
        <v>1.393939393939394</v>
      </c>
      <c r="AB29" s="17">
        <f t="shared" si="11"/>
        <v>1.696969696969697</v>
      </c>
      <c r="AC29" s="18">
        <f t="shared" si="12"/>
        <v>0.8214285714285714</v>
      </c>
      <c r="AD29" s="15">
        <v>70</v>
      </c>
      <c r="AE29" s="17">
        <f t="shared" si="13"/>
        <v>2.1212121212121211</v>
      </c>
      <c r="AF29" s="15">
        <v>20</v>
      </c>
      <c r="AG29" s="17">
        <f t="shared" si="14"/>
        <v>0.60606060606060608</v>
      </c>
      <c r="AH29" s="15">
        <v>50</v>
      </c>
      <c r="AI29" s="17">
        <f t="shared" si="15"/>
        <v>1.5151515151515151</v>
      </c>
      <c r="AJ29" s="15">
        <v>101</v>
      </c>
      <c r="AK29" s="17">
        <f t="shared" si="16"/>
        <v>3.0606060606060606</v>
      </c>
      <c r="AL29" s="15">
        <v>25</v>
      </c>
      <c r="AM29" s="17">
        <f t="shared" si="17"/>
        <v>0.75757575757575757</v>
      </c>
      <c r="AN29" s="15">
        <v>0</v>
      </c>
      <c r="AO29" s="17">
        <f t="shared" si="18"/>
        <v>0</v>
      </c>
      <c r="AP29" s="4">
        <v>39</v>
      </c>
      <c r="AQ29" s="17">
        <f t="shared" si="19"/>
        <v>1.1818181818181819</v>
      </c>
      <c r="AR29" s="15">
        <v>67</v>
      </c>
      <c r="AS29" s="17">
        <f t="shared" si="20"/>
        <v>2.0303030303030303</v>
      </c>
      <c r="AT29" s="19">
        <v>1.1300396507745816</v>
      </c>
      <c r="AU29" s="19">
        <v>6.1103867564695186E-2</v>
      </c>
      <c r="AV29" s="19">
        <v>1.087447144444774</v>
      </c>
      <c r="AW29" s="19">
        <v>4.2592506329807503E-2</v>
      </c>
      <c r="AX29" s="19">
        <v>114.3030884094357</v>
      </c>
      <c r="AY29" s="19">
        <v>119.01550356646717</v>
      </c>
      <c r="AZ29" s="19">
        <v>6.9929633489175398</v>
      </c>
      <c r="BA29" s="19">
        <v>9.8787878787878789</v>
      </c>
      <c r="BB29" s="19">
        <v>17.627576884082462</v>
      </c>
      <c r="BC29" s="18">
        <v>0.54905518708547119</v>
      </c>
      <c r="BD29" s="18">
        <v>0.51694915254237284</v>
      </c>
      <c r="BE29" s="19">
        <v>13.893042028640842</v>
      </c>
      <c r="BF29" s="18">
        <v>0.57288135593220335</v>
      </c>
      <c r="BG29" s="18">
        <v>0.18983050847457628</v>
      </c>
      <c r="BH29" s="19">
        <v>1.7987768317544068</v>
      </c>
      <c r="BI29" s="19">
        <v>4.4969420793860175</v>
      </c>
      <c r="BJ29" s="19">
        <v>3.0780449284629379</v>
      </c>
      <c r="BK29" s="19">
        <v>12.339645693341478</v>
      </c>
      <c r="BL29" s="19">
        <v>1.8662369694391889</v>
      </c>
      <c r="BM29" s="19">
        <v>0</v>
      </c>
      <c r="BN29" s="19">
        <v>10.87441445460629</v>
      </c>
      <c r="BO29" s="20" t="s">
        <v>257</v>
      </c>
      <c r="BP29" s="21">
        <v>40000</v>
      </c>
      <c r="BQ29" s="30" t="s">
        <v>306</v>
      </c>
      <c r="BR29" s="30">
        <v>570.98</v>
      </c>
      <c r="BS29" s="30">
        <v>798.48</v>
      </c>
      <c r="BT29" s="30">
        <v>227.5</v>
      </c>
      <c r="BU29" s="35">
        <f t="shared" si="21"/>
        <v>17.302424242424241</v>
      </c>
      <c r="BV29" s="35">
        <f t="shared" si="22"/>
        <v>24.196363636363635</v>
      </c>
      <c r="BW29" s="35">
        <f t="shared" si="23"/>
        <v>6.8939393939393936</v>
      </c>
      <c r="BX29" s="36">
        <f t="shared" si="24"/>
        <v>30.874214261574856</v>
      </c>
      <c r="BY29" s="36">
        <f t="shared" si="25"/>
        <v>43.175667455221358</v>
      </c>
      <c r="BZ29" s="36">
        <f t="shared" si="26"/>
        <v>12.301453193646502</v>
      </c>
      <c r="CA29" s="31">
        <v>15</v>
      </c>
      <c r="CB29" s="31">
        <v>18</v>
      </c>
    </row>
    <row r="30" spans="1:80" x14ac:dyDescent="0.4">
      <c r="A30" s="11" t="s">
        <v>53</v>
      </c>
      <c r="B30" s="11" t="s">
        <v>261</v>
      </c>
      <c r="C30" s="11" t="s">
        <v>210</v>
      </c>
      <c r="D30" s="15">
        <v>33</v>
      </c>
      <c r="E30" s="15">
        <v>8</v>
      </c>
      <c r="F30" s="15">
        <v>47</v>
      </c>
      <c r="G30" s="16">
        <v>17391</v>
      </c>
      <c r="H30" s="16">
        <v>72</v>
      </c>
      <c r="I30" s="17">
        <f t="shared" si="0"/>
        <v>2.1818181818181817</v>
      </c>
      <c r="J30" s="15">
        <v>29</v>
      </c>
      <c r="K30" s="15">
        <v>54</v>
      </c>
      <c r="L30" s="17">
        <f t="shared" si="1"/>
        <v>0.87878787878787878</v>
      </c>
      <c r="M30" s="17">
        <f t="shared" si="2"/>
        <v>1.6363636363636365</v>
      </c>
      <c r="N30" s="18">
        <f t="shared" si="3"/>
        <v>0.53703703703703709</v>
      </c>
      <c r="O30" s="16">
        <v>25</v>
      </c>
      <c r="P30" s="15">
        <v>47</v>
      </c>
      <c r="Q30" s="17">
        <f t="shared" si="4"/>
        <v>0.75757575757575757</v>
      </c>
      <c r="R30" s="17">
        <f t="shared" si="5"/>
        <v>1.4242424242424243</v>
      </c>
      <c r="S30" s="18">
        <f t="shared" si="6"/>
        <v>0.53191489361702127</v>
      </c>
      <c r="T30" s="15">
        <v>4</v>
      </c>
      <c r="U30" s="15">
        <v>7</v>
      </c>
      <c r="V30" s="17">
        <f t="shared" si="7"/>
        <v>0.12121212121212122</v>
      </c>
      <c r="W30" s="17">
        <f t="shared" si="8"/>
        <v>0.21212121212121213</v>
      </c>
      <c r="X30" s="18">
        <f t="shared" si="9"/>
        <v>0.5714285714285714</v>
      </c>
      <c r="Y30" s="15">
        <v>10</v>
      </c>
      <c r="Z30" s="15">
        <v>14</v>
      </c>
      <c r="AA30" s="17">
        <f t="shared" si="10"/>
        <v>0.30303030303030304</v>
      </c>
      <c r="AB30" s="17">
        <f t="shared" si="11"/>
        <v>0.42424242424242425</v>
      </c>
      <c r="AC30" s="18">
        <f t="shared" si="12"/>
        <v>0.7142857142857143</v>
      </c>
      <c r="AD30" s="15">
        <v>44</v>
      </c>
      <c r="AE30" s="17">
        <f t="shared" si="13"/>
        <v>1.3333333333333333</v>
      </c>
      <c r="AF30" s="15">
        <v>17</v>
      </c>
      <c r="AG30" s="17">
        <f t="shared" si="14"/>
        <v>0.51515151515151514</v>
      </c>
      <c r="AH30" s="15">
        <v>27</v>
      </c>
      <c r="AI30" s="17">
        <f t="shared" si="15"/>
        <v>0.81818181818181823</v>
      </c>
      <c r="AJ30" s="15">
        <v>20</v>
      </c>
      <c r="AK30" s="17">
        <f t="shared" si="16"/>
        <v>0.60606060606060608</v>
      </c>
      <c r="AL30" s="15">
        <v>7</v>
      </c>
      <c r="AM30" s="17">
        <f t="shared" si="17"/>
        <v>0.21212121212121213</v>
      </c>
      <c r="AN30" s="15">
        <v>1</v>
      </c>
      <c r="AO30" s="17">
        <f t="shared" si="18"/>
        <v>3.0303030303030304E-2</v>
      </c>
      <c r="AP30" s="4">
        <v>14</v>
      </c>
      <c r="AQ30" s="17">
        <f t="shared" si="19"/>
        <v>0.42424242424242425</v>
      </c>
      <c r="AR30" s="15">
        <v>36</v>
      </c>
      <c r="AS30" s="17">
        <f t="shared" si="20"/>
        <v>1.0909090909090908</v>
      </c>
      <c r="AT30" s="19">
        <v>0.27157776225579106</v>
      </c>
      <c r="AU30" s="19">
        <v>3.7478387063072771E-2</v>
      </c>
      <c r="AV30" s="19">
        <v>0.24865468020512285</v>
      </c>
      <c r="AW30" s="19">
        <v>2.2923082050668179E-2</v>
      </c>
      <c r="AX30" s="19">
        <v>114.6053209164663</v>
      </c>
      <c r="AY30" s="19">
        <v>118.79609940124955</v>
      </c>
      <c r="AZ30" s="19">
        <v>4.0050348964437488</v>
      </c>
      <c r="BA30" s="19">
        <v>3.0606060606060606</v>
      </c>
      <c r="BB30" s="19">
        <v>13.938243919268587</v>
      </c>
      <c r="BC30" s="18">
        <v>0.59840425531914898</v>
      </c>
      <c r="BD30" s="18">
        <v>0.57407407407407407</v>
      </c>
      <c r="BE30" s="19">
        <v>7.3319587668276789</v>
      </c>
      <c r="BF30" s="18">
        <v>0.12962962962962962</v>
      </c>
      <c r="BG30" s="18">
        <v>0.25925925925925924</v>
      </c>
      <c r="BH30" s="19">
        <v>3.9021852237252861</v>
      </c>
      <c r="BI30" s="19">
        <v>6.1975882965048665</v>
      </c>
      <c r="BJ30" s="19">
        <v>4.9378882858887687</v>
      </c>
      <c r="BK30" s="19">
        <v>5.8840835539864669</v>
      </c>
      <c r="BL30" s="19">
        <v>1.3336334775916483</v>
      </c>
      <c r="BM30" s="19">
        <v>0.21471379992431339</v>
      </c>
      <c r="BN30" s="19">
        <v>18.878101402373247</v>
      </c>
      <c r="BO30" s="20" t="s">
        <v>257</v>
      </c>
      <c r="BP30" s="21">
        <v>40000</v>
      </c>
      <c r="BQ30" s="31" t="s">
        <v>307</v>
      </c>
      <c r="BR30" s="31">
        <v>186.06</v>
      </c>
      <c r="BS30" s="31">
        <v>234.96</v>
      </c>
      <c r="BT30" s="31">
        <v>48.9</v>
      </c>
      <c r="BU30" s="35">
        <f t="shared" si="21"/>
        <v>5.6381818181818186</v>
      </c>
      <c r="BV30" s="35">
        <f t="shared" si="22"/>
        <v>7.12</v>
      </c>
      <c r="BW30" s="35">
        <f t="shared" si="23"/>
        <v>1.4818181818181817</v>
      </c>
      <c r="BX30" s="36">
        <f t="shared" si="24"/>
        <v>25.676729342763494</v>
      </c>
      <c r="BY30" s="36">
        <f t="shared" si="25"/>
        <v>32.425047438330168</v>
      </c>
      <c r="BZ30" s="36">
        <f t="shared" si="26"/>
        <v>6.7483180955666722</v>
      </c>
      <c r="CA30" s="30">
        <v>14</v>
      </c>
      <c r="CB30" s="30">
        <v>19</v>
      </c>
    </row>
    <row r="31" spans="1:80" x14ac:dyDescent="0.4">
      <c r="A31" s="11" t="s">
        <v>53</v>
      </c>
      <c r="B31" s="11" t="s">
        <v>261</v>
      </c>
      <c r="C31" s="11" t="s">
        <v>219</v>
      </c>
      <c r="D31" s="15">
        <v>5</v>
      </c>
      <c r="E31" s="15">
        <v>2</v>
      </c>
      <c r="F31" s="15">
        <v>10</v>
      </c>
      <c r="G31" s="16">
        <v>650</v>
      </c>
      <c r="H31" s="16">
        <v>3</v>
      </c>
      <c r="I31" s="17">
        <f t="shared" si="0"/>
        <v>0.6</v>
      </c>
      <c r="J31" s="15">
        <v>1</v>
      </c>
      <c r="K31" s="15">
        <v>3</v>
      </c>
      <c r="L31" s="17">
        <f t="shared" si="1"/>
        <v>0.2</v>
      </c>
      <c r="M31" s="17">
        <f t="shared" si="2"/>
        <v>0.6</v>
      </c>
      <c r="N31" s="18">
        <f t="shared" si="3"/>
        <v>0.33333333333333331</v>
      </c>
      <c r="O31" s="16">
        <v>0</v>
      </c>
      <c r="P31" s="15">
        <v>0</v>
      </c>
      <c r="Q31" s="17">
        <f t="shared" si="4"/>
        <v>0</v>
      </c>
      <c r="R31" s="17">
        <f t="shared" si="5"/>
        <v>0</v>
      </c>
      <c r="S31" s="18" t="e">
        <f t="shared" si="6"/>
        <v>#DIV/0!</v>
      </c>
      <c r="T31" s="15">
        <v>1</v>
      </c>
      <c r="U31" s="15">
        <v>3</v>
      </c>
      <c r="V31" s="17">
        <f t="shared" si="7"/>
        <v>0.2</v>
      </c>
      <c r="W31" s="17">
        <f t="shared" si="8"/>
        <v>0.6</v>
      </c>
      <c r="X31" s="18">
        <f t="shared" si="9"/>
        <v>0.33333333333333331</v>
      </c>
      <c r="Y31" s="15">
        <v>0</v>
      </c>
      <c r="Z31" s="15">
        <v>0</v>
      </c>
      <c r="AA31" s="17">
        <f t="shared" si="10"/>
        <v>0</v>
      </c>
      <c r="AB31" s="17">
        <f t="shared" si="11"/>
        <v>0</v>
      </c>
      <c r="AC31" s="18" t="e">
        <f t="shared" si="12"/>
        <v>#DIV/0!</v>
      </c>
      <c r="AD31" s="15">
        <v>0</v>
      </c>
      <c r="AE31" s="17">
        <f t="shared" si="13"/>
        <v>0</v>
      </c>
      <c r="AF31" s="15">
        <v>0</v>
      </c>
      <c r="AG31" s="17">
        <f t="shared" si="14"/>
        <v>0</v>
      </c>
      <c r="AH31" s="15">
        <v>0</v>
      </c>
      <c r="AI31" s="17">
        <f t="shared" si="15"/>
        <v>0</v>
      </c>
      <c r="AJ31" s="15">
        <v>0</v>
      </c>
      <c r="AK31" s="17">
        <f t="shared" si="16"/>
        <v>0</v>
      </c>
      <c r="AL31" s="15">
        <v>1</v>
      </c>
      <c r="AM31" s="17">
        <f t="shared" si="17"/>
        <v>0.2</v>
      </c>
      <c r="AN31" s="15">
        <v>0</v>
      </c>
      <c r="AO31" s="17">
        <f t="shared" si="18"/>
        <v>0</v>
      </c>
      <c r="AP31" s="4">
        <v>0</v>
      </c>
      <c r="AQ31" s="17">
        <f t="shared" si="19"/>
        <v>0</v>
      </c>
      <c r="AR31" s="15">
        <v>1</v>
      </c>
      <c r="AS31" s="17">
        <f t="shared" si="20"/>
        <v>0.2</v>
      </c>
      <c r="AT31" s="19">
        <v>7.6666101389807253E-3</v>
      </c>
      <c r="AU31" s="19">
        <v>2.8307483590082679E-2</v>
      </c>
      <c r="AV31" s="19">
        <v>2.4760970813806514E-3</v>
      </c>
      <c r="AW31" s="19">
        <v>5.1905130576000739E-3</v>
      </c>
      <c r="AX31" s="19">
        <v>105.86566738748833</v>
      </c>
      <c r="AY31" s="19">
        <v>114.71550272873345</v>
      </c>
      <c r="AZ31" s="19">
        <v>0.5495424763816692</v>
      </c>
      <c r="BA31" s="19">
        <v>0.4</v>
      </c>
      <c r="BB31" s="19">
        <v>7.3846153846153841</v>
      </c>
      <c r="BC31" s="18">
        <v>0.5</v>
      </c>
      <c r="BD31" s="18">
        <v>0.5</v>
      </c>
      <c r="BE31" s="19">
        <v>1.2023718789264957</v>
      </c>
      <c r="BF31" s="18">
        <v>1</v>
      </c>
      <c r="BG31" s="18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5.0974109469882096</v>
      </c>
      <c r="BM31" s="19">
        <v>0</v>
      </c>
      <c r="BN31" s="19">
        <v>0</v>
      </c>
      <c r="BO31" s="20" t="s">
        <v>257</v>
      </c>
      <c r="BP31" s="21">
        <v>190000</v>
      </c>
      <c r="BQ31" s="31" t="s">
        <v>305</v>
      </c>
      <c r="BR31" s="31">
        <v>4.91</v>
      </c>
      <c r="BS31" s="31">
        <v>6.71</v>
      </c>
      <c r="BT31" s="31">
        <v>1.8</v>
      </c>
      <c r="BU31" s="35">
        <f t="shared" si="21"/>
        <v>0.9820000000000001</v>
      </c>
      <c r="BV31" s="35">
        <f t="shared" si="22"/>
        <v>1.3420000000000001</v>
      </c>
      <c r="BW31" s="35">
        <f t="shared" si="23"/>
        <v>0.36</v>
      </c>
      <c r="BX31" s="36">
        <f t="shared" si="24"/>
        <v>18.129230769230769</v>
      </c>
      <c r="BY31" s="36">
        <f t="shared" si="25"/>
        <v>24.775384615384617</v>
      </c>
      <c r="BZ31" s="36">
        <f t="shared" si="26"/>
        <v>6.6461538461538465</v>
      </c>
      <c r="CA31" s="31">
        <v>1</v>
      </c>
      <c r="CB31" s="31">
        <v>4</v>
      </c>
    </row>
    <row r="32" spans="1:80" x14ac:dyDescent="0.4">
      <c r="A32" s="11" t="s">
        <v>53</v>
      </c>
      <c r="B32" s="11" t="s">
        <v>261</v>
      </c>
      <c r="C32" s="11" t="s">
        <v>247</v>
      </c>
      <c r="D32" s="15">
        <v>2</v>
      </c>
      <c r="E32" s="15">
        <v>2</v>
      </c>
      <c r="F32" s="15">
        <v>11</v>
      </c>
      <c r="G32" s="16">
        <v>262</v>
      </c>
      <c r="H32" s="16">
        <v>0</v>
      </c>
      <c r="I32" s="17">
        <f t="shared" si="0"/>
        <v>0</v>
      </c>
      <c r="J32" s="15">
        <v>0</v>
      </c>
      <c r="K32" s="15">
        <v>0</v>
      </c>
      <c r="L32" s="17">
        <f t="shared" si="1"/>
        <v>0</v>
      </c>
      <c r="M32" s="17">
        <f t="shared" si="2"/>
        <v>0</v>
      </c>
      <c r="N32" s="18" t="e">
        <f t="shared" si="3"/>
        <v>#DIV/0!</v>
      </c>
      <c r="O32" s="16">
        <v>0</v>
      </c>
      <c r="P32" s="15">
        <v>0</v>
      </c>
      <c r="Q32" s="17">
        <f t="shared" si="4"/>
        <v>0</v>
      </c>
      <c r="R32" s="17">
        <f t="shared" si="5"/>
        <v>0</v>
      </c>
      <c r="S32" s="18" t="e">
        <f t="shared" si="6"/>
        <v>#DIV/0!</v>
      </c>
      <c r="T32" s="15">
        <v>0</v>
      </c>
      <c r="U32" s="15">
        <v>0</v>
      </c>
      <c r="V32" s="17">
        <f t="shared" si="7"/>
        <v>0</v>
      </c>
      <c r="W32" s="17">
        <f t="shared" si="8"/>
        <v>0</v>
      </c>
      <c r="X32" s="18" t="e">
        <f t="shared" si="9"/>
        <v>#DIV/0!</v>
      </c>
      <c r="Y32" s="15">
        <v>0</v>
      </c>
      <c r="Z32" s="15">
        <v>0</v>
      </c>
      <c r="AA32" s="17">
        <f t="shared" si="10"/>
        <v>0</v>
      </c>
      <c r="AB32" s="17">
        <f t="shared" si="11"/>
        <v>0</v>
      </c>
      <c r="AC32" s="18" t="e">
        <f t="shared" si="12"/>
        <v>#DIV/0!</v>
      </c>
      <c r="AD32" s="15">
        <v>0</v>
      </c>
      <c r="AE32" s="17">
        <f t="shared" si="13"/>
        <v>0</v>
      </c>
      <c r="AF32" s="15">
        <v>0</v>
      </c>
      <c r="AG32" s="17">
        <f t="shared" si="14"/>
        <v>0</v>
      </c>
      <c r="AH32" s="15">
        <v>0</v>
      </c>
      <c r="AI32" s="17">
        <f t="shared" si="15"/>
        <v>0</v>
      </c>
      <c r="AJ32" s="15">
        <v>0</v>
      </c>
      <c r="AK32" s="17">
        <f t="shared" si="16"/>
        <v>0</v>
      </c>
      <c r="AL32" s="15">
        <v>0</v>
      </c>
      <c r="AM32" s="17">
        <f t="shared" si="17"/>
        <v>0</v>
      </c>
      <c r="AN32" s="15">
        <v>0</v>
      </c>
      <c r="AO32" s="17">
        <f t="shared" si="18"/>
        <v>0</v>
      </c>
      <c r="AP32" s="4">
        <v>0</v>
      </c>
      <c r="AQ32" s="17">
        <f t="shared" si="19"/>
        <v>0</v>
      </c>
      <c r="AR32" s="15">
        <v>1</v>
      </c>
      <c r="AS32" s="17">
        <f t="shared" si="20"/>
        <v>0.5</v>
      </c>
      <c r="AT32" s="19">
        <v>-2.7357697550209532E-3</v>
      </c>
      <c r="AU32" s="19">
        <v>-2.5060486305535451E-2</v>
      </c>
      <c r="AV32" s="19">
        <v>0</v>
      </c>
      <c r="AW32" s="19">
        <v>-2.7357697550209532E-3</v>
      </c>
      <c r="AX32" s="19">
        <v>0</v>
      </c>
      <c r="AY32" s="19">
        <v>125.99356478056474</v>
      </c>
      <c r="AZ32" s="19">
        <v>-0.22403045995651008</v>
      </c>
      <c r="BA32" s="19">
        <v>0</v>
      </c>
      <c r="BB32" s="19">
        <v>0</v>
      </c>
      <c r="BC32" s="18">
        <v>0</v>
      </c>
      <c r="BD32" s="18">
        <v>0</v>
      </c>
      <c r="BE32" s="19">
        <v>0</v>
      </c>
      <c r="BF32" s="18">
        <v>0</v>
      </c>
      <c r="BG32" s="18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20" t="s">
        <v>257</v>
      </c>
      <c r="BP32" s="21">
        <v>40000</v>
      </c>
      <c r="BQ32" s="31" t="s">
        <v>306</v>
      </c>
      <c r="BR32" s="31">
        <v>1.0900000000000001</v>
      </c>
      <c r="BS32" s="31">
        <v>1.0900000000000001</v>
      </c>
      <c r="BT32" s="31">
        <v>0</v>
      </c>
      <c r="BU32" s="35">
        <f t="shared" si="21"/>
        <v>0.54500000000000004</v>
      </c>
      <c r="BV32" s="35">
        <f t="shared" si="22"/>
        <v>0.54500000000000004</v>
      </c>
      <c r="BW32" s="35">
        <f t="shared" si="23"/>
        <v>0</v>
      </c>
      <c r="BX32" s="36">
        <f t="shared" si="24"/>
        <v>9.9847328244274802</v>
      </c>
      <c r="BY32" s="36">
        <f t="shared" si="25"/>
        <v>9.9847328244274802</v>
      </c>
      <c r="BZ32" s="36">
        <f t="shared" si="26"/>
        <v>0</v>
      </c>
      <c r="CA32" s="31">
        <v>1</v>
      </c>
      <c r="CB32" s="31">
        <v>1</v>
      </c>
    </row>
    <row r="33" spans="1:80" x14ac:dyDescent="0.4">
      <c r="A33" s="11" t="s">
        <v>53</v>
      </c>
      <c r="B33" s="11" t="s">
        <v>261</v>
      </c>
      <c r="C33" s="14" t="s">
        <v>200</v>
      </c>
      <c r="D33" s="15">
        <v>40</v>
      </c>
      <c r="E33" s="15">
        <v>16</v>
      </c>
      <c r="F33" s="15">
        <v>44</v>
      </c>
      <c r="G33" s="16">
        <v>40160</v>
      </c>
      <c r="H33" s="16">
        <v>367</v>
      </c>
      <c r="I33" s="17">
        <f t="shared" si="0"/>
        <v>9.1750000000000007</v>
      </c>
      <c r="J33" s="15">
        <v>164</v>
      </c>
      <c r="K33" s="15">
        <v>286</v>
      </c>
      <c r="L33" s="17">
        <f t="shared" si="1"/>
        <v>4.0999999999999996</v>
      </c>
      <c r="M33" s="17">
        <f t="shared" si="2"/>
        <v>7.15</v>
      </c>
      <c r="N33" s="18">
        <f t="shared" si="3"/>
        <v>0.57342657342657344</v>
      </c>
      <c r="O33" s="16">
        <v>163</v>
      </c>
      <c r="P33" s="15">
        <v>275</v>
      </c>
      <c r="Q33" s="17">
        <f t="shared" si="4"/>
        <v>4.0750000000000002</v>
      </c>
      <c r="R33" s="17">
        <f t="shared" si="5"/>
        <v>6.875</v>
      </c>
      <c r="S33" s="18">
        <f t="shared" si="6"/>
        <v>0.59272727272727277</v>
      </c>
      <c r="T33" s="15">
        <v>1</v>
      </c>
      <c r="U33" s="15">
        <v>11</v>
      </c>
      <c r="V33" s="17">
        <f t="shared" si="7"/>
        <v>2.5000000000000001E-2</v>
      </c>
      <c r="W33" s="17">
        <f t="shared" si="8"/>
        <v>0.27500000000000002</v>
      </c>
      <c r="X33" s="18">
        <f t="shared" si="9"/>
        <v>9.0909090909090912E-2</v>
      </c>
      <c r="Y33" s="15">
        <v>38</v>
      </c>
      <c r="Z33" s="15">
        <v>75</v>
      </c>
      <c r="AA33" s="17">
        <f t="shared" si="10"/>
        <v>0.95</v>
      </c>
      <c r="AB33" s="17">
        <f t="shared" si="11"/>
        <v>1.875</v>
      </c>
      <c r="AC33" s="18">
        <f t="shared" si="12"/>
        <v>0.50666666666666671</v>
      </c>
      <c r="AD33" s="15">
        <v>189</v>
      </c>
      <c r="AE33" s="17">
        <f t="shared" si="13"/>
        <v>4.7249999999999996</v>
      </c>
      <c r="AF33" s="15">
        <v>63</v>
      </c>
      <c r="AG33" s="17">
        <f t="shared" si="14"/>
        <v>1.575</v>
      </c>
      <c r="AH33" s="15">
        <v>126</v>
      </c>
      <c r="AI33" s="17">
        <f t="shared" si="15"/>
        <v>3.15</v>
      </c>
      <c r="AJ33" s="15">
        <v>53</v>
      </c>
      <c r="AK33" s="17">
        <f t="shared" si="16"/>
        <v>1.325</v>
      </c>
      <c r="AL33" s="15">
        <v>36</v>
      </c>
      <c r="AM33" s="17">
        <f t="shared" si="17"/>
        <v>0.9</v>
      </c>
      <c r="AN33" s="15">
        <v>49</v>
      </c>
      <c r="AO33" s="17">
        <f t="shared" si="18"/>
        <v>1.2250000000000001</v>
      </c>
      <c r="AP33" s="4">
        <v>57</v>
      </c>
      <c r="AQ33" s="17">
        <f t="shared" si="19"/>
        <v>1.425</v>
      </c>
      <c r="AR33" s="15">
        <v>74</v>
      </c>
      <c r="AS33" s="17">
        <f t="shared" si="20"/>
        <v>1.85</v>
      </c>
      <c r="AT33" s="19">
        <v>1.4207234443906753</v>
      </c>
      <c r="AU33" s="19">
        <v>8.4903791497450712E-2</v>
      </c>
      <c r="AV33" s="19">
        <v>0.5956110282061059</v>
      </c>
      <c r="AW33" s="19">
        <v>0.82511241618456943</v>
      </c>
      <c r="AX33" s="19">
        <v>108.33820749090903</v>
      </c>
      <c r="AY33" s="19">
        <v>107.02825737022596</v>
      </c>
      <c r="AZ33" s="19">
        <v>13.169578943874978</v>
      </c>
      <c r="BA33" s="19">
        <v>11.95</v>
      </c>
      <c r="BB33" s="19">
        <v>28.565737051792826</v>
      </c>
      <c r="BC33" s="18">
        <v>0.57523510971786829</v>
      </c>
      <c r="BD33" s="18">
        <v>0.57517482517482521</v>
      </c>
      <c r="BE33" s="19">
        <v>19.512595432246716</v>
      </c>
      <c r="BF33" s="18">
        <v>3.8461538461538464E-2</v>
      </c>
      <c r="BG33" s="18">
        <v>0.26223776223776224</v>
      </c>
      <c r="BH33" s="19">
        <v>7.5906053206528723</v>
      </c>
      <c r="BI33" s="19">
        <v>15.181210641305745</v>
      </c>
      <c r="BJ33" s="19">
        <v>11.133386611268087</v>
      </c>
      <c r="BK33" s="19">
        <v>9.8366740905716412</v>
      </c>
      <c r="BL33" s="19">
        <v>2.9701049840518952</v>
      </c>
      <c r="BM33" s="19">
        <v>5.522464597057315</v>
      </c>
      <c r="BN33" s="19">
        <v>15.159574468085106</v>
      </c>
      <c r="BO33" s="20" t="s">
        <v>239</v>
      </c>
      <c r="BP33" s="21">
        <v>48000</v>
      </c>
      <c r="BQ33" s="30" t="s">
        <v>305</v>
      </c>
      <c r="BU33" s="35"/>
      <c r="BV33" s="35"/>
      <c r="BW33" s="35"/>
      <c r="BX33" s="36"/>
      <c r="BY33" s="36"/>
      <c r="BZ33" s="36"/>
      <c r="CA33" s="45">
        <v>19</v>
      </c>
      <c r="CB33" s="45">
        <v>21</v>
      </c>
    </row>
    <row r="34" spans="1:80" x14ac:dyDescent="0.4">
      <c r="A34" s="11" t="s">
        <v>53</v>
      </c>
      <c r="B34" s="11" t="s">
        <v>261</v>
      </c>
      <c r="C34" s="11" t="s">
        <v>205</v>
      </c>
      <c r="D34" s="15">
        <v>35</v>
      </c>
      <c r="E34" s="15">
        <v>12</v>
      </c>
      <c r="F34" s="15">
        <v>39</v>
      </c>
      <c r="G34" s="16">
        <v>26565</v>
      </c>
      <c r="H34" s="16">
        <v>76</v>
      </c>
      <c r="I34" s="17">
        <f t="shared" si="0"/>
        <v>2.1714285714285713</v>
      </c>
      <c r="J34" s="15">
        <v>27</v>
      </c>
      <c r="K34" s="15">
        <v>80</v>
      </c>
      <c r="L34" s="17">
        <f t="shared" si="1"/>
        <v>0.77142857142857146</v>
      </c>
      <c r="M34" s="17">
        <f t="shared" si="2"/>
        <v>2.2857142857142856</v>
      </c>
      <c r="N34" s="18">
        <f t="shared" si="3"/>
        <v>0.33750000000000002</v>
      </c>
      <c r="O34" s="16">
        <v>5</v>
      </c>
      <c r="P34" s="15">
        <v>10</v>
      </c>
      <c r="Q34" s="17">
        <f t="shared" si="4"/>
        <v>0.14285714285714285</v>
      </c>
      <c r="R34" s="17">
        <f t="shared" si="5"/>
        <v>0.2857142857142857</v>
      </c>
      <c r="S34" s="18">
        <f t="shared" si="6"/>
        <v>0.5</v>
      </c>
      <c r="T34" s="15">
        <v>22</v>
      </c>
      <c r="U34" s="15">
        <v>70</v>
      </c>
      <c r="V34" s="17">
        <f t="shared" si="7"/>
        <v>0.62857142857142856</v>
      </c>
      <c r="W34" s="17">
        <f t="shared" si="8"/>
        <v>2</v>
      </c>
      <c r="X34" s="18">
        <f t="shared" si="9"/>
        <v>0.31428571428571428</v>
      </c>
      <c r="Y34" s="15">
        <v>0</v>
      </c>
      <c r="Z34" s="15">
        <v>0</v>
      </c>
      <c r="AA34" s="17">
        <f t="shared" si="10"/>
        <v>0</v>
      </c>
      <c r="AB34" s="17">
        <f t="shared" si="11"/>
        <v>0</v>
      </c>
      <c r="AC34" s="18" t="e">
        <f t="shared" si="12"/>
        <v>#DIV/0!</v>
      </c>
      <c r="AD34" s="15">
        <v>70</v>
      </c>
      <c r="AE34" s="17">
        <f t="shared" si="13"/>
        <v>2</v>
      </c>
      <c r="AF34" s="15">
        <v>28</v>
      </c>
      <c r="AG34" s="17">
        <f t="shared" si="14"/>
        <v>0.8</v>
      </c>
      <c r="AH34" s="15">
        <v>42</v>
      </c>
      <c r="AI34" s="17">
        <f t="shared" si="15"/>
        <v>1.2</v>
      </c>
      <c r="AJ34" s="15">
        <v>19</v>
      </c>
      <c r="AK34" s="17">
        <f t="shared" si="16"/>
        <v>0.54285714285714282</v>
      </c>
      <c r="AL34" s="15">
        <v>18</v>
      </c>
      <c r="AM34" s="17">
        <f t="shared" si="17"/>
        <v>0.51428571428571423</v>
      </c>
      <c r="AN34" s="15">
        <v>1</v>
      </c>
      <c r="AO34" s="17">
        <f t="shared" si="18"/>
        <v>2.8571428571428571E-2</v>
      </c>
      <c r="AP34" s="4">
        <v>5</v>
      </c>
      <c r="AQ34" s="17">
        <f t="shared" si="19"/>
        <v>0.14285714285714285</v>
      </c>
      <c r="AR34" s="15">
        <v>67</v>
      </c>
      <c r="AS34" s="17">
        <f t="shared" si="20"/>
        <v>1.9142857142857144</v>
      </c>
      <c r="AT34" s="19">
        <v>0.41912873563413178</v>
      </c>
      <c r="AU34" s="19">
        <v>3.7865950141988187E-2</v>
      </c>
      <c r="AV34" s="19">
        <v>0.29024772929319187</v>
      </c>
      <c r="AW34" s="19">
        <v>0.12888100634093988</v>
      </c>
      <c r="AX34" s="19">
        <v>115.17768425549278</v>
      </c>
      <c r="AY34" s="19">
        <v>116.6335284701114</v>
      </c>
      <c r="AZ34" s="19">
        <v>3.0075330204916844</v>
      </c>
      <c r="BA34" s="19">
        <v>3.6</v>
      </c>
      <c r="BB34" s="19">
        <v>11.383399209486168</v>
      </c>
      <c r="BC34" s="18">
        <v>0.47499999999999998</v>
      </c>
      <c r="BD34" s="18">
        <v>0.47499999999999998</v>
      </c>
      <c r="BE34" s="19">
        <v>5.8349623461298972</v>
      </c>
      <c r="BF34" s="18">
        <v>0.875</v>
      </c>
      <c r="BG34" s="18">
        <v>0</v>
      </c>
      <c r="BH34" s="19">
        <v>4.4625780951166645</v>
      </c>
      <c r="BI34" s="19">
        <v>6.6938671426749972</v>
      </c>
      <c r="BJ34" s="19">
        <v>5.4545064937847849</v>
      </c>
      <c r="BK34" s="19">
        <v>3.7675986515962725</v>
      </c>
      <c r="BL34" s="19">
        <v>2.2450482996334293</v>
      </c>
      <c r="BM34" s="19">
        <v>0.14908323130449688</v>
      </c>
      <c r="BN34" s="19">
        <v>5.882352941176471</v>
      </c>
      <c r="BO34" s="20" t="s">
        <v>257</v>
      </c>
      <c r="BP34" s="21">
        <v>40000</v>
      </c>
      <c r="BQ34" s="30" t="s">
        <v>305</v>
      </c>
      <c r="BR34" s="30">
        <v>277.55</v>
      </c>
      <c r="BS34" s="30">
        <v>333.25</v>
      </c>
      <c r="BT34" s="30">
        <v>55.7</v>
      </c>
      <c r="BU34" s="35">
        <f t="shared" si="21"/>
        <v>7.9300000000000006</v>
      </c>
      <c r="BV34" s="35">
        <f t="shared" si="22"/>
        <v>9.5214285714285722</v>
      </c>
      <c r="BW34" s="35">
        <f t="shared" si="23"/>
        <v>1.5914285714285714</v>
      </c>
      <c r="BX34" s="36">
        <f t="shared" si="24"/>
        <v>25.07509881422925</v>
      </c>
      <c r="BY34" s="36">
        <f t="shared" si="25"/>
        <v>30.107284020327498</v>
      </c>
      <c r="BZ34" s="36">
        <f t="shared" si="26"/>
        <v>5.0321852060982497</v>
      </c>
      <c r="CA34" s="31">
        <v>11</v>
      </c>
      <c r="CB34" s="31">
        <v>24</v>
      </c>
    </row>
    <row r="35" spans="1:80" x14ac:dyDescent="0.4">
      <c r="A35" s="11" t="s">
        <v>53</v>
      </c>
      <c r="B35" s="11" t="s">
        <v>261</v>
      </c>
      <c r="C35" s="11" t="s">
        <v>206</v>
      </c>
      <c r="D35" s="15">
        <v>39</v>
      </c>
      <c r="E35" s="15">
        <v>15</v>
      </c>
      <c r="F35" s="15">
        <v>48</v>
      </c>
      <c r="G35" s="16">
        <v>36972</v>
      </c>
      <c r="H35" s="16">
        <v>149</v>
      </c>
      <c r="I35" s="17">
        <f t="shared" si="0"/>
        <v>3.8205128205128207</v>
      </c>
      <c r="J35" s="15">
        <v>56</v>
      </c>
      <c r="K35" s="15">
        <v>125</v>
      </c>
      <c r="L35" s="17">
        <f t="shared" si="1"/>
        <v>1.4358974358974359</v>
      </c>
      <c r="M35" s="17">
        <f t="shared" si="2"/>
        <v>3.2051282051282053</v>
      </c>
      <c r="N35" s="18">
        <f t="shared" si="3"/>
        <v>0.44800000000000001</v>
      </c>
      <c r="O35" s="16">
        <v>28</v>
      </c>
      <c r="P35" s="15">
        <v>63</v>
      </c>
      <c r="Q35" s="17">
        <f t="shared" si="4"/>
        <v>0.71794871794871795</v>
      </c>
      <c r="R35" s="17">
        <f t="shared" si="5"/>
        <v>1.6153846153846154</v>
      </c>
      <c r="S35" s="18">
        <f t="shared" si="6"/>
        <v>0.44444444444444442</v>
      </c>
      <c r="T35" s="15">
        <v>28</v>
      </c>
      <c r="U35" s="15">
        <v>62</v>
      </c>
      <c r="V35" s="17">
        <f t="shared" si="7"/>
        <v>0.71794871794871795</v>
      </c>
      <c r="W35" s="17">
        <f t="shared" si="8"/>
        <v>1.5897435897435896</v>
      </c>
      <c r="X35" s="18">
        <f t="shared" si="9"/>
        <v>0.45161290322580644</v>
      </c>
      <c r="Y35" s="15">
        <v>9</v>
      </c>
      <c r="Z35" s="15">
        <v>18</v>
      </c>
      <c r="AA35" s="17">
        <f t="shared" si="10"/>
        <v>0.23076923076923078</v>
      </c>
      <c r="AB35" s="17">
        <f t="shared" si="11"/>
        <v>0.46153846153846156</v>
      </c>
      <c r="AC35" s="18">
        <f t="shared" si="12"/>
        <v>0.5</v>
      </c>
      <c r="AD35" s="15">
        <v>78</v>
      </c>
      <c r="AE35" s="17">
        <f t="shared" si="13"/>
        <v>2</v>
      </c>
      <c r="AF35" s="15">
        <v>21</v>
      </c>
      <c r="AG35" s="17">
        <f t="shared" si="14"/>
        <v>0.53846153846153844</v>
      </c>
      <c r="AH35" s="15">
        <v>57</v>
      </c>
      <c r="AI35" s="17">
        <f t="shared" si="15"/>
        <v>1.4615384615384615</v>
      </c>
      <c r="AJ35" s="15">
        <v>28</v>
      </c>
      <c r="AK35" s="17">
        <f t="shared" si="16"/>
        <v>0.71794871794871795</v>
      </c>
      <c r="AL35" s="15">
        <v>18</v>
      </c>
      <c r="AM35" s="17">
        <f t="shared" si="17"/>
        <v>0.46153846153846156</v>
      </c>
      <c r="AN35" s="15">
        <v>3</v>
      </c>
      <c r="AO35" s="17">
        <f t="shared" si="18"/>
        <v>7.6923076923076927E-2</v>
      </c>
      <c r="AP35" s="4">
        <v>16</v>
      </c>
      <c r="AQ35" s="17">
        <f t="shared" si="19"/>
        <v>0.41025641025641024</v>
      </c>
      <c r="AR35" s="15">
        <v>89</v>
      </c>
      <c r="AS35" s="17">
        <f t="shared" si="20"/>
        <v>2.2820512820512819</v>
      </c>
      <c r="AT35" s="19">
        <v>0.51987330162549983</v>
      </c>
      <c r="AU35" s="19">
        <v>3.3747049764719234E-2</v>
      </c>
      <c r="AV35" s="19">
        <v>0.42668210934620138</v>
      </c>
      <c r="AW35" s="19">
        <v>9.3191192279298493E-2</v>
      </c>
      <c r="AX35" s="19">
        <v>113.6877101552306</v>
      </c>
      <c r="AY35" s="19">
        <v>118.06013948884882</v>
      </c>
      <c r="AZ35" s="19">
        <v>3.7415397099853793</v>
      </c>
      <c r="BA35" s="19">
        <v>4.666666666666667</v>
      </c>
      <c r="BB35" s="19">
        <v>11.814345991561181</v>
      </c>
      <c r="BC35" s="18">
        <v>0.56048751128498353</v>
      </c>
      <c r="BD35" s="18">
        <v>0.56000000000000005</v>
      </c>
      <c r="BE35" s="19">
        <v>8.1847533851144121</v>
      </c>
      <c r="BF35" s="18">
        <v>0.496</v>
      </c>
      <c r="BG35" s="18">
        <v>0.14399999999999999</v>
      </c>
      <c r="BH35" s="19">
        <v>2.6796651694569213</v>
      </c>
      <c r="BI35" s="19">
        <v>7.2733768885259291</v>
      </c>
      <c r="BJ35" s="19">
        <v>4.8661496902508565</v>
      </c>
      <c r="BK35" s="19">
        <v>4.6082949308755756</v>
      </c>
      <c r="BL35" s="19">
        <v>1.61310473005956</v>
      </c>
      <c r="BM35" s="19">
        <v>0.3580828245573201</v>
      </c>
      <c r="BN35" s="19">
        <v>10.744023636852003</v>
      </c>
      <c r="BO35" s="20" t="s">
        <v>257</v>
      </c>
      <c r="BP35" s="21">
        <v>60000</v>
      </c>
      <c r="BQ35" s="31" t="s">
        <v>305</v>
      </c>
      <c r="BR35" s="31">
        <v>360.68</v>
      </c>
      <c r="BS35" s="31">
        <v>457.48</v>
      </c>
      <c r="BT35" s="31">
        <v>96.8</v>
      </c>
      <c r="BU35" s="35">
        <f t="shared" si="21"/>
        <v>9.2482051282051287</v>
      </c>
      <c r="BV35" s="35">
        <f t="shared" si="22"/>
        <v>11.730256410256411</v>
      </c>
      <c r="BW35" s="35">
        <f t="shared" si="23"/>
        <v>2.4820512820512821</v>
      </c>
      <c r="BX35" s="36">
        <f t="shared" si="24"/>
        <v>23.413177539759822</v>
      </c>
      <c r="BY35" s="36">
        <f t="shared" si="25"/>
        <v>29.696851671535217</v>
      </c>
      <c r="BZ35" s="36">
        <f t="shared" si="26"/>
        <v>6.2836741317753972</v>
      </c>
      <c r="CA35" s="31">
        <v>18</v>
      </c>
      <c r="CB35" s="31">
        <v>21</v>
      </c>
    </row>
    <row r="36" spans="1:80" x14ac:dyDescent="0.4">
      <c r="A36" s="11" t="s">
        <v>53</v>
      </c>
      <c r="B36" s="11" t="s">
        <v>261</v>
      </c>
      <c r="C36" s="11" t="s">
        <v>209</v>
      </c>
      <c r="D36" s="15">
        <v>52</v>
      </c>
      <c r="E36" s="15">
        <v>28</v>
      </c>
      <c r="F36" s="15">
        <v>52</v>
      </c>
      <c r="G36" s="16">
        <v>90064</v>
      </c>
      <c r="H36" s="16">
        <v>657</v>
      </c>
      <c r="I36" s="17">
        <f t="shared" si="0"/>
        <v>12.634615384615385</v>
      </c>
      <c r="J36" s="15">
        <v>245</v>
      </c>
      <c r="K36" s="15">
        <v>519</v>
      </c>
      <c r="L36" s="17">
        <f t="shared" si="1"/>
        <v>4.7115384615384617</v>
      </c>
      <c r="M36" s="17">
        <f t="shared" si="2"/>
        <v>9.9807692307692299</v>
      </c>
      <c r="N36" s="18">
        <f t="shared" si="3"/>
        <v>0.47206165703275532</v>
      </c>
      <c r="O36" s="16">
        <v>173</v>
      </c>
      <c r="P36" s="15">
        <v>309</v>
      </c>
      <c r="Q36" s="17">
        <f t="shared" si="4"/>
        <v>3.3269230769230771</v>
      </c>
      <c r="R36" s="17">
        <f t="shared" si="5"/>
        <v>5.9423076923076925</v>
      </c>
      <c r="S36" s="18">
        <f t="shared" si="6"/>
        <v>0.55987055016181231</v>
      </c>
      <c r="T36" s="15">
        <v>72</v>
      </c>
      <c r="U36" s="15">
        <v>210</v>
      </c>
      <c r="V36" s="17">
        <f t="shared" si="7"/>
        <v>1.3846153846153846</v>
      </c>
      <c r="W36" s="17">
        <f t="shared" si="8"/>
        <v>4.0384615384615383</v>
      </c>
      <c r="X36" s="18">
        <f t="shared" si="9"/>
        <v>0.34285714285714286</v>
      </c>
      <c r="Y36" s="15">
        <v>95</v>
      </c>
      <c r="Z36" s="15">
        <v>124</v>
      </c>
      <c r="AA36" s="17">
        <f t="shared" si="10"/>
        <v>1.8269230769230769</v>
      </c>
      <c r="AB36" s="17">
        <f t="shared" si="11"/>
        <v>2.3846153846153846</v>
      </c>
      <c r="AC36" s="18">
        <f t="shared" si="12"/>
        <v>0.7661290322580645</v>
      </c>
      <c r="AD36" s="15">
        <v>115</v>
      </c>
      <c r="AE36" s="17">
        <f t="shared" si="13"/>
        <v>2.2115384615384617</v>
      </c>
      <c r="AF36" s="15">
        <v>19</v>
      </c>
      <c r="AG36" s="17">
        <f t="shared" si="14"/>
        <v>0.36538461538461536</v>
      </c>
      <c r="AH36" s="15">
        <v>96</v>
      </c>
      <c r="AI36" s="17">
        <f t="shared" si="15"/>
        <v>1.8461538461538463</v>
      </c>
      <c r="AJ36" s="15">
        <v>195</v>
      </c>
      <c r="AK36" s="17">
        <f t="shared" si="16"/>
        <v>3.75</v>
      </c>
      <c r="AL36" s="15">
        <v>49</v>
      </c>
      <c r="AM36" s="17">
        <f t="shared" si="17"/>
        <v>0.94230769230769229</v>
      </c>
      <c r="AN36" s="15">
        <v>0</v>
      </c>
      <c r="AO36" s="17">
        <f t="shared" si="18"/>
        <v>0</v>
      </c>
      <c r="AP36" s="4">
        <v>68</v>
      </c>
      <c r="AQ36" s="17">
        <f t="shared" si="19"/>
        <v>1.3076923076923077</v>
      </c>
      <c r="AR36" s="15">
        <v>137</v>
      </c>
      <c r="AS36" s="17">
        <f t="shared" si="20"/>
        <v>2.6346153846153846</v>
      </c>
      <c r="AT36" s="19">
        <v>2.5515013742973047</v>
      </c>
      <c r="AU36" s="19">
        <v>6.799168700383651E-2</v>
      </c>
      <c r="AV36" s="19">
        <v>2.5105084624223393</v>
      </c>
      <c r="AW36" s="19">
        <v>4.0992911874965454E-2</v>
      </c>
      <c r="AX36" s="19">
        <v>117.89593940045818</v>
      </c>
      <c r="AY36" s="19">
        <v>119.32424976749243</v>
      </c>
      <c r="AZ36" s="19">
        <v>10.629116056291505</v>
      </c>
      <c r="BA36" s="19">
        <v>12.403846153846153</v>
      </c>
      <c r="BB36" s="19">
        <v>17.18777758038728</v>
      </c>
      <c r="BC36" s="18">
        <v>0.5727386847060465</v>
      </c>
      <c r="BD36" s="18">
        <v>0.54142581888246633</v>
      </c>
      <c r="BE36" s="19">
        <v>19.299688480317691</v>
      </c>
      <c r="BF36" s="18">
        <v>0.40462427745664742</v>
      </c>
      <c r="BG36" s="18">
        <v>0.23892100192678228</v>
      </c>
      <c r="BH36" s="19">
        <v>1.3270133353199731</v>
      </c>
      <c r="BI36" s="19">
        <v>6.7049094837219698</v>
      </c>
      <c r="BJ36" s="19">
        <v>3.9268937587430299</v>
      </c>
      <c r="BK36" s="19">
        <v>20.157122183171385</v>
      </c>
      <c r="BL36" s="19">
        <v>1.802635222303856</v>
      </c>
      <c r="BM36" s="19">
        <v>0</v>
      </c>
      <c r="BN36" s="19">
        <v>10.599164536442423</v>
      </c>
      <c r="BO36" s="20" t="s">
        <v>244</v>
      </c>
      <c r="BP36" s="21">
        <v>130000</v>
      </c>
      <c r="BQ36" s="31" t="s">
        <v>306</v>
      </c>
      <c r="BR36" s="31">
        <v>1145.82</v>
      </c>
      <c r="BS36" s="31">
        <v>1531.23</v>
      </c>
      <c r="BT36" s="31">
        <v>385.4</v>
      </c>
      <c r="BU36" s="35">
        <f t="shared" si="21"/>
        <v>22.035192307692306</v>
      </c>
      <c r="BV36" s="35">
        <f t="shared" si="22"/>
        <v>29.446730769230768</v>
      </c>
      <c r="BW36" s="35">
        <f t="shared" si="23"/>
        <v>7.411538461538461</v>
      </c>
      <c r="BX36" s="36">
        <f t="shared" si="24"/>
        <v>30.533753775093267</v>
      </c>
      <c r="BY36" s="36">
        <f t="shared" si="25"/>
        <v>40.803783975839401</v>
      </c>
      <c r="BZ36" s="36">
        <f t="shared" si="26"/>
        <v>10.270030200746136</v>
      </c>
      <c r="CA36" s="30">
        <v>21</v>
      </c>
      <c r="CB36" s="30">
        <v>31</v>
      </c>
    </row>
    <row r="37" spans="1:80" x14ac:dyDescent="0.4">
      <c r="A37" s="11" t="s">
        <v>53</v>
      </c>
      <c r="B37" s="11" t="s">
        <v>261</v>
      </c>
      <c r="C37" s="11" t="s">
        <v>204</v>
      </c>
      <c r="D37" s="15">
        <v>53</v>
      </c>
      <c r="E37" s="15">
        <v>27</v>
      </c>
      <c r="F37" s="15">
        <v>5</v>
      </c>
      <c r="G37" s="16">
        <v>86125</v>
      </c>
      <c r="H37" s="16">
        <v>463</v>
      </c>
      <c r="I37" s="17">
        <f t="shared" si="0"/>
        <v>8.7358490566037741</v>
      </c>
      <c r="J37" s="15">
        <v>163</v>
      </c>
      <c r="K37" s="15">
        <v>361</v>
      </c>
      <c r="L37" s="17">
        <f t="shared" si="1"/>
        <v>3.0754716981132075</v>
      </c>
      <c r="M37" s="17">
        <f t="shared" si="2"/>
        <v>6.8113207547169807</v>
      </c>
      <c r="N37" s="18">
        <f t="shared" si="3"/>
        <v>0.45152354570637121</v>
      </c>
      <c r="O37" s="16">
        <v>106</v>
      </c>
      <c r="P37" s="15">
        <v>205</v>
      </c>
      <c r="Q37" s="17">
        <f t="shared" si="4"/>
        <v>2</v>
      </c>
      <c r="R37" s="17">
        <f t="shared" si="5"/>
        <v>3.8679245283018866</v>
      </c>
      <c r="S37" s="18">
        <f t="shared" si="6"/>
        <v>0.51707317073170733</v>
      </c>
      <c r="T37" s="15">
        <v>57</v>
      </c>
      <c r="U37" s="15">
        <v>156</v>
      </c>
      <c r="V37" s="17">
        <f t="shared" si="7"/>
        <v>1.0754716981132075</v>
      </c>
      <c r="W37" s="17">
        <f t="shared" si="8"/>
        <v>2.9433962264150941</v>
      </c>
      <c r="X37" s="18">
        <f t="shared" si="9"/>
        <v>0.36538461538461536</v>
      </c>
      <c r="Y37" s="15">
        <v>80</v>
      </c>
      <c r="Z37" s="15">
        <v>112</v>
      </c>
      <c r="AA37" s="17">
        <f t="shared" si="10"/>
        <v>1.5094339622641511</v>
      </c>
      <c r="AB37" s="17">
        <f t="shared" si="11"/>
        <v>2.1132075471698113</v>
      </c>
      <c r="AC37" s="18">
        <f t="shared" si="12"/>
        <v>0.7142857142857143</v>
      </c>
      <c r="AD37" s="15">
        <v>209</v>
      </c>
      <c r="AE37" s="17">
        <f t="shared" si="13"/>
        <v>3.9433962264150941</v>
      </c>
      <c r="AF37" s="15">
        <v>61</v>
      </c>
      <c r="AG37" s="17">
        <f t="shared" si="14"/>
        <v>1.1509433962264151</v>
      </c>
      <c r="AH37" s="15">
        <v>148</v>
      </c>
      <c r="AI37" s="17">
        <f t="shared" si="15"/>
        <v>2.7924528301886791</v>
      </c>
      <c r="AJ37" s="15">
        <v>84</v>
      </c>
      <c r="AK37" s="17">
        <f t="shared" si="16"/>
        <v>1.5849056603773586</v>
      </c>
      <c r="AL37" s="15">
        <v>36</v>
      </c>
      <c r="AM37" s="17">
        <f t="shared" si="17"/>
        <v>0.67924528301886788</v>
      </c>
      <c r="AN37" s="15">
        <v>12</v>
      </c>
      <c r="AO37" s="17">
        <f t="shared" si="18"/>
        <v>0.22641509433962265</v>
      </c>
      <c r="AP37" s="4">
        <v>61</v>
      </c>
      <c r="AQ37" s="17">
        <f t="shared" si="19"/>
        <v>1.1509433962264151</v>
      </c>
      <c r="AR37" s="15">
        <v>151</v>
      </c>
      <c r="AS37" s="17">
        <f t="shared" si="20"/>
        <v>2.8490566037735849</v>
      </c>
      <c r="AT37" s="19">
        <v>1.4075898432844827</v>
      </c>
      <c r="AU37" s="19">
        <v>3.9224564573384711E-2</v>
      </c>
      <c r="AV37" s="19">
        <v>1.1836406340320653</v>
      </c>
      <c r="AW37" s="19">
        <v>0.2239492092524174</v>
      </c>
      <c r="AX37" s="19">
        <v>112.15794391883176</v>
      </c>
      <c r="AY37" s="19">
        <v>118.0113650593688</v>
      </c>
      <c r="AZ37" s="19">
        <v>7.5439523468299816</v>
      </c>
      <c r="BA37" s="19">
        <v>9.6792452830188687</v>
      </c>
      <c r="BB37" s="19">
        <v>14.295500725689404</v>
      </c>
      <c r="BC37" s="18">
        <v>0.56424880569367264</v>
      </c>
      <c r="BD37" s="18">
        <v>0.53047091412742386</v>
      </c>
      <c r="BE37" s="19">
        <v>15.110768509346103</v>
      </c>
      <c r="BF37" s="18">
        <v>0.43213296398891965</v>
      </c>
      <c r="BG37" s="18">
        <v>0.31024930747922436</v>
      </c>
      <c r="BH37" s="19">
        <v>4.5409429280397022</v>
      </c>
      <c r="BI37" s="19">
        <v>11.017369727047146</v>
      </c>
      <c r="BJ37" s="19">
        <v>7.6066269856314213</v>
      </c>
      <c r="BK37" s="19">
        <v>8.6198050282196004</v>
      </c>
      <c r="BL37" s="19">
        <v>1.3849569365401926</v>
      </c>
      <c r="BM37" s="19">
        <v>0.83560004352083561</v>
      </c>
      <c r="BN37" s="19">
        <v>12.943473094551011</v>
      </c>
      <c r="BO37" s="20" t="s">
        <v>257</v>
      </c>
      <c r="BP37" s="21">
        <v>60000</v>
      </c>
      <c r="BQ37" s="30" t="s">
        <v>305</v>
      </c>
      <c r="BR37" s="30">
        <v>966.17</v>
      </c>
      <c r="BS37" s="30">
        <v>1271.3699999999999</v>
      </c>
      <c r="BT37" s="30">
        <v>305.2</v>
      </c>
      <c r="BU37" s="35">
        <f t="shared" si="21"/>
        <v>18.229622641509433</v>
      </c>
      <c r="BV37" s="35">
        <f t="shared" si="22"/>
        <v>23.988113207547169</v>
      </c>
      <c r="BW37" s="35">
        <f t="shared" si="23"/>
        <v>5.7584905660377359</v>
      </c>
      <c r="BX37" s="36">
        <f t="shared" si="24"/>
        <v>26.923750362844697</v>
      </c>
      <c r="BY37" s="36">
        <f t="shared" si="25"/>
        <v>35.42859796806966</v>
      </c>
      <c r="BZ37" s="36">
        <f t="shared" si="26"/>
        <v>8.5048476052249633</v>
      </c>
      <c r="CA37" s="30">
        <v>21</v>
      </c>
      <c r="CB37" s="30">
        <v>32</v>
      </c>
    </row>
    <row r="38" spans="1:80" x14ac:dyDescent="0.4">
      <c r="A38" s="11" t="s">
        <v>53</v>
      </c>
      <c r="B38" s="11" t="s">
        <v>261</v>
      </c>
      <c r="C38" s="11" t="s">
        <v>207</v>
      </c>
      <c r="D38" s="15">
        <v>23</v>
      </c>
      <c r="E38" s="15">
        <v>15</v>
      </c>
      <c r="F38" s="15">
        <v>38</v>
      </c>
      <c r="G38" s="16">
        <v>21574</v>
      </c>
      <c r="H38" s="16">
        <v>99</v>
      </c>
      <c r="I38" s="17">
        <f t="shared" si="0"/>
        <v>4.3043478260869561</v>
      </c>
      <c r="J38" s="15">
        <v>37</v>
      </c>
      <c r="K38" s="15">
        <v>87</v>
      </c>
      <c r="L38" s="17">
        <f t="shared" si="1"/>
        <v>1.6086956521739131</v>
      </c>
      <c r="M38" s="17">
        <f t="shared" si="2"/>
        <v>3.7826086956521738</v>
      </c>
      <c r="N38" s="18">
        <f t="shared" si="3"/>
        <v>0.42528735632183906</v>
      </c>
      <c r="O38" s="16">
        <v>23</v>
      </c>
      <c r="P38" s="15">
        <v>52</v>
      </c>
      <c r="Q38" s="17">
        <f t="shared" si="4"/>
        <v>1</v>
      </c>
      <c r="R38" s="17">
        <f t="shared" si="5"/>
        <v>2.2608695652173911</v>
      </c>
      <c r="S38" s="18">
        <f t="shared" si="6"/>
        <v>0.44230769230769229</v>
      </c>
      <c r="T38" s="15">
        <v>14</v>
      </c>
      <c r="U38" s="15">
        <v>35</v>
      </c>
      <c r="V38" s="17">
        <f t="shared" si="7"/>
        <v>0.60869565217391308</v>
      </c>
      <c r="W38" s="17">
        <f t="shared" si="8"/>
        <v>1.5217391304347827</v>
      </c>
      <c r="X38" s="18">
        <f t="shared" si="9"/>
        <v>0.4</v>
      </c>
      <c r="Y38" s="15">
        <v>11</v>
      </c>
      <c r="Z38" s="15">
        <v>22</v>
      </c>
      <c r="AA38" s="17">
        <f t="shared" si="10"/>
        <v>0.47826086956521741</v>
      </c>
      <c r="AB38" s="17">
        <f t="shared" si="11"/>
        <v>0.95652173913043481</v>
      </c>
      <c r="AC38" s="18">
        <f t="shared" si="12"/>
        <v>0.5</v>
      </c>
      <c r="AD38" s="15">
        <v>63</v>
      </c>
      <c r="AE38" s="17">
        <f t="shared" si="13"/>
        <v>2.7391304347826089</v>
      </c>
      <c r="AF38" s="15">
        <v>21</v>
      </c>
      <c r="AG38" s="17">
        <f t="shared" si="14"/>
        <v>0.91304347826086951</v>
      </c>
      <c r="AH38" s="15">
        <v>42</v>
      </c>
      <c r="AI38" s="17">
        <f t="shared" si="15"/>
        <v>1.826086956521739</v>
      </c>
      <c r="AJ38" s="15">
        <v>20</v>
      </c>
      <c r="AK38" s="17">
        <f t="shared" si="16"/>
        <v>0.86956521739130432</v>
      </c>
      <c r="AL38" s="15">
        <v>8</v>
      </c>
      <c r="AM38" s="17">
        <f t="shared" si="17"/>
        <v>0.34782608695652173</v>
      </c>
      <c r="AN38" s="15">
        <v>8</v>
      </c>
      <c r="AO38" s="17">
        <f t="shared" si="18"/>
        <v>0.34782608695652173</v>
      </c>
      <c r="AP38" s="4">
        <v>20</v>
      </c>
      <c r="AQ38" s="17">
        <f t="shared" si="19"/>
        <v>0.86956521739130432</v>
      </c>
      <c r="AR38" s="15">
        <v>54</v>
      </c>
      <c r="AS38" s="17">
        <f t="shared" si="20"/>
        <v>2.347826086956522</v>
      </c>
      <c r="AT38" s="19">
        <v>4.5688212141384819E-2</v>
      </c>
      <c r="AU38" s="19">
        <v>5.0825859432336879E-3</v>
      </c>
      <c r="AV38" s="19">
        <v>-5.0147221649852851E-2</v>
      </c>
      <c r="AW38" s="19">
        <v>9.583543379123767E-2</v>
      </c>
      <c r="AX38" s="19">
        <v>100.17209831753617</v>
      </c>
      <c r="AY38" s="19">
        <v>116.88407038717831</v>
      </c>
      <c r="AZ38" s="19">
        <v>2.2398600844319589</v>
      </c>
      <c r="BA38" s="19">
        <v>5.0869565217391308</v>
      </c>
      <c r="BB38" s="19">
        <v>13.015667006581996</v>
      </c>
      <c r="BC38" s="18">
        <v>0.51199834505585429</v>
      </c>
      <c r="BD38" s="18">
        <v>0.50574712643678166</v>
      </c>
      <c r="BE38" s="19">
        <v>6.4811860726043555</v>
      </c>
      <c r="BF38" s="18">
        <v>0.40229885057471265</v>
      </c>
      <c r="BG38" s="18">
        <v>0.25287356321839083</v>
      </c>
      <c r="BH38" s="19">
        <v>2.7082330284063554</v>
      </c>
      <c r="BI38" s="19">
        <v>5.4164660568127108</v>
      </c>
      <c r="BJ38" s="19">
        <v>3.9722530766571285</v>
      </c>
      <c r="BK38" s="19">
        <v>3.2278889606197549</v>
      </c>
      <c r="BL38" s="19">
        <v>1.2286333978093396</v>
      </c>
      <c r="BM38" s="19">
        <v>0.96506756980906749</v>
      </c>
      <c r="BN38" s="19">
        <v>17.140898183064792</v>
      </c>
      <c r="BO38" s="20" t="s">
        <v>257</v>
      </c>
      <c r="BP38" s="21">
        <v>60000</v>
      </c>
      <c r="BQ38" s="31" t="s">
        <v>307</v>
      </c>
      <c r="BR38" s="31">
        <v>221.72</v>
      </c>
      <c r="BS38" s="31">
        <v>308.42</v>
      </c>
      <c r="BT38" s="31">
        <v>86.7</v>
      </c>
      <c r="BU38" s="35">
        <f t="shared" si="21"/>
        <v>9.64</v>
      </c>
      <c r="BV38" s="35">
        <f t="shared" si="22"/>
        <v>13.409565217391306</v>
      </c>
      <c r="BW38" s="35">
        <f t="shared" si="23"/>
        <v>3.7695652173913046</v>
      </c>
      <c r="BX38" s="36">
        <f t="shared" si="24"/>
        <v>24.665245202558637</v>
      </c>
      <c r="BY38" s="36">
        <f t="shared" si="25"/>
        <v>34.310188189487349</v>
      </c>
      <c r="BZ38" s="36">
        <f t="shared" si="26"/>
        <v>9.6449429869287098</v>
      </c>
      <c r="CA38" s="31">
        <v>7</v>
      </c>
      <c r="CB38" s="31">
        <v>16</v>
      </c>
    </row>
    <row r="39" spans="1:80" x14ac:dyDescent="0.4">
      <c r="A39" s="11" t="s">
        <v>53</v>
      </c>
      <c r="B39" s="11" t="s">
        <v>261</v>
      </c>
      <c r="C39" s="11" t="s">
        <v>214</v>
      </c>
      <c r="D39" s="10">
        <v>24</v>
      </c>
      <c r="E39" s="10">
        <v>9</v>
      </c>
      <c r="F39" s="10">
        <v>59</v>
      </c>
      <c r="G39" s="16">
        <v>14376</v>
      </c>
      <c r="H39" s="16">
        <v>48</v>
      </c>
      <c r="I39" s="17">
        <f t="shared" si="0"/>
        <v>2</v>
      </c>
      <c r="J39" s="15">
        <v>17</v>
      </c>
      <c r="K39" s="15">
        <v>40</v>
      </c>
      <c r="L39" s="17">
        <f t="shared" si="1"/>
        <v>0.70833333333333337</v>
      </c>
      <c r="M39" s="17">
        <f t="shared" si="2"/>
        <v>1.6666666666666667</v>
      </c>
      <c r="N39" s="18">
        <f t="shared" si="3"/>
        <v>0.42499999999999999</v>
      </c>
      <c r="O39" s="16">
        <v>11</v>
      </c>
      <c r="P39" s="15">
        <v>23</v>
      </c>
      <c r="Q39" s="17">
        <f t="shared" si="4"/>
        <v>0.45833333333333331</v>
      </c>
      <c r="R39" s="17">
        <f t="shared" si="5"/>
        <v>0.95833333333333337</v>
      </c>
      <c r="S39" s="18">
        <f t="shared" si="6"/>
        <v>0.47826086956521741</v>
      </c>
      <c r="T39" s="15">
        <v>6</v>
      </c>
      <c r="U39" s="15">
        <v>17</v>
      </c>
      <c r="V39" s="17">
        <f t="shared" si="7"/>
        <v>0.25</v>
      </c>
      <c r="W39" s="17">
        <f t="shared" si="8"/>
        <v>0.70833333333333337</v>
      </c>
      <c r="X39" s="18">
        <f t="shared" si="9"/>
        <v>0.35294117647058826</v>
      </c>
      <c r="Y39" s="9">
        <v>8</v>
      </c>
      <c r="Z39" s="9">
        <v>10</v>
      </c>
      <c r="AA39" s="17">
        <f t="shared" si="10"/>
        <v>0.33333333333333331</v>
      </c>
      <c r="AB39" s="17">
        <f t="shared" si="11"/>
        <v>0.41666666666666669</v>
      </c>
      <c r="AC39" s="18">
        <f t="shared" si="12"/>
        <v>0.8</v>
      </c>
      <c r="AD39" s="15">
        <v>20</v>
      </c>
      <c r="AE39" s="17">
        <f t="shared" si="13"/>
        <v>0.83333333333333337</v>
      </c>
      <c r="AF39" s="15">
        <v>3</v>
      </c>
      <c r="AG39" s="17">
        <f t="shared" si="14"/>
        <v>0.125</v>
      </c>
      <c r="AH39" s="15">
        <v>17</v>
      </c>
      <c r="AI39" s="17">
        <f t="shared" si="15"/>
        <v>0.70833333333333337</v>
      </c>
      <c r="AJ39" s="15">
        <v>17</v>
      </c>
      <c r="AK39" s="17">
        <f t="shared" si="16"/>
        <v>0.70833333333333337</v>
      </c>
      <c r="AL39" s="15">
        <v>11</v>
      </c>
      <c r="AM39" s="17">
        <f t="shared" si="17"/>
        <v>0.45833333333333331</v>
      </c>
      <c r="AN39" s="7">
        <v>1</v>
      </c>
      <c r="AO39" s="17">
        <f t="shared" si="18"/>
        <v>4.1666666666666664E-2</v>
      </c>
      <c r="AP39" s="6">
        <v>8</v>
      </c>
      <c r="AQ39" s="17">
        <f t="shared" si="19"/>
        <v>0.33333333333333331</v>
      </c>
      <c r="AR39" s="15">
        <v>46</v>
      </c>
      <c r="AS39" s="17">
        <f t="shared" si="20"/>
        <v>1.9166666666666667</v>
      </c>
      <c r="AT39" s="19">
        <v>0.15494370377801764</v>
      </c>
      <c r="AU39" s="19">
        <v>2.5867062400336836E-2</v>
      </c>
      <c r="AV39" s="19">
        <v>9.0343025314537653E-2</v>
      </c>
      <c r="AW39" s="19">
        <v>6.4600678463479985E-2</v>
      </c>
      <c r="AX39" s="19">
        <v>108.77276329307381</v>
      </c>
      <c r="AY39" s="19">
        <v>116.85256612993055</v>
      </c>
      <c r="AZ39" s="19">
        <v>1.4079027292309068</v>
      </c>
      <c r="BA39" s="19">
        <v>2.6666666666666665</v>
      </c>
      <c r="BB39" s="19">
        <v>10.684474123539232</v>
      </c>
      <c r="BC39" s="18">
        <v>0.54054054054054057</v>
      </c>
      <c r="BD39" s="18">
        <v>0.5</v>
      </c>
      <c r="BE39" s="19">
        <v>4.5579060875054473</v>
      </c>
      <c r="BF39" s="18">
        <v>0.42499999999999999</v>
      </c>
      <c r="BG39" s="18">
        <v>0.25</v>
      </c>
      <c r="BH39" s="19">
        <v>0.60584845710592916</v>
      </c>
      <c r="BI39" s="19">
        <v>3.4331412569335988</v>
      </c>
      <c r="BJ39" s="19">
        <v>1.9747056660065117</v>
      </c>
      <c r="BK39" s="19">
        <v>4.2257022122793932</v>
      </c>
      <c r="BL39" s="19">
        <v>2.5352315157878196</v>
      </c>
      <c r="BM39" s="19">
        <v>0.18890512948265969</v>
      </c>
      <c r="BN39" s="19">
        <v>15.267175572519085</v>
      </c>
      <c r="BO39" s="20" t="s">
        <v>257</v>
      </c>
      <c r="BP39" s="21"/>
      <c r="BQ39" s="31" t="s">
        <v>306</v>
      </c>
      <c r="BR39" s="31">
        <v>132.94999999999999</v>
      </c>
      <c r="BS39" s="31">
        <v>168.45</v>
      </c>
      <c r="BT39" s="31">
        <v>35.5</v>
      </c>
      <c r="BU39" s="35">
        <f t="shared" si="21"/>
        <v>5.5395833333333329</v>
      </c>
      <c r="BV39" s="35">
        <f t="shared" si="22"/>
        <v>7.0187499999999998</v>
      </c>
      <c r="BW39" s="35">
        <f t="shared" si="23"/>
        <v>1.4791666666666667</v>
      </c>
      <c r="BX39" s="36">
        <f t="shared" si="24"/>
        <v>22.195325542570949</v>
      </c>
      <c r="BY39" s="36">
        <f t="shared" si="25"/>
        <v>28.121869782971618</v>
      </c>
      <c r="BZ39" s="36">
        <f t="shared" si="26"/>
        <v>5.9265442404006681</v>
      </c>
      <c r="CA39" s="31">
        <v>10</v>
      </c>
      <c r="CB39" s="31">
        <v>14</v>
      </c>
    </row>
    <row r="40" spans="1:80" x14ac:dyDescent="0.4">
      <c r="A40" s="11" t="s">
        <v>53</v>
      </c>
      <c r="B40" s="11" t="s">
        <v>261</v>
      </c>
      <c r="C40" s="11" t="s">
        <v>201</v>
      </c>
      <c r="D40" s="15">
        <v>49</v>
      </c>
      <c r="E40" s="15">
        <v>25</v>
      </c>
      <c r="F40" s="15">
        <v>54</v>
      </c>
      <c r="G40" s="16">
        <v>76146</v>
      </c>
      <c r="H40" s="16">
        <v>1129</v>
      </c>
      <c r="I40" s="17">
        <f t="shared" si="0"/>
        <v>23.040816326530614</v>
      </c>
      <c r="J40" s="15">
        <v>428</v>
      </c>
      <c r="K40" s="15">
        <v>856</v>
      </c>
      <c r="L40" s="17">
        <f t="shared" si="1"/>
        <v>8.7346938775510203</v>
      </c>
      <c r="M40" s="17">
        <f t="shared" si="2"/>
        <v>17.469387755102041</v>
      </c>
      <c r="N40" s="18">
        <f t="shared" si="3"/>
        <v>0.5</v>
      </c>
      <c r="O40" s="16">
        <v>312</v>
      </c>
      <c r="P40" s="15">
        <v>573</v>
      </c>
      <c r="Q40" s="17">
        <f t="shared" si="4"/>
        <v>6.3673469387755102</v>
      </c>
      <c r="R40" s="17">
        <f t="shared" si="5"/>
        <v>11.693877551020408</v>
      </c>
      <c r="S40" s="18">
        <f t="shared" si="6"/>
        <v>0.54450261780104714</v>
      </c>
      <c r="T40" s="15">
        <v>116</v>
      </c>
      <c r="U40" s="15">
        <v>283</v>
      </c>
      <c r="V40" s="17">
        <f t="shared" si="7"/>
        <v>2.3673469387755102</v>
      </c>
      <c r="W40" s="17">
        <f t="shared" si="8"/>
        <v>5.7755102040816331</v>
      </c>
      <c r="X40" s="18">
        <f t="shared" si="9"/>
        <v>0.40989399293286222</v>
      </c>
      <c r="Y40" s="15">
        <v>157</v>
      </c>
      <c r="Z40" s="15">
        <v>193</v>
      </c>
      <c r="AA40" s="17">
        <f t="shared" si="10"/>
        <v>3.204081632653061</v>
      </c>
      <c r="AB40" s="17">
        <f t="shared" si="11"/>
        <v>3.9387755102040818</v>
      </c>
      <c r="AC40" s="18">
        <f t="shared" si="12"/>
        <v>0.81347150259067358</v>
      </c>
      <c r="AD40" s="15">
        <v>381</v>
      </c>
      <c r="AE40" s="17">
        <f t="shared" si="13"/>
        <v>7.7755102040816331</v>
      </c>
      <c r="AF40" s="15">
        <v>75</v>
      </c>
      <c r="AG40" s="17">
        <f t="shared" si="14"/>
        <v>1.5306122448979591</v>
      </c>
      <c r="AH40" s="15">
        <v>306</v>
      </c>
      <c r="AI40" s="17">
        <f t="shared" si="15"/>
        <v>6.2448979591836737</v>
      </c>
      <c r="AJ40" s="15">
        <v>40</v>
      </c>
      <c r="AK40" s="17">
        <f t="shared" si="16"/>
        <v>0.81632653061224492</v>
      </c>
      <c r="AL40" s="15">
        <v>29</v>
      </c>
      <c r="AM40" s="17">
        <f t="shared" si="17"/>
        <v>0.59183673469387754</v>
      </c>
      <c r="AN40" s="15">
        <v>21</v>
      </c>
      <c r="AO40" s="17">
        <f t="shared" si="18"/>
        <v>0.42857142857142855</v>
      </c>
      <c r="AP40" s="4">
        <v>81</v>
      </c>
      <c r="AQ40" s="17">
        <f t="shared" si="19"/>
        <v>1.653061224489796</v>
      </c>
      <c r="AR40" s="15">
        <v>80</v>
      </c>
      <c r="AS40" s="17">
        <f t="shared" si="20"/>
        <v>1.6326530612244898</v>
      </c>
      <c r="AT40" s="19">
        <v>4.1461138515600915</v>
      </c>
      <c r="AU40" s="19">
        <v>0.13067887011457227</v>
      </c>
      <c r="AV40" s="19">
        <v>3.1605374839133926</v>
      </c>
      <c r="AW40" s="19">
        <v>0.98557636764669898</v>
      </c>
      <c r="AX40" s="19">
        <v>115.82812197040928</v>
      </c>
      <c r="AY40" s="19">
        <v>111.6811507391218</v>
      </c>
      <c r="AZ40" s="19">
        <v>20.566934265269367</v>
      </c>
      <c r="BA40" s="19">
        <v>21.530612244897959</v>
      </c>
      <c r="BB40" s="19">
        <v>33.251910802931214</v>
      </c>
      <c r="BC40" s="18">
        <v>0.59994473494027123</v>
      </c>
      <c r="BD40" s="18">
        <v>0.56775700934579443</v>
      </c>
      <c r="BE40" s="19">
        <v>34.263110932353797</v>
      </c>
      <c r="BF40" s="18">
        <v>0.33060747663551404</v>
      </c>
      <c r="BG40" s="18">
        <v>0.22546728971962618</v>
      </c>
      <c r="BH40" s="19">
        <v>5.8382114833727741</v>
      </c>
      <c r="BI40" s="19">
        <v>23.819902852160919</v>
      </c>
      <c r="BJ40" s="19">
        <v>14.500172213331405</v>
      </c>
      <c r="BK40" s="19">
        <v>6.0624431645953321</v>
      </c>
      <c r="BL40" s="19">
        <v>1.2618679425147445</v>
      </c>
      <c r="BM40" s="19">
        <v>1.5291104400015294</v>
      </c>
      <c r="BN40" s="19">
        <v>7.9262564584311885</v>
      </c>
      <c r="BO40" s="20" t="s">
        <v>239</v>
      </c>
      <c r="BP40" s="21">
        <v>40000</v>
      </c>
      <c r="BQ40" s="30" t="s">
        <v>305</v>
      </c>
      <c r="BR40" s="30">
        <v>1416.13</v>
      </c>
      <c r="BS40" s="30">
        <v>1977.73</v>
      </c>
      <c r="BT40" s="30">
        <v>561.6</v>
      </c>
      <c r="BU40" s="35">
        <f t="shared" si="21"/>
        <v>28.900612244897964</v>
      </c>
      <c r="BV40" s="35">
        <f t="shared" si="22"/>
        <v>40.361836734693881</v>
      </c>
      <c r="BW40" s="35">
        <f t="shared" si="23"/>
        <v>11.461224489795919</v>
      </c>
      <c r="BX40" s="36">
        <f t="shared" si="24"/>
        <v>44.634150185170597</v>
      </c>
      <c r="BY40" s="36">
        <f t="shared" si="25"/>
        <v>62.334882987944212</v>
      </c>
      <c r="BZ40" s="36">
        <f t="shared" si="26"/>
        <v>17.700732802773619</v>
      </c>
      <c r="CA40" s="30">
        <v>19</v>
      </c>
      <c r="CB40" s="30">
        <v>30</v>
      </c>
    </row>
    <row r="41" spans="1:80" x14ac:dyDescent="0.4">
      <c r="A41" s="11" t="s">
        <v>53</v>
      </c>
      <c r="B41" s="11" t="s">
        <v>261</v>
      </c>
      <c r="C41" s="11" t="s">
        <v>297</v>
      </c>
      <c r="D41" s="15">
        <v>14</v>
      </c>
      <c r="E41" s="15">
        <v>14</v>
      </c>
      <c r="F41" s="15">
        <v>11</v>
      </c>
      <c r="G41" s="16">
        <v>11914</v>
      </c>
      <c r="H41" s="16">
        <v>71</v>
      </c>
      <c r="I41" s="17">
        <f t="shared" si="0"/>
        <v>5.0714285714285712</v>
      </c>
      <c r="J41" s="15">
        <v>28</v>
      </c>
      <c r="K41" s="15">
        <v>69</v>
      </c>
      <c r="L41" s="17">
        <f t="shared" si="1"/>
        <v>2</v>
      </c>
      <c r="M41" s="17">
        <f t="shared" si="2"/>
        <v>4.9285714285714288</v>
      </c>
      <c r="N41" s="18">
        <f t="shared" si="3"/>
        <v>0.40579710144927539</v>
      </c>
      <c r="O41" s="16">
        <v>28</v>
      </c>
      <c r="P41" s="15">
        <v>69</v>
      </c>
      <c r="Q41" s="17">
        <f t="shared" si="4"/>
        <v>2</v>
      </c>
      <c r="R41" s="17">
        <f t="shared" si="5"/>
        <v>4.9285714285714288</v>
      </c>
      <c r="S41" s="18">
        <f t="shared" si="6"/>
        <v>0.40579710144927539</v>
      </c>
      <c r="T41" s="15">
        <v>0</v>
      </c>
      <c r="U41" s="15">
        <v>0</v>
      </c>
      <c r="V41" s="17">
        <f t="shared" si="7"/>
        <v>0</v>
      </c>
      <c r="W41" s="17">
        <f t="shared" si="8"/>
        <v>0</v>
      </c>
      <c r="X41" s="18" t="e">
        <f t="shared" si="9"/>
        <v>#DIV/0!</v>
      </c>
      <c r="Y41" s="15">
        <v>15</v>
      </c>
      <c r="Z41" s="15">
        <v>25</v>
      </c>
      <c r="AA41" s="17">
        <f t="shared" si="10"/>
        <v>1.0714285714285714</v>
      </c>
      <c r="AB41" s="17">
        <f t="shared" si="11"/>
        <v>1.7857142857142858</v>
      </c>
      <c r="AC41" s="18">
        <f t="shared" si="12"/>
        <v>0.6</v>
      </c>
      <c r="AD41" s="15">
        <v>57</v>
      </c>
      <c r="AE41" s="17">
        <f t="shared" si="13"/>
        <v>4.0714285714285712</v>
      </c>
      <c r="AF41" s="15">
        <v>19</v>
      </c>
      <c r="AG41" s="17">
        <f t="shared" si="14"/>
        <v>1.3571428571428572</v>
      </c>
      <c r="AH41" s="15">
        <v>38</v>
      </c>
      <c r="AI41" s="17">
        <f t="shared" si="15"/>
        <v>2.7142857142857144</v>
      </c>
      <c r="AJ41" s="15">
        <v>7</v>
      </c>
      <c r="AK41" s="17">
        <f t="shared" si="16"/>
        <v>0.5</v>
      </c>
      <c r="AL41" s="15">
        <v>5</v>
      </c>
      <c r="AM41" s="17">
        <f t="shared" si="17"/>
        <v>0.35714285714285715</v>
      </c>
      <c r="AN41" s="15">
        <v>1</v>
      </c>
      <c r="AO41" s="17">
        <f t="shared" si="18"/>
        <v>7.1428571428571425E-2</v>
      </c>
      <c r="AP41" s="4">
        <v>10</v>
      </c>
      <c r="AQ41" s="17">
        <f t="shared" si="19"/>
        <v>0.7142857142857143</v>
      </c>
      <c r="AR41" s="15">
        <v>23</v>
      </c>
      <c r="AS41" s="17">
        <f t="shared" si="20"/>
        <v>1.6428571428571428</v>
      </c>
      <c r="AT41" s="19">
        <v>-3.6212580042847956E-2</v>
      </c>
      <c r="AU41" s="19">
        <v>-7.294795375426817E-3</v>
      </c>
      <c r="AV41" s="19">
        <v>-0.14268133150456536</v>
      </c>
      <c r="AW41" s="19">
        <v>0.1064687514617174</v>
      </c>
      <c r="AX41" s="19">
        <v>95.412086807850145</v>
      </c>
      <c r="AY41" s="19">
        <v>114.13343941857299</v>
      </c>
      <c r="AZ41" s="19">
        <v>1.9472646714388215</v>
      </c>
      <c r="BA41" s="19">
        <v>5.7142857142857144</v>
      </c>
      <c r="BB41" s="19">
        <v>16.115494376363941</v>
      </c>
      <c r="BC41" s="18">
        <v>0.44374999999999998</v>
      </c>
      <c r="BD41" s="18">
        <v>0.40579710144927539</v>
      </c>
      <c r="BE41" s="19">
        <v>5.510282406361144</v>
      </c>
      <c r="BF41" s="18">
        <v>0</v>
      </c>
      <c r="BG41" s="18">
        <v>0.36231884057971014</v>
      </c>
      <c r="BH41" s="19">
        <v>2.7008073992646224</v>
      </c>
      <c r="BI41" s="19">
        <v>5.4016147985292449</v>
      </c>
      <c r="BJ41" s="19">
        <v>3.9613616659494904</v>
      </c>
      <c r="BK41" s="19">
        <v>1.2330456226880395</v>
      </c>
      <c r="BL41" s="19">
        <v>1.3905141495477322</v>
      </c>
      <c r="BM41" s="19">
        <v>0.13296612521752427</v>
      </c>
      <c r="BN41" s="19">
        <v>11.111111111111111</v>
      </c>
      <c r="BO41" s="20" t="s">
        <v>239</v>
      </c>
      <c r="BP41" s="21">
        <v>70000</v>
      </c>
      <c r="BQ41" s="30" t="s">
        <v>305</v>
      </c>
      <c r="BR41" s="30">
        <v>141.16</v>
      </c>
      <c r="BS41" s="30">
        <v>205.16</v>
      </c>
      <c r="BT41" s="30">
        <v>64</v>
      </c>
      <c r="BU41" s="35">
        <f t="shared" si="21"/>
        <v>10.082857142857144</v>
      </c>
      <c r="BV41" s="35">
        <f t="shared" si="22"/>
        <v>14.654285714285715</v>
      </c>
      <c r="BW41" s="35">
        <f t="shared" si="23"/>
        <v>4.5714285714285712</v>
      </c>
      <c r="BX41" s="36">
        <f t="shared" si="24"/>
        <v>28.435789827094176</v>
      </c>
      <c r="BY41" s="36">
        <f t="shared" si="25"/>
        <v>41.328185328185327</v>
      </c>
      <c r="BZ41" s="36">
        <f t="shared" si="26"/>
        <v>12.892395501091153</v>
      </c>
      <c r="CA41" s="31">
        <v>2</v>
      </c>
      <c r="CB41" s="31">
        <v>12</v>
      </c>
    </row>
    <row r="42" spans="1:80" x14ac:dyDescent="0.4">
      <c r="A42" s="11" t="s">
        <v>53</v>
      </c>
      <c r="B42" s="11" t="s">
        <v>261</v>
      </c>
      <c r="C42" s="11" t="s">
        <v>211</v>
      </c>
      <c r="D42" s="10">
        <v>16</v>
      </c>
      <c r="E42" s="10">
        <v>10</v>
      </c>
      <c r="F42" s="10">
        <v>24</v>
      </c>
      <c r="G42" s="16">
        <v>9984</v>
      </c>
      <c r="H42" s="16">
        <v>18</v>
      </c>
      <c r="I42" s="17">
        <f t="shared" si="0"/>
        <v>1.125</v>
      </c>
      <c r="J42" s="15">
        <v>7</v>
      </c>
      <c r="K42" s="15">
        <v>26</v>
      </c>
      <c r="L42" s="17">
        <f t="shared" si="1"/>
        <v>0.4375</v>
      </c>
      <c r="M42" s="17">
        <f t="shared" si="2"/>
        <v>1.625</v>
      </c>
      <c r="N42" s="18">
        <f t="shared" si="3"/>
        <v>0.26923076923076922</v>
      </c>
      <c r="O42" s="16">
        <v>3</v>
      </c>
      <c r="P42" s="15">
        <v>9</v>
      </c>
      <c r="Q42" s="17">
        <f t="shared" si="4"/>
        <v>0.1875</v>
      </c>
      <c r="R42" s="17">
        <f t="shared" si="5"/>
        <v>0.5625</v>
      </c>
      <c r="S42" s="18">
        <f t="shared" si="6"/>
        <v>0.33333333333333331</v>
      </c>
      <c r="T42" s="15">
        <v>4</v>
      </c>
      <c r="U42" s="15">
        <v>17</v>
      </c>
      <c r="V42" s="17">
        <f t="shared" si="7"/>
        <v>0.25</v>
      </c>
      <c r="W42" s="17">
        <f t="shared" si="8"/>
        <v>1.0625</v>
      </c>
      <c r="X42" s="18">
        <f t="shared" si="9"/>
        <v>0.23529411764705882</v>
      </c>
      <c r="Y42" s="9">
        <v>0</v>
      </c>
      <c r="Z42" s="9">
        <v>0</v>
      </c>
      <c r="AA42" s="17">
        <f t="shared" si="10"/>
        <v>0</v>
      </c>
      <c r="AB42" s="17">
        <f t="shared" si="11"/>
        <v>0</v>
      </c>
      <c r="AC42" s="18" t="e">
        <f t="shared" si="12"/>
        <v>#DIV/0!</v>
      </c>
      <c r="AD42" s="15">
        <v>22</v>
      </c>
      <c r="AE42" s="17">
        <f t="shared" si="13"/>
        <v>1.375</v>
      </c>
      <c r="AF42" s="15">
        <v>9</v>
      </c>
      <c r="AG42" s="17">
        <f t="shared" si="14"/>
        <v>0.5625</v>
      </c>
      <c r="AH42" s="15">
        <v>13</v>
      </c>
      <c r="AI42" s="17">
        <f t="shared" si="15"/>
        <v>0.8125</v>
      </c>
      <c r="AJ42" s="15">
        <v>2</v>
      </c>
      <c r="AK42" s="17">
        <f t="shared" si="16"/>
        <v>0.125</v>
      </c>
      <c r="AL42" s="15">
        <v>9</v>
      </c>
      <c r="AM42" s="17">
        <f t="shared" si="17"/>
        <v>0.5625</v>
      </c>
      <c r="AN42" s="7">
        <v>0</v>
      </c>
      <c r="AO42" s="17">
        <f t="shared" si="18"/>
        <v>0</v>
      </c>
      <c r="AP42" s="6">
        <v>2</v>
      </c>
      <c r="AQ42" s="17">
        <f t="shared" si="19"/>
        <v>0.125</v>
      </c>
      <c r="AR42" s="15">
        <v>24</v>
      </c>
      <c r="AS42" s="17">
        <f t="shared" si="20"/>
        <v>1.5</v>
      </c>
      <c r="AT42" s="19">
        <v>-3.0753088367882923E-2</v>
      </c>
      <c r="AU42" s="19">
        <v>-7.3925693192026251E-3</v>
      </c>
      <c r="AV42" s="19">
        <v>-9.2096058818141271E-2</v>
      </c>
      <c r="AW42" s="19">
        <v>6.1342970450258348E-2</v>
      </c>
      <c r="AX42" s="19">
        <v>88.560883543935404</v>
      </c>
      <c r="AY42" s="19">
        <v>115.84242127784732</v>
      </c>
      <c r="AZ42" s="19">
        <v>0.53841304641257048</v>
      </c>
      <c r="BA42" s="19">
        <v>1.875</v>
      </c>
      <c r="BB42" s="19">
        <v>7.2115384615384617</v>
      </c>
      <c r="BC42" s="18">
        <v>0.34615384615384615</v>
      </c>
      <c r="BD42" s="18">
        <v>0.34615384615384615</v>
      </c>
      <c r="BE42" s="19">
        <v>2.3379453201348528</v>
      </c>
      <c r="BF42" s="18">
        <v>0.65384615384615385</v>
      </c>
      <c r="BG42" s="18">
        <v>0</v>
      </c>
      <c r="BH42" s="19">
        <v>1.744727047146402</v>
      </c>
      <c r="BI42" s="19">
        <v>2.5201612903225805</v>
      </c>
      <c r="BJ42" s="19">
        <v>2.0851499412366836</v>
      </c>
      <c r="BK42" s="19">
        <v>0.46533271288971612</v>
      </c>
      <c r="BL42" s="19">
        <v>2.9867642267509042</v>
      </c>
      <c r="BM42" s="19">
        <v>0</v>
      </c>
      <c r="BN42" s="19">
        <v>7.1428571428571432</v>
      </c>
      <c r="BO42" s="20" t="s">
        <v>257</v>
      </c>
      <c r="BP42" s="21">
        <v>53000</v>
      </c>
      <c r="BQ42" s="31" t="s">
        <v>305</v>
      </c>
      <c r="BR42" s="31">
        <v>80.37</v>
      </c>
      <c r="BS42" s="31">
        <v>101.07</v>
      </c>
      <c r="BT42" s="31">
        <v>20.7</v>
      </c>
      <c r="BU42" s="35">
        <f t="shared" si="21"/>
        <v>5.0231249999999994</v>
      </c>
      <c r="BV42" s="35">
        <f t="shared" si="22"/>
        <v>6.3168749999999996</v>
      </c>
      <c r="BW42" s="35">
        <f t="shared" si="23"/>
        <v>1.29375</v>
      </c>
      <c r="BX42" s="36">
        <f t="shared" si="24"/>
        <v>19.319711538461533</v>
      </c>
      <c r="BY42" s="36">
        <f t="shared" si="25"/>
        <v>24.295673076923073</v>
      </c>
      <c r="BZ42" s="36">
        <f t="shared" si="26"/>
        <v>4.9759615384615383</v>
      </c>
      <c r="CA42" s="30">
        <v>7</v>
      </c>
      <c r="CB42" s="30">
        <v>9</v>
      </c>
    </row>
    <row r="43" spans="1:80" x14ac:dyDescent="0.4">
      <c r="A43" s="11" t="s">
        <v>53</v>
      </c>
      <c r="B43" s="11" t="s">
        <v>261</v>
      </c>
      <c r="C43" s="11" t="s">
        <v>212</v>
      </c>
      <c r="D43" s="15">
        <v>37</v>
      </c>
      <c r="E43" s="15">
        <v>8</v>
      </c>
      <c r="F43" s="15">
        <v>20</v>
      </c>
      <c r="G43" s="16">
        <v>18500</v>
      </c>
      <c r="H43" s="16">
        <v>91</v>
      </c>
      <c r="I43" s="17">
        <f t="shared" si="0"/>
        <v>2.4594594594594597</v>
      </c>
      <c r="J43" s="15">
        <v>30</v>
      </c>
      <c r="K43" s="15">
        <v>87</v>
      </c>
      <c r="L43" s="17">
        <f t="shared" si="1"/>
        <v>0.81081081081081086</v>
      </c>
      <c r="M43" s="17">
        <f t="shared" si="2"/>
        <v>2.3513513513513513</v>
      </c>
      <c r="N43" s="18">
        <f t="shared" si="3"/>
        <v>0.34482758620689657</v>
      </c>
      <c r="O43" s="16">
        <v>11</v>
      </c>
      <c r="P43" s="15">
        <v>33</v>
      </c>
      <c r="Q43" s="17">
        <f t="shared" si="4"/>
        <v>0.29729729729729731</v>
      </c>
      <c r="R43" s="17">
        <f t="shared" si="5"/>
        <v>0.89189189189189189</v>
      </c>
      <c r="S43" s="18">
        <f t="shared" si="6"/>
        <v>0.33333333333333331</v>
      </c>
      <c r="T43" s="15">
        <v>19</v>
      </c>
      <c r="U43" s="15">
        <v>54</v>
      </c>
      <c r="V43" s="17">
        <f t="shared" si="7"/>
        <v>0.51351351351351349</v>
      </c>
      <c r="W43" s="17">
        <f t="shared" si="8"/>
        <v>1.4594594594594594</v>
      </c>
      <c r="X43" s="18">
        <f t="shared" si="9"/>
        <v>0.35185185185185186</v>
      </c>
      <c r="Y43" s="15">
        <v>12</v>
      </c>
      <c r="Z43" s="15">
        <v>27</v>
      </c>
      <c r="AA43" s="17">
        <f t="shared" si="10"/>
        <v>0.32432432432432434</v>
      </c>
      <c r="AB43" s="17">
        <f t="shared" si="11"/>
        <v>0.72972972972972971</v>
      </c>
      <c r="AC43" s="18">
        <f t="shared" si="12"/>
        <v>0.44444444444444442</v>
      </c>
      <c r="AD43" s="15">
        <v>32</v>
      </c>
      <c r="AE43" s="17">
        <f t="shared" si="13"/>
        <v>0.86486486486486491</v>
      </c>
      <c r="AF43" s="15">
        <v>7</v>
      </c>
      <c r="AG43" s="17">
        <f t="shared" si="14"/>
        <v>0.1891891891891892</v>
      </c>
      <c r="AH43" s="15">
        <v>25</v>
      </c>
      <c r="AI43" s="17">
        <f t="shared" si="15"/>
        <v>0.67567567567567566</v>
      </c>
      <c r="AJ43" s="15">
        <v>34</v>
      </c>
      <c r="AK43" s="17">
        <f t="shared" si="16"/>
        <v>0.91891891891891897</v>
      </c>
      <c r="AL43" s="15">
        <v>9</v>
      </c>
      <c r="AM43" s="17">
        <f t="shared" si="17"/>
        <v>0.24324324324324326</v>
      </c>
      <c r="AN43" s="15">
        <v>0</v>
      </c>
      <c r="AO43" s="17">
        <f t="shared" si="18"/>
        <v>0</v>
      </c>
      <c r="AP43" s="5">
        <v>21</v>
      </c>
      <c r="AQ43" s="17">
        <f t="shared" si="19"/>
        <v>0.56756756756756754</v>
      </c>
      <c r="AR43" s="15">
        <v>37</v>
      </c>
      <c r="AS43" s="17">
        <f t="shared" si="20"/>
        <v>1</v>
      </c>
      <c r="AT43" s="19">
        <v>-0.24502940625785588</v>
      </c>
      <c r="AU43" s="19">
        <v>-3.1787598649667792E-2</v>
      </c>
      <c r="AV43" s="19">
        <v>-0.26607855358511401</v>
      </c>
      <c r="AW43" s="19">
        <v>2.1049147327258138E-2</v>
      </c>
      <c r="AX43" s="19">
        <v>92.992734946200642</v>
      </c>
      <c r="AY43" s="19">
        <v>118.9064538069958</v>
      </c>
      <c r="AZ43" s="19">
        <v>2.7325029649139676</v>
      </c>
      <c r="BA43" s="19">
        <v>1.972972972972973</v>
      </c>
      <c r="BB43" s="19">
        <v>9.4702702702702712</v>
      </c>
      <c r="BC43" s="18">
        <v>0.4601537216828479</v>
      </c>
      <c r="BD43" s="18">
        <v>0.45402298850574713</v>
      </c>
      <c r="BE43" s="19">
        <v>12.492162873294719</v>
      </c>
      <c r="BF43" s="18">
        <v>0.62068965517241381</v>
      </c>
      <c r="BG43" s="18">
        <v>0.31034482758620691</v>
      </c>
      <c r="BH43" s="19">
        <v>1.6935483870967745</v>
      </c>
      <c r="BI43" s="19">
        <v>6.0483870967741939</v>
      </c>
      <c r="BJ43" s="19">
        <v>3.7851158206012814</v>
      </c>
      <c r="BK43" s="19">
        <v>10.625</v>
      </c>
      <c r="BL43" s="19">
        <v>1.6118840021557315</v>
      </c>
      <c r="BM43" s="19">
        <v>0</v>
      </c>
      <c r="BN43" s="19">
        <v>17.517517517517518</v>
      </c>
      <c r="BO43" s="20" t="s">
        <v>257</v>
      </c>
      <c r="BP43" s="21">
        <v>100000</v>
      </c>
      <c r="BQ43" s="30" t="s">
        <v>306</v>
      </c>
      <c r="BR43" s="30">
        <v>172.61</v>
      </c>
      <c r="BS43" s="30">
        <v>269.61</v>
      </c>
      <c r="BT43" s="30">
        <v>97</v>
      </c>
      <c r="BU43" s="35">
        <f t="shared" si="21"/>
        <v>4.6651351351351362</v>
      </c>
      <c r="BV43" s="35">
        <f t="shared" si="22"/>
        <v>7.2867567567567573</v>
      </c>
      <c r="BW43" s="35">
        <f t="shared" si="23"/>
        <v>2.6216216216216215</v>
      </c>
      <c r="BX43" s="36">
        <f t="shared" si="24"/>
        <v>22.392648648648649</v>
      </c>
      <c r="BY43" s="36">
        <f t="shared" si="25"/>
        <v>34.976432432432432</v>
      </c>
      <c r="BZ43" s="36">
        <f t="shared" si="26"/>
        <v>12.583783783783783</v>
      </c>
      <c r="CA43" s="31">
        <v>13</v>
      </c>
      <c r="CB43" s="31">
        <v>24</v>
      </c>
    </row>
    <row r="44" spans="1:80" x14ac:dyDescent="0.4">
      <c r="A44" s="11" t="s">
        <v>53</v>
      </c>
      <c r="B44" s="11" t="s">
        <v>261</v>
      </c>
      <c r="C44" s="11" t="s">
        <v>215</v>
      </c>
      <c r="D44" s="15">
        <v>12</v>
      </c>
      <c r="E44" s="15">
        <v>7</v>
      </c>
      <c r="F44" s="15">
        <v>27</v>
      </c>
      <c r="G44" s="16">
        <v>5364</v>
      </c>
      <c r="H44" s="16">
        <v>22</v>
      </c>
      <c r="I44" s="17">
        <f t="shared" si="0"/>
        <v>1.8333333333333333</v>
      </c>
      <c r="J44" s="15">
        <v>9</v>
      </c>
      <c r="K44" s="15">
        <v>28</v>
      </c>
      <c r="L44" s="17">
        <f t="shared" si="1"/>
        <v>0.75</v>
      </c>
      <c r="M44" s="17">
        <f t="shared" si="2"/>
        <v>2.3333333333333335</v>
      </c>
      <c r="N44" s="18">
        <f t="shared" si="3"/>
        <v>0.32142857142857145</v>
      </c>
      <c r="O44" s="16">
        <v>5</v>
      </c>
      <c r="P44" s="15">
        <v>8</v>
      </c>
      <c r="Q44" s="17">
        <f t="shared" si="4"/>
        <v>0.41666666666666669</v>
      </c>
      <c r="R44" s="17">
        <f t="shared" si="5"/>
        <v>0.66666666666666663</v>
      </c>
      <c r="S44" s="18">
        <f t="shared" si="6"/>
        <v>0.625</v>
      </c>
      <c r="T44" s="15">
        <v>4</v>
      </c>
      <c r="U44" s="15">
        <v>20</v>
      </c>
      <c r="V44" s="17">
        <f t="shared" si="7"/>
        <v>0.33333333333333331</v>
      </c>
      <c r="W44" s="17">
        <f t="shared" si="8"/>
        <v>1.6666666666666667</v>
      </c>
      <c r="X44" s="18">
        <f t="shared" si="9"/>
        <v>0.2</v>
      </c>
      <c r="Y44" s="15">
        <v>0</v>
      </c>
      <c r="Z44" s="15">
        <v>0</v>
      </c>
      <c r="AA44" s="17">
        <f t="shared" si="10"/>
        <v>0</v>
      </c>
      <c r="AB44" s="17">
        <f t="shared" si="11"/>
        <v>0</v>
      </c>
      <c r="AC44" s="18" t="e">
        <f t="shared" si="12"/>
        <v>#DIV/0!</v>
      </c>
      <c r="AD44" s="15">
        <v>6</v>
      </c>
      <c r="AE44" s="17">
        <f t="shared" si="13"/>
        <v>0.5</v>
      </c>
      <c r="AF44" s="15">
        <v>3</v>
      </c>
      <c r="AG44" s="17">
        <f t="shared" si="14"/>
        <v>0.25</v>
      </c>
      <c r="AH44" s="15">
        <v>3</v>
      </c>
      <c r="AI44" s="17">
        <f t="shared" si="15"/>
        <v>0.25</v>
      </c>
      <c r="AJ44" s="15">
        <v>2</v>
      </c>
      <c r="AK44" s="17">
        <f t="shared" si="16"/>
        <v>0.16666666666666666</v>
      </c>
      <c r="AL44" s="15">
        <v>4</v>
      </c>
      <c r="AM44" s="17">
        <f t="shared" si="17"/>
        <v>0.33333333333333331</v>
      </c>
      <c r="AN44" s="15">
        <v>0</v>
      </c>
      <c r="AO44" s="17">
        <f t="shared" si="18"/>
        <v>0</v>
      </c>
      <c r="AP44" s="4">
        <v>4</v>
      </c>
      <c r="AQ44" s="17">
        <f t="shared" si="19"/>
        <v>0.33333333333333331</v>
      </c>
      <c r="AR44" s="15">
        <v>9</v>
      </c>
      <c r="AS44" s="17">
        <f t="shared" si="20"/>
        <v>0.75</v>
      </c>
      <c r="AT44" s="19">
        <v>-0.16025991820589808</v>
      </c>
      <c r="AU44" s="19">
        <v>-7.1704661389663554E-2</v>
      </c>
      <c r="AV44" s="19">
        <v>-0.16414865592246985</v>
      </c>
      <c r="AW44" s="19">
        <v>3.8887377165717769E-3</v>
      </c>
      <c r="AX44" s="19">
        <v>79.628112739961537</v>
      </c>
      <c r="AY44" s="19">
        <v>119.15911364973353</v>
      </c>
      <c r="AZ44" s="19">
        <v>0.40011856319600125</v>
      </c>
      <c r="BA44" s="19">
        <v>0.91666666666666663</v>
      </c>
      <c r="BB44" s="19">
        <v>4.9217002237136462</v>
      </c>
      <c r="BC44" s="18">
        <v>0.39285714285714285</v>
      </c>
      <c r="BD44" s="18">
        <v>0.39285714285714285</v>
      </c>
      <c r="BE44" s="19">
        <v>3.7299530323148562</v>
      </c>
      <c r="BF44" s="18">
        <v>0.7142857142857143</v>
      </c>
      <c r="BG44" s="18">
        <v>0</v>
      </c>
      <c r="BH44" s="19">
        <v>0.81186403983546218</v>
      </c>
      <c r="BI44" s="19">
        <v>0.81186403983546218</v>
      </c>
      <c r="BJ44" s="19">
        <v>0.79385818385093987</v>
      </c>
      <c r="BK44" s="19">
        <v>0.65811122079631468</v>
      </c>
      <c r="BL44" s="19">
        <v>2.4707808467877226</v>
      </c>
      <c r="BM44" s="19">
        <v>0</v>
      </c>
      <c r="BN44" s="19">
        <v>12.5</v>
      </c>
      <c r="BO44" s="20" t="s">
        <v>257</v>
      </c>
      <c r="BP44" s="21">
        <v>55000</v>
      </c>
      <c r="BQ44" s="30" t="s">
        <v>306</v>
      </c>
      <c r="BR44" s="30">
        <v>36.93</v>
      </c>
      <c r="BS44" s="30">
        <v>60.33</v>
      </c>
      <c r="BT44" s="30">
        <v>23.4</v>
      </c>
      <c r="BU44" s="35">
        <f t="shared" si="21"/>
        <v>3.0774999999999997</v>
      </c>
      <c r="BV44" s="35">
        <f t="shared" si="22"/>
        <v>5.0274999999999999</v>
      </c>
      <c r="BW44" s="35">
        <f t="shared" si="23"/>
        <v>1.95</v>
      </c>
      <c r="BX44" s="36">
        <f t="shared" si="24"/>
        <v>16.523489932885909</v>
      </c>
      <c r="BY44" s="36">
        <f t="shared" si="25"/>
        <v>26.993288590604028</v>
      </c>
      <c r="BZ44" s="36">
        <f t="shared" si="26"/>
        <v>10.469798657718121</v>
      </c>
      <c r="CA44" s="31">
        <v>2</v>
      </c>
      <c r="CB44" s="31">
        <v>10</v>
      </c>
    </row>
    <row r="45" spans="1:80" x14ac:dyDescent="0.4">
      <c r="A45" s="11" t="s">
        <v>53</v>
      </c>
      <c r="B45" s="11" t="s">
        <v>261</v>
      </c>
      <c r="C45" s="11" t="s">
        <v>203</v>
      </c>
      <c r="D45" s="24">
        <v>39</v>
      </c>
      <c r="E45" s="24">
        <v>28</v>
      </c>
      <c r="F45" s="24">
        <v>50</v>
      </c>
      <c r="G45" s="16">
        <v>67470</v>
      </c>
      <c r="H45" s="16">
        <v>445</v>
      </c>
      <c r="I45" s="17">
        <f t="shared" si="0"/>
        <v>11.410256410256411</v>
      </c>
      <c r="J45" s="15">
        <v>191</v>
      </c>
      <c r="K45" s="15">
        <v>373</v>
      </c>
      <c r="L45" s="17">
        <f t="shared" si="1"/>
        <v>4.8974358974358978</v>
      </c>
      <c r="M45" s="17">
        <f t="shared" si="2"/>
        <v>9.5641025641025639</v>
      </c>
      <c r="N45" s="18">
        <f t="shared" si="3"/>
        <v>0.51206434316353888</v>
      </c>
      <c r="O45" s="16">
        <v>172</v>
      </c>
      <c r="P45" s="15">
        <v>307</v>
      </c>
      <c r="Q45" s="17">
        <f t="shared" si="4"/>
        <v>4.4102564102564106</v>
      </c>
      <c r="R45" s="17">
        <f t="shared" si="5"/>
        <v>7.8717948717948714</v>
      </c>
      <c r="S45" s="18">
        <f t="shared" si="6"/>
        <v>0.56026058631921827</v>
      </c>
      <c r="T45" s="15">
        <v>19</v>
      </c>
      <c r="U45" s="15">
        <v>66</v>
      </c>
      <c r="V45" s="17">
        <f t="shared" si="7"/>
        <v>0.48717948717948717</v>
      </c>
      <c r="W45" s="17">
        <f t="shared" si="8"/>
        <v>1.6923076923076923</v>
      </c>
      <c r="X45" s="18">
        <f t="shared" si="9"/>
        <v>0.2878787878787879</v>
      </c>
      <c r="Y45" s="15">
        <v>44</v>
      </c>
      <c r="Z45" s="15">
        <v>83</v>
      </c>
      <c r="AA45" s="17">
        <f t="shared" si="10"/>
        <v>1.1282051282051282</v>
      </c>
      <c r="AB45" s="17">
        <f t="shared" si="11"/>
        <v>2.1282051282051282</v>
      </c>
      <c r="AC45" s="18">
        <f t="shared" si="12"/>
        <v>0.53012048192771088</v>
      </c>
      <c r="AD45" s="15">
        <v>196</v>
      </c>
      <c r="AE45" s="17">
        <f t="shared" si="13"/>
        <v>5.0256410256410255</v>
      </c>
      <c r="AF45" s="15">
        <v>65</v>
      </c>
      <c r="AG45" s="17">
        <f t="shared" si="14"/>
        <v>1.6666666666666667</v>
      </c>
      <c r="AH45" s="15">
        <v>131</v>
      </c>
      <c r="AI45" s="17">
        <f t="shared" si="15"/>
        <v>3.358974358974359</v>
      </c>
      <c r="AJ45" s="15">
        <v>67</v>
      </c>
      <c r="AK45" s="17">
        <f t="shared" si="16"/>
        <v>1.7179487179487178</v>
      </c>
      <c r="AL45" s="15">
        <v>25</v>
      </c>
      <c r="AM45" s="17">
        <f t="shared" si="17"/>
        <v>0.64102564102564108</v>
      </c>
      <c r="AN45" s="15">
        <v>2</v>
      </c>
      <c r="AO45" s="17">
        <f t="shared" si="18"/>
        <v>5.128205128205128E-2</v>
      </c>
      <c r="AP45" s="4">
        <v>43</v>
      </c>
      <c r="AQ45" s="17">
        <f t="shared" si="19"/>
        <v>1.1025641025641026</v>
      </c>
      <c r="AR45" s="15">
        <v>83</v>
      </c>
      <c r="AS45" s="17">
        <f t="shared" si="20"/>
        <v>2.1282051282051282</v>
      </c>
      <c r="AT45" s="19">
        <v>1.17946456516936</v>
      </c>
      <c r="AU45" s="19">
        <v>4.1955164612516138E-2</v>
      </c>
      <c r="AV45" s="19">
        <v>1.0241960538418851</v>
      </c>
      <c r="AW45" s="19">
        <v>0.15526851132747502</v>
      </c>
      <c r="AX45" s="19">
        <v>111.26838806390057</v>
      </c>
      <c r="AY45" s="19">
        <v>118.19435255451177</v>
      </c>
      <c r="AZ45" s="19">
        <v>7.5417036851603374</v>
      </c>
      <c r="BA45" s="19">
        <v>12.076923076923077</v>
      </c>
      <c r="BB45" s="19">
        <v>16.754112939084038</v>
      </c>
      <c r="BC45" s="18">
        <v>0.54331900761867558</v>
      </c>
      <c r="BD45" s="18">
        <v>0.53753351206434319</v>
      </c>
      <c r="BE45" s="19">
        <v>13.628641993205456</v>
      </c>
      <c r="BF45" s="18">
        <v>0.17694369973190349</v>
      </c>
      <c r="BG45" s="18">
        <v>0.22252010723860591</v>
      </c>
      <c r="BH45" s="19">
        <v>4.5450307663621103</v>
      </c>
      <c r="BI45" s="19">
        <v>9.1599850829759468</v>
      </c>
      <c r="BJ45" s="19">
        <v>6.7005301737522682</v>
      </c>
      <c r="BK45" s="19">
        <v>6.5686274509803919</v>
      </c>
      <c r="BL45" s="19">
        <v>1.2277001317408984</v>
      </c>
      <c r="BM45" s="19">
        <v>0.13081407232383024</v>
      </c>
      <c r="BN45" s="19">
        <v>9.5023424379032981</v>
      </c>
      <c r="BO45" s="20" t="s">
        <v>257</v>
      </c>
      <c r="BP45" s="21">
        <v>35000</v>
      </c>
      <c r="BQ45" s="31" t="s">
        <v>305</v>
      </c>
      <c r="BR45" s="31">
        <v>824.07</v>
      </c>
      <c r="BS45" s="31">
        <v>1097.07</v>
      </c>
      <c r="BT45" s="31">
        <v>273</v>
      </c>
      <c r="BU45" s="35">
        <f t="shared" si="21"/>
        <v>21.13</v>
      </c>
      <c r="BV45" s="35">
        <f t="shared" si="22"/>
        <v>28.13</v>
      </c>
      <c r="BW45" s="35">
        <f t="shared" si="23"/>
        <v>7</v>
      </c>
      <c r="BX45" s="36">
        <f t="shared" si="24"/>
        <v>29.31329479768786</v>
      </c>
      <c r="BY45" s="36">
        <f t="shared" si="25"/>
        <v>39.024277456647397</v>
      </c>
      <c r="BZ45" s="36">
        <f t="shared" si="26"/>
        <v>9.7109826589595372</v>
      </c>
      <c r="CA45" s="31">
        <v>14</v>
      </c>
      <c r="CB45" s="31">
        <v>25</v>
      </c>
    </row>
    <row r="46" spans="1:80" x14ac:dyDescent="0.4">
      <c r="A46" s="11" t="s">
        <v>53</v>
      </c>
      <c r="B46" s="11" t="s">
        <v>261</v>
      </c>
      <c r="C46" s="11" t="s">
        <v>216</v>
      </c>
      <c r="D46" s="25">
        <v>12</v>
      </c>
      <c r="E46" s="25">
        <v>6</v>
      </c>
      <c r="F46" s="25">
        <v>25</v>
      </c>
      <c r="G46" s="16">
        <v>4620</v>
      </c>
      <c r="H46" s="16">
        <v>33</v>
      </c>
      <c r="I46" s="17">
        <f t="shared" si="0"/>
        <v>2.75</v>
      </c>
      <c r="J46" s="15">
        <v>10</v>
      </c>
      <c r="K46" s="15">
        <v>24</v>
      </c>
      <c r="L46" s="17">
        <f t="shared" si="1"/>
        <v>0.83333333333333337</v>
      </c>
      <c r="M46" s="17">
        <f t="shared" si="2"/>
        <v>2</v>
      </c>
      <c r="N46" s="18">
        <f t="shared" si="3"/>
        <v>0.41666666666666669</v>
      </c>
      <c r="O46" s="16">
        <v>3</v>
      </c>
      <c r="P46" s="15">
        <v>7</v>
      </c>
      <c r="Q46" s="17">
        <f t="shared" si="4"/>
        <v>0.25</v>
      </c>
      <c r="R46" s="17">
        <f t="shared" si="5"/>
        <v>0.58333333333333337</v>
      </c>
      <c r="S46" s="18">
        <f t="shared" si="6"/>
        <v>0.42857142857142855</v>
      </c>
      <c r="T46" s="15">
        <v>7</v>
      </c>
      <c r="U46" s="15">
        <v>17</v>
      </c>
      <c r="V46" s="17">
        <f t="shared" si="7"/>
        <v>0.58333333333333337</v>
      </c>
      <c r="W46" s="17">
        <f t="shared" si="8"/>
        <v>1.4166666666666667</v>
      </c>
      <c r="X46" s="18">
        <f t="shared" si="9"/>
        <v>0.41176470588235292</v>
      </c>
      <c r="Y46" s="15">
        <v>6</v>
      </c>
      <c r="Z46" s="15">
        <v>7</v>
      </c>
      <c r="AA46" s="17">
        <f t="shared" si="10"/>
        <v>0.5</v>
      </c>
      <c r="AB46" s="17">
        <f t="shared" si="11"/>
        <v>0.58333333333333337</v>
      </c>
      <c r="AC46" s="18">
        <f t="shared" si="12"/>
        <v>0.8571428571428571</v>
      </c>
      <c r="AD46" s="15">
        <v>8</v>
      </c>
      <c r="AE46" s="17">
        <f t="shared" si="13"/>
        <v>0.66666666666666663</v>
      </c>
      <c r="AF46" s="15">
        <v>1</v>
      </c>
      <c r="AG46" s="17">
        <f t="shared" si="14"/>
        <v>8.3333333333333329E-2</v>
      </c>
      <c r="AH46" s="15">
        <v>7</v>
      </c>
      <c r="AI46" s="17">
        <f t="shared" si="15"/>
        <v>0.58333333333333337</v>
      </c>
      <c r="AJ46" s="15">
        <v>3</v>
      </c>
      <c r="AK46" s="17">
        <f t="shared" si="16"/>
        <v>0.25</v>
      </c>
      <c r="AL46" s="15">
        <v>3</v>
      </c>
      <c r="AM46" s="17">
        <f t="shared" si="17"/>
        <v>0.25</v>
      </c>
      <c r="AN46" s="15">
        <v>0</v>
      </c>
      <c r="AO46" s="17">
        <f t="shared" si="18"/>
        <v>0</v>
      </c>
      <c r="AP46" s="4">
        <v>2</v>
      </c>
      <c r="AQ46" s="17">
        <f t="shared" si="19"/>
        <v>0.16666666666666666</v>
      </c>
      <c r="AR46" s="15">
        <v>13</v>
      </c>
      <c r="AS46" s="17">
        <f t="shared" si="20"/>
        <v>1.0833333333333333</v>
      </c>
      <c r="AT46" s="19">
        <v>0.1555655324379332</v>
      </c>
      <c r="AU46" s="19">
        <v>8.0813263604121152E-2</v>
      </c>
      <c r="AV46" s="19">
        <v>0.13669598255423551</v>
      </c>
      <c r="AW46" s="19">
        <v>1.8869549883697673E-2</v>
      </c>
      <c r="AX46" s="19">
        <v>122.77714011453678</v>
      </c>
      <c r="AY46" s="19">
        <v>117.1030884430111</v>
      </c>
      <c r="AZ46" s="19">
        <v>1.8413440640626826</v>
      </c>
      <c r="BA46" s="19">
        <v>2.5</v>
      </c>
      <c r="BB46" s="19">
        <v>15.584415584415584</v>
      </c>
      <c r="BC46" s="18">
        <v>0.60930576070901032</v>
      </c>
      <c r="BD46" s="18">
        <v>0.5625</v>
      </c>
      <c r="BE46" s="19">
        <v>3.9354516459685929</v>
      </c>
      <c r="BF46" s="18">
        <v>0.70833333333333337</v>
      </c>
      <c r="BG46" s="18">
        <v>0.29166666666666669</v>
      </c>
      <c r="BH46" s="19">
        <v>0.31420192710515293</v>
      </c>
      <c r="BI46" s="19">
        <v>2.1994134897360706</v>
      </c>
      <c r="BJ46" s="19">
        <v>1.228933707987429</v>
      </c>
      <c r="BK46" s="19">
        <v>1.1560693641618498</v>
      </c>
      <c r="BL46" s="19">
        <v>2.1515046204820365</v>
      </c>
      <c r="BM46" s="19">
        <v>0</v>
      </c>
      <c r="BN46" s="19">
        <v>6.8775790921595599</v>
      </c>
      <c r="BO46" s="20" t="s">
        <v>257</v>
      </c>
      <c r="BP46" s="21">
        <v>32500</v>
      </c>
      <c r="BQ46" s="31" t="s">
        <v>306</v>
      </c>
      <c r="BR46" s="31">
        <v>52.93</v>
      </c>
      <c r="BS46" s="31">
        <v>69.73</v>
      </c>
      <c r="BT46" s="31">
        <v>16.8</v>
      </c>
      <c r="BU46" s="35">
        <f t="shared" si="21"/>
        <v>4.4108333333333336</v>
      </c>
      <c r="BV46" s="35">
        <f t="shared" si="22"/>
        <v>5.810833333333334</v>
      </c>
      <c r="BW46" s="35">
        <f t="shared" si="23"/>
        <v>1.4000000000000001</v>
      </c>
      <c r="BX46" s="36">
        <f t="shared" si="24"/>
        <v>27.496103896103897</v>
      </c>
      <c r="BY46" s="36">
        <f t="shared" si="25"/>
        <v>36.223376623376623</v>
      </c>
      <c r="BZ46" s="36">
        <f t="shared" si="26"/>
        <v>8.7272727272727266</v>
      </c>
      <c r="CA46" s="31">
        <v>4</v>
      </c>
      <c r="CB46" s="31">
        <v>8</v>
      </c>
    </row>
    <row r="47" spans="1:80" x14ac:dyDescent="0.4">
      <c r="A47" s="11" t="s">
        <v>53</v>
      </c>
      <c r="B47" s="11" t="s">
        <v>261</v>
      </c>
      <c r="C47" s="11" t="s">
        <v>217</v>
      </c>
      <c r="D47" s="25">
        <v>6</v>
      </c>
      <c r="E47" s="25">
        <v>8</v>
      </c>
      <c r="F47" s="25">
        <v>32</v>
      </c>
      <c r="G47" s="16">
        <v>3072</v>
      </c>
      <c r="H47" s="16">
        <v>4</v>
      </c>
      <c r="I47" s="17">
        <f t="shared" si="0"/>
        <v>0.66666666666666663</v>
      </c>
      <c r="J47" s="15">
        <v>1</v>
      </c>
      <c r="K47" s="15">
        <v>13</v>
      </c>
      <c r="L47" s="17">
        <f t="shared" si="1"/>
        <v>0.16666666666666666</v>
      </c>
      <c r="M47" s="17">
        <f t="shared" si="2"/>
        <v>2.1666666666666665</v>
      </c>
      <c r="N47" s="18">
        <f t="shared" si="3"/>
        <v>7.6923076923076927E-2</v>
      </c>
      <c r="O47" s="16">
        <v>1</v>
      </c>
      <c r="P47" s="15">
        <v>7</v>
      </c>
      <c r="Q47" s="17">
        <f t="shared" si="4"/>
        <v>0.16666666666666666</v>
      </c>
      <c r="R47" s="17">
        <f t="shared" si="5"/>
        <v>1.1666666666666667</v>
      </c>
      <c r="S47" s="18">
        <f t="shared" si="6"/>
        <v>0.14285714285714285</v>
      </c>
      <c r="T47" s="15">
        <v>0</v>
      </c>
      <c r="U47" s="15">
        <v>6</v>
      </c>
      <c r="V47" s="17">
        <f t="shared" si="7"/>
        <v>0</v>
      </c>
      <c r="W47" s="17">
        <f t="shared" si="8"/>
        <v>1</v>
      </c>
      <c r="X47" s="18">
        <f t="shared" si="9"/>
        <v>0</v>
      </c>
      <c r="Y47" s="15">
        <v>2</v>
      </c>
      <c r="Z47" s="15">
        <v>2</v>
      </c>
      <c r="AA47" s="17">
        <f t="shared" si="10"/>
        <v>0.33333333333333331</v>
      </c>
      <c r="AB47" s="17">
        <f t="shared" si="11"/>
        <v>0.33333333333333331</v>
      </c>
      <c r="AC47" s="18">
        <f t="shared" si="12"/>
        <v>1</v>
      </c>
      <c r="AD47" s="15">
        <v>5</v>
      </c>
      <c r="AE47" s="17">
        <f t="shared" si="13"/>
        <v>0.83333333333333337</v>
      </c>
      <c r="AF47" s="15">
        <v>1</v>
      </c>
      <c r="AG47" s="17">
        <f t="shared" si="14"/>
        <v>0.16666666666666666</v>
      </c>
      <c r="AH47" s="15">
        <v>4</v>
      </c>
      <c r="AI47" s="17">
        <f t="shared" si="15"/>
        <v>0.66666666666666663</v>
      </c>
      <c r="AJ47" s="15">
        <v>6</v>
      </c>
      <c r="AK47" s="17">
        <f t="shared" si="16"/>
        <v>1</v>
      </c>
      <c r="AL47" s="15">
        <v>1</v>
      </c>
      <c r="AM47" s="17">
        <f t="shared" si="17"/>
        <v>0.16666666666666666</v>
      </c>
      <c r="AN47" s="15">
        <v>0</v>
      </c>
      <c r="AO47" s="17">
        <f t="shared" si="18"/>
        <v>0</v>
      </c>
      <c r="AP47" s="4">
        <v>3</v>
      </c>
      <c r="AQ47" s="17">
        <f t="shared" si="19"/>
        <v>0.5</v>
      </c>
      <c r="AR47" s="15">
        <v>6</v>
      </c>
      <c r="AS47" s="17">
        <f t="shared" si="20"/>
        <v>1</v>
      </c>
      <c r="AT47" s="19">
        <v>-0.21783452493956615</v>
      </c>
      <c r="AU47" s="19">
        <v>-0.17018322260903604</v>
      </c>
      <c r="AV47" s="19">
        <v>-0.2145116587399179</v>
      </c>
      <c r="AW47" s="19">
        <v>-3.3228661996482561E-3</v>
      </c>
      <c r="AX47" s="19">
        <v>50.700915382766965</v>
      </c>
      <c r="AY47" s="19">
        <v>120.26482830415766</v>
      </c>
      <c r="AZ47" s="19">
        <v>-0.49335930458596611</v>
      </c>
      <c r="BA47" s="19">
        <v>0.16666666666666666</v>
      </c>
      <c r="BB47" s="19">
        <v>0.78125</v>
      </c>
      <c r="BC47" s="18">
        <v>0.14409221902017291</v>
      </c>
      <c r="BD47" s="18">
        <v>7.6923076923076927E-2</v>
      </c>
      <c r="BE47" s="19">
        <v>1.7177635749455096</v>
      </c>
      <c r="BF47" s="18">
        <v>0.46153846153846156</v>
      </c>
      <c r="BG47" s="18">
        <v>0.15384615384615385</v>
      </c>
      <c r="BH47" s="19">
        <v>0.23626512096774194</v>
      </c>
      <c r="BI47" s="19">
        <v>0.94506048387096775</v>
      </c>
      <c r="BJ47" s="19">
        <v>0.57756283883686543</v>
      </c>
      <c r="BK47" s="19">
        <v>1.6787912702853944</v>
      </c>
      <c r="BL47" s="19">
        <v>1.0785537485489376</v>
      </c>
      <c r="BM47" s="19">
        <v>0</v>
      </c>
      <c r="BN47" s="19">
        <v>17.772511848341228</v>
      </c>
      <c r="BO47" s="20" t="s">
        <v>257</v>
      </c>
      <c r="BP47" s="21"/>
      <c r="BQ47" s="30" t="s">
        <v>306</v>
      </c>
      <c r="BR47" s="30">
        <v>17.899999999999999</v>
      </c>
      <c r="BS47" s="30">
        <v>33.799999999999997</v>
      </c>
      <c r="BT47" s="30">
        <v>15.9</v>
      </c>
      <c r="BU47" s="35">
        <f t="shared" si="21"/>
        <v>2.9833333333333329</v>
      </c>
      <c r="BV47" s="35">
        <f t="shared" si="22"/>
        <v>5.6333333333333329</v>
      </c>
      <c r="BW47" s="35">
        <f t="shared" si="23"/>
        <v>2.65</v>
      </c>
      <c r="BX47" s="36">
        <f t="shared" si="24"/>
        <v>13.984375</v>
      </c>
      <c r="BY47" s="36">
        <f t="shared" si="25"/>
        <v>26.40625</v>
      </c>
      <c r="BZ47" s="36">
        <f t="shared" si="26"/>
        <v>12.421875</v>
      </c>
      <c r="CA47" s="31">
        <v>0</v>
      </c>
      <c r="CB47" s="31">
        <v>6</v>
      </c>
    </row>
    <row r="48" spans="1:80" x14ac:dyDescent="0.4">
      <c r="A48" s="11" t="s">
        <v>53</v>
      </c>
      <c r="B48" s="11" t="s">
        <v>261</v>
      </c>
      <c r="C48" s="11" t="s">
        <v>213</v>
      </c>
      <c r="D48" s="25">
        <v>29</v>
      </c>
      <c r="E48" s="25">
        <v>6</v>
      </c>
      <c r="F48" s="25">
        <v>47</v>
      </c>
      <c r="G48" s="16">
        <v>11803</v>
      </c>
      <c r="H48" s="16">
        <v>40</v>
      </c>
      <c r="I48" s="17">
        <f t="shared" si="0"/>
        <v>1.3793103448275863</v>
      </c>
      <c r="J48" s="15">
        <v>11</v>
      </c>
      <c r="K48" s="15">
        <v>48</v>
      </c>
      <c r="L48" s="17">
        <f t="shared" si="1"/>
        <v>0.37931034482758619</v>
      </c>
      <c r="M48" s="17">
        <f t="shared" si="2"/>
        <v>1.6551724137931034</v>
      </c>
      <c r="N48" s="18">
        <f t="shared" si="3"/>
        <v>0.22916666666666666</v>
      </c>
      <c r="O48" s="16">
        <v>4</v>
      </c>
      <c r="P48" s="15">
        <v>6</v>
      </c>
      <c r="Q48" s="17">
        <f t="shared" si="4"/>
        <v>0.13793103448275862</v>
      </c>
      <c r="R48" s="17">
        <f t="shared" si="5"/>
        <v>0.20689655172413793</v>
      </c>
      <c r="S48" s="18">
        <f t="shared" si="6"/>
        <v>0.66666666666666663</v>
      </c>
      <c r="T48" s="15">
        <v>7</v>
      </c>
      <c r="U48" s="15">
        <v>42</v>
      </c>
      <c r="V48" s="17">
        <f t="shared" si="7"/>
        <v>0.2413793103448276</v>
      </c>
      <c r="W48" s="17">
        <f t="shared" si="8"/>
        <v>1.4482758620689655</v>
      </c>
      <c r="X48" s="18">
        <f t="shared" si="9"/>
        <v>0.16666666666666666</v>
      </c>
      <c r="Y48" s="15">
        <v>11</v>
      </c>
      <c r="Z48" s="15">
        <v>13</v>
      </c>
      <c r="AA48" s="17">
        <f t="shared" si="10"/>
        <v>0.37931034482758619</v>
      </c>
      <c r="AB48" s="17">
        <f t="shared" si="11"/>
        <v>0.44827586206896552</v>
      </c>
      <c r="AC48" s="18">
        <f t="shared" si="12"/>
        <v>0.84615384615384615</v>
      </c>
      <c r="AD48" s="15">
        <v>12</v>
      </c>
      <c r="AE48" s="17">
        <f t="shared" si="13"/>
        <v>0.41379310344827586</v>
      </c>
      <c r="AF48" s="15">
        <v>7</v>
      </c>
      <c r="AG48" s="17">
        <f t="shared" si="14"/>
        <v>0.2413793103448276</v>
      </c>
      <c r="AH48" s="15">
        <v>5</v>
      </c>
      <c r="AI48" s="17">
        <f t="shared" si="15"/>
        <v>0.17241379310344829</v>
      </c>
      <c r="AJ48" s="15">
        <v>8</v>
      </c>
      <c r="AK48" s="17">
        <f t="shared" si="16"/>
        <v>0.27586206896551724</v>
      </c>
      <c r="AL48" s="15">
        <v>4</v>
      </c>
      <c r="AM48" s="17">
        <f t="shared" si="17"/>
        <v>0.13793103448275862</v>
      </c>
      <c r="AN48" s="15">
        <v>0</v>
      </c>
      <c r="AO48" s="17">
        <f t="shared" si="18"/>
        <v>0</v>
      </c>
      <c r="AP48" s="4">
        <v>11</v>
      </c>
      <c r="AQ48" s="17">
        <f t="shared" si="19"/>
        <v>0.37931034482758619</v>
      </c>
      <c r="AR48" s="15">
        <v>26</v>
      </c>
      <c r="AS48" s="17">
        <f t="shared" si="20"/>
        <v>0.89655172413793105</v>
      </c>
      <c r="AT48" s="19">
        <v>-0.4253077948608881</v>
      </c>
      <c r="AU48" s="19">
        <v>-8.6481293541144755E-2</v>
      </c>
      <c r="AV48" s="19">
        <v>-0.36897927263587255</v>
      </c>
      <c r="AW48" s="19">
        <v>-5.6328522225015526E-2</v>
      </c>
      <c r="AX48" s="19">
        <v>78.159445443165311</v>
      </c>
      <c r="AY48" s="19">
        <v>122.523668128087</v>
      </c>
      <c r="AZ48" s="19">
        <v>-0.63232346599753719</v>
      </c>
      <c r="BA48" s="19">
        <v>0.48275862068965519</v>
      </c>
      <c r="BB48" s="19">
        <v>2.8467338812166396</v>
      </c>
      <c r="BC48" s="18">
        <v>0.37230081906180196</v>
      </c>
      <c r="BD48" s="18">
        <v>0.30208333333333331</v>
      </c>
      <c r="BE48" s="19">
        <v>8.2852383624373172</v>
      </c>
      <c r="BF48" s="18">
        <v>0.875</v>
      </c>
      <c r="BG48" s="18">
        <v>0.27083333333333331</v>
      </c>
      <c r="BH48" s="19">
        <v>2.0805262740746611</v>
      </c>
      <c r="BI48" s="19">
        <v>1.4860901957676151</v>
      </c>
      <c r="BJ48" s="19">
        <v>1.7437572883605412</v>
      </c>
      <c r="BK48" s="19">
        <v>2.9207740051113547</v>
      </c>
      <c r="BL48" s="19">
        <v>1.122872868098733</v>
      </c>
      <c r="BM48" s="19">
        <v>0</v>
      </c>
      <c r="BN48" s="19">
        <v>16.996291718170582</v>
      </c>
      <c r="BO48" s="20" t="s">
        <v>257</v>
      </c>
      <c r="BP48" s="21"/>
      <c r="BQ48" s="30" t="s">
        <v>306</v>
      </c>
      <c r="BR48" s="30">
        <v>76.61</v>
      </c>
      <c r="BS48" s="30">
        <v>128.21</v>
      </c>
      <c r="BT48" s="30">
        <v>51.6</v>
      </c>
      <c r="BU48" s="35">
        <f t="shared" si="21"/>
        <v>2.641724137931035</v>
      </c>
      <c r="BV48" s="35">
        <f t="shared" si="22"/>
        <v>4.4210344827586212</v>
      </c>
      <c r="BW48" s="35">
        <f t="shared" si="23"/>
        <v>1.7793103448275862</v>
      </c>
      <c r="BX48" s="36">
        <f t="shared" si="24"/>
        <v>15.577734474286197</v>
      </c>
      <c r="BY48" s="36">
        <f t="shared" si="25"/>
        <v>26.069982207913242</v>
      </c>
      <c r="BZ48" s="36">
        <f t="shared" si="26"/>
        <v>10.492247733627044</v>
      </c>
      <c r="CA48" s="30">
        <v>12</v>
      </c>
      <c r="CB48" s="30">
        <v>17</v>
      </c>
    </row>
    <row r="49" spans="1:80" x14ac:dyDescent="0.4">
      <c r="A49" s="11" t="s">
        <v>53</v>
      </c>
      <c r="B49" s="11" t="s">
        <v>261</v>
      </c>
      <c r="C49" s="11" t="s">
        <v>202</v>
      </c>
      <c r="D49" s="26">
        <v>45</v>
      </c>
      <c r="E49" s="26">
        <v>24</v>
      </c>
      <c r="F49" s="26">
        <v>21</v>
      </c>
      <c r="G49" s="16">
        <v>65745</v>
      </c>
      <c r="H49" s="16">
        <v>228</v>
      </c>
      <c r="I49" s="17">
        <f t="shared" si="0"/>
        <v>5.0666666666666664</v>
      </c>
      <c r="J49" s="15">
        <v>75</v>
      </c>
      <c r="K49" s="15">
        <v>176</v>
      </c>
      <c r="L49" s="17">
        <f t="shared" si="1"/>
        <v>1.6666666666666667</v>
      </c>
      <c r="M49" s="17">
        <f t="shared" si="2"/>
        <v>3.911111111111111</v>
      </c>
      <c r="N49" s="18">
        <f t="shared" si="3"/>
        <v>0.42613636363636365</v>
      </c>
      <c r="O49" s="16">
        <v>31</v>
      </c>
      <c r="P49" s="15">
        <v>57</v>
      </c>
      <c r="Q49" s="17">
        <f t="shared" si="4"/>
        <v>0.68888888888888888</v>
      </c>
      <c r="R49" s="17">
        <f t="shared" si="5"/>
        <v>1.2666666666666666</v>
      </c>
      <c r="S49" s="18">
        <f t="shared" si="6"/>
        <v>0.54385964912280704</v>
      </c>
      <c r="T49" s="15">
        <v>44</v>
      </c>
      <c r="U49" s="15">
        <v>119</v>
      </c>
      <c r="V49" s="17">
        <f t="shared" si="7"/>
        <v>0.97777777777777775</v>
      </c>
      <c r="W49" s="17">
        <f t="shared" si="8"/>
        <v>2.6444444444444444</v>
      </c>
      <c r="X49" s="18">
        <f t="shared" si="9"/>
        <v>0.36974789915966388</v>
      </c>
      <c r="Y49" s="9">
        <v>34</v>
      </c>
      <c r="Z49" s="9">
        <v>44</v>
      </c>
      <c r="AA49" s="17">
        <f t="shared" si="10"/>
        <v>0.75555555555555554</v>
      </c>
      <c r="AB49" s="17">
        <f t="shared" si="11"/>
        <v>0.97777777777777775</v>
      </c>
      <c r="AC49" s="18">
        <f t="shared" si="12"/>
        <v>0.77272727272727271</v>
      </c>
      <c r="AD49" s="15">
        <v>165</v>
      </c>
      <c r="AE49" s="17">
        <f t="shared" si="13"/>
        <v>3.6666666666666665</v>
      </c>
      <c r="AF49" s="15">
        <v>67</v>
      </c>
      <c r="AG49" s="17">
        <f t="shared" si="14"/>
        <v>1.4888888888888889</v>
      </c>
      <c r="AH49" s="15">
        <v>98</v>
      </c>
      <c r="AI49" s="17">
        <f t="shared" si="15"/>
        <v>2.1777777777777776</v>
      </c>
      <c r="AJ49" s="15">
        <v>84</v>
      </c>
      <c r="AK49" s="17">
        <f t="shared" si="16"/>
        <v>1.8666666666666667</v>
      </c>
      <c r="AL49" s="15">
        <v>25</v>
      </c>
      <c r="AM49" s="17">
        <f t="shared" si="17"/>
        <v>0.55555555555555558</v>
      </c>
      <c r="AN49" s="7">
        <v>7</v>
      </c>
      <c r="AO49" s="17">
        <f t="shared" si="18"/>
        <v>0.15555555555555556</v>
      </c>
      <c r="AP49" s="6">
        <v>47</v>
      </c>
      <c r="AQ49" s="17">
        <f t="shared" si="19"/>
        <v>1.0444444444444445</v>
      </c>
      <c r="AR49" s="15">
        <v>118</v>
      </c>
      <c r="AS49" s="17">
        <f t="shared" si="20"/>
        <v>2.6222222222222222</v>
      </c>
      <c r="AT49" s="19">
        <v>1.0304880198367312</v>
      </c>
      <c r="AU49" s="19">
        <v>3.7617632483202601E-2</v>
      </c>
      <c r="AV49" s="19">
        <v>0.96766748940998804</v>
      </c>
      <c r="AW49" s="19">
        <v>6.2820530426743237E-2</v>
      </c>
      <c r="AX49" s="19">
        <v>116.56166536853301</v>
      </c>
      <c r="AY49" s="19">
        <v>119.01801098669263</v>
      </c>
      <c r="AZ49" s="19">
        <v>5.1128510975810029</v>
      </c>
      <c r="BA49" s="19">
        <v>7.8</v>
      </c>
      <c r="BB49" s="19">
        <v>12.813141683778234</v>
      </c>
      <c r="BC49" s="18">
        <v>0.58353808353808345</v>
      </c>
      <c r="BD49" s="18">
        <v>0.55113636363636365</v>
      </c>
      <c r="BE49" s="19">
        <v>8.6431417556379913</v>
      </c>
      <c r="BF49" s="18">
        <v>0.67613636363636365</v>
      </c>
      <c r="BG49" s="18">
        <v>0.25</v>
      </c>
      <c r="BH49" s="19">
        <v>5.5474597602172615</v>
      </c>
      <c r="BI49" s="19">
        <v>8.1141948731536075</v>
      </c>
      <c r="BJ49" s="19">
        <v>6.6793304072468711</v>
      </c>
      <c r="BK49" s="19">
        <v>8.8635644191199745</v>
      </c>
      <c r="BL49" s="19">
        <v>1.2599122045563678</v>
      </c>
      <c r="BM49" s="19">
        <v>0.5421486707192279</v>
      </c>
      <c r="BN49" s="19">
        <v>19.392639049348077</v>
      </c>
      <c r="BO49" s="20" t="s">
        <v>257</v>
      </c>
      <c r="BP49" s="21"/>
      <c r="BQ49" s="30" t="s">
        <v>305</v>
      </c>
      <c r="BR49" s="30">
        <v>695.47</v>
      </c>
      <c r="BS49" s="30">
        <v>867.47</v>
      </c>
      <c r="BT49" s="30">
        <v>172</v>
      </c>
      <c r="BU49" s="35">
        <f t="shared" si="21"/>
        <v>15.454888888888888</v>
      </c>
      <c r="BV49" s="35">
        <f t="shared" si="22"/>
        <v>19.277111111111111</v>
      </c>
      <c r="BW49" s="35">
        <f t="shared" si="23"/>
        <v>3.8222222222222224</v>
      </c>
      <c r="BX49" s="36">
        <f t="shared" si="24"/>
        <v>25.387907825690167</v>
      </c>
      <c r="BY49" s="36">
        <f t="shared" si="25"/>
        <v>31.666712297513119</v>
      </c>
      <c r="BZ49" s="36">
        <f t="shared" si="26"/>
        <v>6.2788044718229523</v>
      </c>
      <c r="CA49" s="30">
        <v>19</v>
      </c>
      <c r="CB49" s="30">
        <v>26</v>
      </c>
    </row>
    <row r="50" spans="1:80" x14ac:dyDescent="0.4">
      <c r="A50" s="11" t="s">
        <v>53</v>
      </c>
      <c r="B50" s="11" t="s">
        <v>261</v>
      </c>
      <c r="C50" s="11" t="s">
        <v>218</v>
      </c>
      <c r="D50" s="25">
        <v>6</v>
      </c>
      <c r="E50" s="25">
        <v>2</v>
      </c>
      <c r="F50" s="25">
        <v>25</v>
      </c>
      <c r="G50" s="16">
        <v>870</v>
      </c>
      <c r="H50" s="16">
        <v>2</v>
      </c>
      <c r="I50" s="17">
        <f t="shared" si="0"/>
        <v>0.33333333333333331</v>
      </c>
      <c r="J50" s="15">
        <v>1</v>
      </c>
      <c r="K50" s="15">
        <v>3</v>
      </c>
      <c r="L50" s="17">
        <f t="shared" si="1"/>
        <v>0.16666666666666666</v>
      </c>
      <c r="M50" s="17">
        <f t="shared" si="2"/>
        <v>0.5</v>
      </c>
      <c r="N50" s="18">
        <f t="shared" si="3"/>
        <v>0.33333333333333331</v>
      </c>
      <c r="O50" s="16">
        <v>1</v>
      </c>
      <c r="P50" s="15">
        <v>3</v>
      </c>
      <c r="Q50" s="17">
        <f t="shared" si="4"/>
        <v>0.16666666666666666</v>
      </c>
      <c r="R50" s="17">
        <f t="shared" si="5"/>
        <v>0.5</v>
      </c>
      <c r="S50" s="18">
        <f t="shared" si="6"/>
        <v>0.33333333333333331</v>
      </c>
      <c r="T50" s="15">
        <v>0</v>
      </c>
      <c r="U50" s="15">
        <v>0</v>
      </c>
      <c r="V50" s="17">
        <f t="shared" si="7"/>
        <v>0</v>
      </c>
      <c r="W50" s="17">
        <f t="shared" si="8"/>
        <v>0</v>
      </c>
      <c r="X50" s="18" t="e">
        <f t="shared" si="9"/>
        <v>#DIV/0!</v>
      </c>
      <c r="Y50" s="15">
        <v>0</v>
      </c>
      <c r="Z50" s="15">
        <v>0</v>
      </c>
      <c r="AA50" s="17">
        <f t="shared" si="10"/>
        <v>0</v>
      </c>
      <c r="AB50" s="17">
        <f t="shared" si="11"/>
        <v>0</v>
      </c>
      <c r="AC50" s="18" t="e">
        <f t="shared" si="12"/>
        <v>#DIV/0!</v>
      </c>
      <c r="AD50" s="15">
        <v>6</v>
      </c>
      <c r="AE50" s="17">
        <f t="shared" si="13"/>
        <v>1</v>
      </c>
      <c r="AF50" s="15">
        <v>1</v>
      </c>
      <c r="AG50" s="17">
        <f t="shared" si="14"/>
        <v>0.16666666666666666</v>
      </c>
      <c r="AH50" s="15">
        <v>5</v>
      </c>
      <c r="AI50" s="17">
        <f t="shared" si="15"/>
        <v>0.83333333333333337</v>
      </c>
      <c r="AJ50" s="15">
        <v>0</v>
      </c>
      <c r="AK50" s="17">
        <f t="shared" si="16"/>
        <v>0</v>
      </c>
      <c r="AL50" s="15">
        <v>1</v>
      </c>
      <c r="AM50" s="17">
        <f t="shared" si="17"/>
        <v>0.16666666666666666</v>
      </c>
      <c r="AN50" s="15">
        <v>0</v>
      </c>
      <c r="AO50" s="17">
        <f t="shared" si="18"/>
        <v>0</v>
      </c>
      <c r="AP50" s="4">
        <v>0</v>
      </c>
      <c r="AQ50" s="17">
        <f t="shared" si="19"/>
        <v>0</v>
      </c>
      <c r="AR50" s="15">
        <v>1</v>
      </c>
      <c r="AS50" s="17">
        <f t="shared" si="20"/>
        <v>0.16666666666666666</v>
      </c>
      <c r="AT50" s="19">
        <v>1.6054440122512129E-2</v>
      </c>
      <c r="AU50" s="19">
        <v>4.4288110682792078E-2</v>
      </c>
      <c r="AV50" s="19">
        <v>-8.9319814714824124E-3</v>
      </c>
      <c r="AW50" s="19">
        <v>2.4986421593994539E-2</v>
      </c>
      <c r="AX50" s="19">
        <v>89.482936674962119</v>
      </c>
      <c r="AY50" s="19">
        <v>102.02527343476282</v>
      </c>
      <c r="AZ50" s="19">
        <v>0.93801123638753769</v>
      </c>
      <c r="BA50" s="19">
        <v>1.1666666666666667</v>
      </c>
      <c r="BB50" s="19">
        <v>19.310344827586206</v>
      </c>
      <c r="BC50" s="18">
        <v>0.33333333333333331</v>
      </c>
      <c r="BD50" s="18">
        <v>0.33333333333333331</v>
      </c>
      <c r="BE50" s="19">
        <v>1.0779885811065135</v>
      </c>
      <c r="BF50" s="18">
        <v>0</v>
      </c>
      <c r="BG50" s="18">
        <v>0</v>
      </c>
      <c r="BH50" s="19">
        <v>0.83426028921023354</v>
      </c>
      <c r="BI50" s="19">
        <v>4.1713014460511673</v>
      </c>
      <c r="BJ50" s="19">
        <v>2.4472731598715183</v>
      </c>
      <c r="BK50" s="19">
        <v>0</v>
      </c>
      <c r="BL50" s="19">
        <v>3.8084104776348688</v>
      </c>
      <c r="BM50" s="19">
        <v>0</v>
      </c>
      <c r="BN50" s="19">
        <v>0</v>
      </c>
      <c r="BO50" s="20" t="s">
        <v>257</v>
      </c>
      <c r="BP50" s="21"/>
      <c r="BQ50" s="30" t="s">
        <v>307</v>
      </c>
      <c r="BR50" s="30">
        <v>11.13</v>
      </c>
      <c r="BS50" s="30">
        <v>13.13</v>
      </c>
      <c r="BT50" s="30">
        <v>2</v>
      </c>
      <c r="BU50" s="35">
        <f t="shared" si="21"/>
        <v>1.8550000000000002</v>
      </c>
      <c r="BV50" s="35">
        <f t="shared" si="22"/>
        <v>2.1883333333333335</v>
      </c>
      <c r="BW50" s="35">
        <f t="shared" si="23"/>
        <v>0.33333333333333331</v>
      </c>
      <c r="BX50" s="36">
        <f t="shared" si="24"/>
        <v>30.703448275862076</v>
      </c>
      <c r="BY50" s="36">
        <f t="shared" si="25"/>
        <v>36.220689655172421</v>
      </c>
      <c r="BZ50" s="36">
        <f t="shared" si="26"/>
        <v>5.5172413793103452</v>
      </c>
      <c r="CA50" s="30">
        <v>0</v>
      </c>
      <c r="CB50" s="30">
        <v>6</v>
      </c>
    </row>
    <row r="51" spans="1:80" x14ac:dyDescent="0.4">
      <c r="A51" s="11" t="s">
        <v>53</v>
      </c>
      <c r="B51" s="11" t="s">
        <v>262</v>
      </c>
      <c r="C51" s="11" t="s">
        <v>98</v>
      </c>
      <c r="D51" s="25">
        <v>20</v>
      </c>
      <c r="E51" s="25">
        <v>9</v>
      </c>
      <c r="F51" s="25">
        <v>25</v>
      </c>
      <c r="G51" s="16">
        <v>11300</v>
      </c>
      <c r="H51" s="16">
        <v>95</v>
      </c>
      <c r="I51" s="17">
        <f t="shared" si="0"/>
        <v>4.75</v>
      </c>
      <c r="J51" s="15">
        <v>32</v>
      </c>
      <c r="K51" s="15">
        <v>64</v>
      </c>
      <c r="L51" s="17">
        <f t="shared" si="1"/>
        <v>1.6</v>
      </c>
      <c r="M51" s="17">
        <f t="shared" si="2"/>
        <v>3.2</v>
      </c>
      <c r="N51" s="18">
        <f t="shared" si="3"/>
        <v>0.5</v>
      </c>
      <c r="O51" s="16">
        <v>12</v>
      </c>
      <c r="P51" s="15">
        <v>21</v>
      </c>
      <c r="Q51" s="17">
        <f t="shared" si="4"/>
        <v>0.6</v>
      </c>
      <c r="R51" s="17">
        <f t="shared" si="5"/>
        <v>1.05</v>
      </c>
      <c r="S51" s="18">
        <f t="shared" si="6"/>
        <v>0.5714285714285714</v>
      </c>
      <c r="T51" s="15">
        <v>20</v>
      </c>
      <c r="U51" s="15">
        <v>43</v>
      </c>
      <c r="V51" s="17">
        <f t="shared" si="7"/>
        <v>1</v>
      </c>
      <c r="W51" s="17">
        <f t="shared" si="8"/>
        <v>2.15</v>
      </c>
      <c r="X51" s="18">
        <f t="shared" si="9"/>
        <v>0.46511627906976744</v>
      </c>
      <c r="Y51" s="15">
        <v>11</v>
      </c>
      <c r="Z51" s="15">
        <v>13</v>
      </c>
      <c r="AA51" s="17">
        <f t="shared" si="10"/>
        <v>0.55000000000000004</v>
      </c>
      <c r="AB51" s="17">
        <f t="shared" si="11"/>
        <v>0.65</v>
      </c>
      <c r="AC51" s="18">
        <f t="shared" si="12"/>
        <v>0.84615384615384615</v>
      </c>
      <c r="AD51" s="15">
        <v>49</v>
      </c>
      <c r="AE51" s="17">
        <f t="shared" si="13"/>
        <v>2.4500000000000002</v>
      </c>
      <c r="AF51" s="15">
        <v>16</v>
      </c>
      <c r="AG51" s="17">
        <f t="shared" si="14"/>
        <v>0.8</v>
      </c>
      <c r="AH51" s="15">
        <v>33</v>
      </c>
      <c r="AI51" s="17">
        <f t="shared" si="15"/>
        <v>1.65</v>
      </c>
      <c r="AJ51" s="15">
        <v>2</v>
      </c>
      <c r="AK51" s="17">
        <f t="shared" si="16"/>
        <v>0.1</v>
      </c>
      <c r="AL51" s="15">
        <v>2</v>
      </c>
      <c r="AM51" s="17">
        <f t="shared" si="17"/>
        <v>0.1</v>
      </c>
      <c r="AN51" s="15">
        <v>0</v>
      </c>
      <c r="AO51" s="17">
        <f t="shared" si="18"/>
        <v>0</v>
      </c>
      <c r="AP51" s="4">
        <v>7</v>
      </c>
      <c r="AQ51" s="17">
        <f t="shared" si="19"/>
        <v>0.35</v>
      </c>
      <c r="AR51" s="15">
        <v>28</v>
      </c>
      <c r="AS51" s="17">
        <f t="shared" si="20"/>
        <v>1.4</v>
      </c>
      <c r="AT51" s="19">
        <v>0.65287007020559951</v>
      </c>
      <c r="AU51" s="19">
        <v>0.13866266977818043</v>
      </c>
      <c r="AV51" s="19">
        <v>0.57568398657561637</v>
      </c>
      <c r="AW51" s="19">
        <v>7.718608362998311E-2</v>
      </c>
      <c r="AX51" s="19">
        <v>129.147247219913</v>
      </c>
      <c r="AY51" s="19">
        <v>116.3876198742837</v>
      </c>
      <c r="AZ51" s="19">
        <v>5.5463050524845068</v>
      </c>
      <c r="BA51" s="19">
        <v>5.35</v>
      </c>
      <c r="BB51" s="19">
        <v>22.725663716814157</v>
      </c>
      <c r="BC51" s="18">
        <v>0.68129661503155481</v>
      </c>
      <c r="BD51" s="18">
        <v>0.65625</v>
      </c>
      <c r="BE51" s="19">
        <v>7.0749121956703824</v>
      </c>
      <c r="BF51" s="18">
        <v>0.671875</v>
      </c>
      <c r="BG51" s="18">
        <v>0.203125</v>
      </c>
      <c r="BH51" s="19">
        <v>3.4256351698544103</v>
      </c>
      <c r="BI51" s="19">
        <v>7.0653725378247216</v>
      </c>
      <c r="BJ51" s="19">
        <v>5.1291669029165599</v>
      </c>
      <c r="BK51" s="19">
        <v>0.55020632737276476</v>
      </c>
      <c r="BL51" s="19">
        <v>0.58642780806059047</v>
      </c>
      <c r="BM51" s="19">
        <v>0</v>
      </c>
      <c r="BN51" s="19">
        <v>9.1240875912408761</v>
      </c>
      <c r="BO51" s="20" t="s">
        <v>257</v>
      </c>
      <c r="BP51" s="21"/>
      <c r="BQ51" s="30" t="s">
        <v>305</v>
      </c>
      <c r="BR51" s="30">
        <v>169.81</v>
      </c>
      <c r="BS51" s="30">
        <v>211.61</v>
      </c>
      <c r="BT51" s="30">
        <v>41.8</v>
      </c>
      <c r="BU51" s="35">
        <f t="shared" si="21"/>
        <v>8.4905000000000008</v>
      </c>
      <c r="BV51" s="35">
        <f t="shared" si="22"/>
        <v>10.580500000000001</v>
      </c>
      <c r="BW51" s="35">
        <f t="shared" si="23"/>
        <v>2.09</v>
      </c>
      <c r="BX51" s="36">
        <f t="shared" si="24"/>
        <v>36.065840707964604</v>
      </c>
      <c r="BY51" s="36">
        <f t="shared" si="25"/>
        <v>44.943716814159295</v>
      </c>
      <c r="BZ51" s="36">
        <f t="shared" si="26"/>
        <v>8.8778761061946909</v>
      </c>
      <c r="CA51" s="31">
        <v>12</v>
      </c>
      <c r="CB51" s="31">
        <v>8</v>
      </c>
    </row>
    <row r="52" spans="1:80" x14ac:dyDescent="0.4">
      <c r="A52" s="11" t="s">
        <v>53</v>
      </c>
      <c r="B52" s="11" t="s">
        <v>262</v>
      </c>
      <c r="C52" s="11" t="s">
        <v>105</v>
      </c>
      <c r="D52" s="25">
        <v>15</v>
      </c>
      <c r="E52" s="25">
        <v>5</v>
      </c>
      <c r="F52" s="25">
        <v>55</v>
      </c>
      <c r="G52" s="16">
        <v>5325</v>
      </c>
      <c r="H52" s="16">
        <v>27</v>
      </c>
      <c r="I52" s="17">
        <f t="shared" si="0"/>
        <v>1.8</v>
      </c>
      <c r="J52" s="15">
        <v>9</v>
      </c>
      <c r="K52" s="15">
        <v>29</v>
      </c>
      <c r="L52" s="17">
        <f t="shared" si="1"/>
        <v>0.6</v>
      </c>
      <c r="M52" s="17">
        <f t="shared" si="2"/>
        <v>1.9333333333333333</v>
      </c>
      <c r="N52" s="18">
        <f t="shared" si="3"/>
        <v>0.31034482758620691</v>
      </c>
      <c r="O52" s="16">
        <v>3</v>
      </c>
      <c r="P52" s="15">
        <v>10</v>
      </c>
      <c r="Q52" s="17">
        <f t="shared" si="4"/>
        <v>0.2</v>
      </c>
      <c r="R52" s="17">
        <f t="shared" si="5"/>
        <v>0.66666666666666663</v>
      </c>
      <c r="S52" s="18">
        <f t="shared" si="6"/>
        <v>0.3</v>
      </c>
      <c r="T52" s="15">
        <v>6</v>
      </c>
      <c r="U52" s="15">
        <v>19</v>
      </c>
      <c r="V52" s="17">
        <f t="shared" si="7"/>
        <v>0.4</v>
      </c>
      <c r="W52" s="17">
        <f t="shared" si="8"/>
        <v>1.2666666666666666</v>
      </c>
      <c r="X52" s="18">
        <f t="shared" si="9"/>
        <v>0.31578947368421051</v>
      </c>
      <c r="Y52" s="15">
        <v>3</v>
      </c>
      <c r="Z52" s="15">
        <v>3</v>
      </c>
      <c r="AA52" s="17">
        <f t="shared" si="10"/>
        <v>0.2</v>
      </c>
      <c r="AB52" s="17">
        <f t="shared" si="11"/>
        <v>0.2</v>
      </c>
      <c r="AC52" s="18">
        <f t="shared" si="12"/>
        <v>1</v>
      </c>
      <c r="AD52" s="15">
        <v>8</v>
      </c>
      <c r="AE52" s="17">
        <f t="shared" si="13"/>
        <v>0.53333333333333333</v>
      </c>
      <c r="AF52" s="15">
        <v>1</v>
      </c>
      <c r="AG52" s="17">
        <f t="shared" si="14"/>
        <v>6.6666666666666666E-2</v>
      </c>
      <c r="AH52" s="15">
        <v>7</v>
      </c>
      <c r="AI52" s="17">
        <f t="shared" si="15"/>
        <v>0.46666666666666667</v>
      </c>
      <c r="AJ52" s="15">
        <v>3</v>
      </c>
      <c r="AK52" s="17">
        <f t="shared" si="16"/>
        <v>0.2</v>
      </c>
      <c r="AL52" s="15">
        <v>3</v>
      </c>
      <c r="AM52" s="17">
        <f t="shared" si="17"/>
        <v>0.2</v>
      </c>
      <c r="AN52" s="15">
        <v>0</v>
      </c>
      <c r="AO52" s="17">
        <f t="shared" si="18"/>
        <v>0</v>
      </c>
      <c r="AP52" s="4">
        <v>6</v>
      </c>
      <c r="AQ52" s="17">
        <f t="shared" si="19"/>
        <v>0.4</v>
      </c>
      <c r="AR52" s="15">
        <v>14</v>
      </c>
      <c r="AS52" s="17">
        <f t="shared" si="20"/>
        <v>0.93333333333333335</v>
      </c>
      <c r="AT52" s="19">
        <v>-0.17206512945486838</v>
      </c>
      <c r="AU52" s="19">
        <v>-7.7550480881067432E-2</v>
      </c>
      <c r="AV52" s="19">
        <v>-0.19573519109689774</v>
      </c>
      <c r="AW52" s="19">
        <v>2.3670061642029373E-2</v>
      </c>
      <c r="AX52" s="19">
        <v>82.249058334662038</v>
      </c>
      <c r="AY52" s="19">
        <v>117.51050339994488</v>
      </c>
      <c r="AZ52" s="19">
        <v>0.16883864877196741</v>
      </c>
      <c r="BA52" s="19">
        <v>1</v>
      </c>
      <c r="BB52" s="19">
        <v>6.76056338028169</v>
      </c>
      <c r="BC52" s="18">
        <v>0.44525065963060684</v>
      </c>
      <c r="BD52" s="18">
        <v>0.41379310344827586</v>
      </c>
      <c r="BE52" s="19">
        <v>5.3306282286754385</v>
      </c>
      <c r="BF52" s="18">
        <v>0.65517241379310343</v>
      </c>
      <c r="BG52" s="18">
        <v>0.10344827586206896</v>
      </c>
      <c r="BH52" s="19">
        <v>0.34075420263516581</v>
      </c>
      <c r="BI52" s="19">
        <v>2.385279418446161</v>
      </c>
      <c r="BJ52" s="19">
        <v>1.332787260775099</v>
      </c>
      <c r="BK52" s="19">
        <v>1.2526096033402923</v>
      </c>
      <c r="BL52" s="19">
        <v>1.8666575298830064</v>
      </c>
      <c r="BM52" s="19">
        <v>0</v>
      </c>
      <c r="BN52" s="19">
        <v>16.519823788546255</v>
      </c>
      <c r="BO52" s="20" t="s">
        <v>257</v>
      </c>
      <c r="BP52" s="21"/>
      <c r="BQ52" s="30" t="s">
        <v>306</v>
      </c>
      <c r="BR52" s="30">
        <v>38.97</v>
      </c>
      <c r="BS52" s="30">
        <v>66.67</v>
      </c>
      <c r="BT52" s="30">
        <v>27.7</v>
      </c>
      <c r="BU52" s="35">
        <f t="shared" si="21"/>
        <v>2.5979999999999999</v>
      </c>
      <c r="BV52" s="35">
        <f t="shared" si="22"/>
        <v>4.4446666666666665</v>
      </c>
      <c r="BW52" s="35">
        <f t="shared" si="23"/>
        <v>1.8466666666666667</v>
      </c>
      <c r="BX52" s="36">
        <f t="shared" si="24"/>
        <v>17.563943661971834</v>
      </c>
      <c r="BY52" s="36">
        <f t="shared" si="25"/>
        <v>30.048450704225353</v>
      </c>
      <c r="BZ52" s="36">
        <f t="shared" si="26"/>
        <v>12.48450704225352</v>
      </c>
      <c r="CA52" s="30">
        <v>6</v>
      </c>
      <c r="CB52" s="30">
        <v>9</v>
      </c>
    </row>
    <row r="53" spans="1:80" x14ac:dyDescent="0.4">
      <c r="A53" s="11" t="s">
        <v>53</v>
      </c>
      <c r="B53" s="11" t="s">
        <v>262</v>
      </c>
      <c r="C53" s="11" t="s">
        <v>91</v>
      </c>
      <c r="D53" s="26">
        <v>53</v>
      </c>
      <c r="E53" s="26">
        <v>21</v>
      </c>
      <c r="F53" s="26">
        <v>16</v>
      </c>
      <c r="G53" s="16">
        <v>67628</v>
      </c>
      <c r="H53" s="16">
        <v>829</v>
      </c>
      <c r="I53" s="17">
        <f t="shared" si="0"/>
        <v>15.641509433962264</v>
      </c>
      <c r="J53" s="15">
        <v>344</v>
      </c>
      <c r="K53" s="15">
        <v>568</v>
      </c>
      <c r="L53" s="17">
        <f t="shared" si="1"/>
        <v>6.4905660377358494</v>
      </c>
      <c r="M53" s="17">
        <f t="shared" si="2"/>
        <v>10.716981132075471</v>
      </c>
      <c r="N53" s="18">
        <f t="shared" si="3"/>
        <v>0.60563380281690138</v>
      </c>
      <c r="O53" s="16">
        <v>314</v>
      </c>
      <c r="P53" s="15">
        <v>483</v>
      </c>
      <c r="Q53" s="17">
        <f t="shared" si="4"/>
        <v>5.9245283018867925</v>
      </c>
      <c r="R53" s="17">
        <f t="shared" si="5"/>
        <v>9.1132075471698109</v>
      </c>
      <c r="S53" s="18">
        <f t="shared" si="6"/>
        <v>0.65010351966873703</v>
      </c>
      <c r="T53" s="15">
        <v>30</v>
      </c>
      <c r="U53" s="15">
        <v>85</v>
      </c>
      <c r="V53" s="17">
        <f t="shared" si="7"/>
        <v>0.56603773584905659</v>
      </c>
      <c r="W53" s="17">
        <f t="shared" si="8"/>
        <v>1.6037735849056605</v>
      </c>
      <c r="X53" s="18">
        <f t="shared" si="9"/>
        <v>0.35294117647058826</v>
      </c>
      <c r="Y53" s="9">
        <v>111</v>
      </c>
      <c r="Z53" s="9">
        <v>143</v>
      </c>
      <c r="AA53" s="17">
        <f t="shared" si="10"/>
        <v>2.0943396226415096</v>
      </c>
      <c r="AB53" s="17">
        <f t="shared" si="11"/>
        <v>2.6981132075471699</v>
      </c>
      <c r="AC53" s="18">
        <f t="shared" si="12"/>
        <v>0.77622377622377625</v>
      </c>
      <c r="AD53" s="15">
        <v>447</v>
      </c>
      <c r="AE53" s="17">
        <f t="shared" si="13"/>
        <v>8.433962264150944</v>
      </c>
      <c r="AF53" s="15">
        <v>157</v>
      </c>
      <c r="AG53" s="17">
        <f t="shared" si="14"/>
        <v>2.9622641509433962</v>
      </c>
      <c r="AH53" s="15">
        <v>290</v>
      </c>
      <c r="AI53" s="17">
        <f t="shared" si="15"/>
        <v>5.4716981132075473</v>
      </c>
      <c r="AJ53" s="15">
        <v>69</v>
      </c>
      <c r="AK53" s="17">
        <f t="shared" si="16"/>
        <v>1.3018867924528301</v>
      </c>
      <c r="AL53" s="15">
        <v>16</v>
      </c>
      <c r="AM53" s="17">
        <f t="shared" si="17"/>
        <v>0.30188679245283018</v>
      </c>
      <c r="AN53" s="7">
        <v>40</v>
      </c>
      <c r="AO53" s="17">
        <f t="shared" si="18"/>
        <v>0.75471698113207553</v>
      </c>
      <c r="AP53" s="6">
        <v>76</v>
      </c>
      <c r="AQ53" s="17">
        <f t="shared" si="19"/>
        <v>1.4339622641509433</v>
      </c>
      <c r="AR53" s="15">
        <v>89</v>
      </c>
      <c r="AS53" s="17">
        <f t="shared" si="20"/>
        <v>1.679245283018868</v>
      </c>
      <c r="AT53" s="19">
        <v>6.0927547139053262</v>
      </c>
      <c r="AU53" s="19">
        <v>0.21622125914373902</v>
      </c>
      <c r="AV53" s="19">
        <v>4.8525579167778403</v>
      </c>
      <c r="AW53" s="19">
        <v>1.2401967971274861</v>
      </c>
      <c r="AX53" s="19">
        <v>125.88225711481753</v>
      </c>
      <c r="AY53" s="19">
        <v>110.97082254285309</v>
      </c>
      <c r="AZ53" s="19">
        <v>28.29107952402358</v>
      </c>
      <c r="BA53" s="19">
        <v>20.169811320754718</v>
      </c>
      <c r="BB53" s="19">
        <v>37.936949192642096</v>
      </c>
      <c r="BC53" s="18">
        <v>0.65697711278767523</v>
      </c>
      <c r="BD53" s="18">
        <v>0.63204225352112675</v>
      </c>
      <c r="BE53" s="19">
        <v>28.865594233174868</v>
      </c>
      <c r="BF53" s="18">
        <v>0.14964788732394366</v>
      </c>
      <c r="BG53" s="18">
        <v>0.25176056338028169</v>
      </c>
      <c r="BH53" s="19">
        <v>14.883961977955304</v>
      </c>
      <c r="BI53" s="19">
        <v>27.492668621700879</v>
      </c>
      <c r="BJ53" s="19">
        <v>20.718392092094103</v>
      </c>
      <c r="BK53" s="19">
        <v>12.563729060451568</v>
      </c>
      <c r="BL53" s="19">
        <v>0.78389237961609659</v>
      </c>
      <c r="BM53" s="19">
        <v>3.5471527448311333</v>
      </c>
      <c r="BN53" s="19">
        <v>10.750862898206304</v>
      </c>
      <c r="BO53" s="20" t="s">
        <v>239</v>
      </c>
      <c r="BP53" s="21"/>
      <c r="BQ53" s="30" t="s">
        <v>307</v>
      </c>
      <c r="BR53" s="30">
        <v>1437.75</v>
      </c>
      <c r="BS53" s="30">
        <v>1795.85</v>
      </c>
      <c r="BT53" s="30">
        <v>358.1</v>
      </c>
      <c r="BU53" s="35">
        <f t="shared" si="21"/>
        <v>27.127358490566039</v>
      </c>
      <c r="BV53" s="35">
        <f t="shared" si="22"/>
        <v>33.883962264150945</v>
      </c>
      <c r="BW53" s="35">
        <f t="shared" si="23"/>
        <v>6.7566037735849065</v>
      </c>
      <c r="BX53" s="36">
        <f t="shared" si="24"/>
        <v>51.023244809842083</v>
      </c>
      <c r="BY53" s="36">
        <f t="shared" si="25"/>
        <v>63.73159046548767</v>
      </c>
      <c r="BZ53" s="36">
        <f t="shared" si="26"/>
        <v>12.708345655645591</v>
      </c>
      <c r="CA53" s="31">
        <v>29</v>
      </c>
      <c r="CB53" s="31">
        <v>24</v>
      </c>
    </row>
    <row r="54" spans="1:80" x14ac:dyDescent="0.4">
      <c r="A54" s="11" t="s">
        <v>53</v>
      </c>
      <c r="B54" s="11" t="s">
        <v>262</v>
      </c>
      <c r="C54" s="11" t="s">
        <v>102</v>
      </c>
      <c r="D54" s="25">
        <v>2</v>
      </c>
      <c r="E54" s="25">
        <v>7</v>
      </c>
      <c r="F54" s="25">
        <v>9</v>
      </c>
      <c r="G54" s="16">
        <v>858</v>
      </c>
      <c r="H54" s="16">
        <v>6</v>
      </c>
      <c r="I54" s="17">
        <f t="shared" si="0"/>
        <v>3</v>
      </c>
      <c r="J54" s="15">
        <v>3</v>
      </c>
      <c r="K54" s="15">
        <v>7</v>
      </c>
      <c r="L54" s="17">
        <f t="shared" si="1"/>
        <v>1.5</v>
      </c>
      <c r="M54" s="17">
        <f t="shared" si="2"/>
        <v>3.5</v>
      </c>
      <c r="N54" s="18">
        <f t="shared" si="3"/>
        <v>0.42857142857142855</v>
      </c>
      <c r="O54" s="16">
        <v>3</v>
      </c>
      <c r="P54" s="15">
        <v>7</v>
      </c>
      <c r="Q54" s="17">
        <f t="shared" si="4"/>
        <v>1.5</v>
      </c>
      <c r="R54" s="17">
        <f t="shared" si="5"/>
        <v>3.5</v>
      </c>
      <c r="S54" s="18">
        <f t="shared" si="6"/>
        <v>0.42857142857142855</v>
      </c>
      <c r="T54" s="15">
        <v>0</v>
      </c>
      <c r="U54" s="15">
        <v>0</v>
      </c>
      <c r="V54" s="17">
        <f t="shared" si="7"/>
        <v>0</v>
      </c>
      <c r="W54" s="17">
        <f t="shared" si="8"/>
        <v>0</v>
      </c>
      <c r="X54" s="18" t="e">
        <f t="shared" si="9"/>
        <v>#DIV/0!</v>
      </c>
      <c r="Y54" s="15">
        <v>0</v>
      </c>
      <c r="Z54" s="15">
        <v>0</v>
      </c>
      <c r="AA54" s="17">
        <f t="shared" si="10"/>
        <v>0</v>
      </c>
      <c r="AB54" s="17">
        <f t="shared" si="11"/>
        <v>0</v>
      </c>
      <c r="AC54" s="18" t="e">
        <f t="shared" si="12"/>
        <v>#DIV/0!</v>
      </c>
      <c r="AD54" s="15">
        <v>9</v>
      </c>
      <c r="AE54" s="17">
        <f t="shared" si="13"/>
        <v>4.5</v>
      </c>
      <c r="AF54" s="15">
        <v>4</v>
      </c>
      <c r="AG54" s="17">
        <f t="shared" si="14"/>
        <v>2</v>
      </c>
      <c r="AH54" s="15">
        <v>5</v>
      </c>
      <c r="AI54" s="17">
        <f t="shared" si="15"/>
        <v>2.5</v>
      </c>
      <c r="AJ54" s="15">
        <v>1</v>
      </c>
      <c r="AK54" s="17">
        <f t="shared" si="16"/>
        <v>0.5</v>
      </c>
      <c r="AL54" s="15">
        <v>1</v>
      </c>
      <c r="AM54" s="17">
        <f t="shared" si="17"/>
        <v>0.5</v>
      </c>
      <c r="AN54" s="15">
        <v>0</v>
      </c>
      <c r="AO54" s="17">
        <f t="shared" si="18"/>
        <v>0</v>
      </c>
      <c r="AP54" s="4">
        <v>1</v>
      </c>
      <c r="AQ54" s="17">
        <f t="shared" si="19"/>
        <v>0.5</v>
      </c>
      <c r="AR54" s="15">
        <v>3</v>
      </c>
      <c r="AS54" s="17">
        <f t="shared" si="20"/>
        <v>1.5</v>
      </c>
      <c r="AT54" s="19">
        <v>3.3225064841566301E-2</v>
      </c>
      <c r="AU54" s="19">
        <v>9.2937244312073564E-2</v>
      </c>
      <c r="AV54" s="19">
        <v>1.2968131793114777E-3</v>
      </c>
      <c r="AW54" s="19">
        <v>3.1928251662254825E-2</v>
      </c>
      <c r="AX54" s="19">
        <v>102.38176262995854</v>
      </c>
      <c r="AY54" s="19">
        <v>102.0868162102291</v>
      </c>
      <c r="AZ54" s="19">
        <v>0.69794127356732727</v>
      </c>
      <c r="BA54" s="19">
        <v>6</v>
      </c>
      <c r="BB54" s="19">
        <v>33.566433566433567</v>
      </c>
      <c r="BC54" s="18">
        <v>0.42857142857142855</v>
      </c>
      <c r="BD54" s="18">
        <v>0.42857142857142855</v>
      </c>
      <c r="BE54" s="19">
        <v>0.97161363953656221</v>
      </c>
      <c r="BF54" s="18">
        <v>0</v>
      </c>
      <c r="BG54" s="18">
        <v>0</v>
      </c>
      <c r="BH54" s="19">
        <v>1.1279043537108053</v>
      </c>
      <c r="BI54" s="19">
        <v>1.4098804421385067</v>
      </c>
      <c r="BJ54" s="19">
        <v>1.240750378256539</v>
      </c>
      <c r="BK54" s="19">
        <v>0.33636057854019508</v>
      </c>
      <c r="BL54" s="19">
        <v>3.8616749598395526</v>
      </c>
      <c r="BM54" s="19">
        <v>0</v>
      </c>
      <c r="BN54" s="19">
        <v>12.5</v>
      </c>
      <c r="BO54" s="20" t="s">
        <v>257</v>
      </c>
      <c r="BP54" s="21"/>
      <c r="BQ54" s="30" t="s">
        <v>307</v>
      </c>
      <c r="BR54" s="30">
        <v>17.57</v>
      </c>
      <c r="BS54" s="30">
        <v>23.07</v>
      </c>
      <c r="BT54" s="30">
        <v>5.5</v>
      </c>
      <c r="BU54" s="35">
        <f t="shared" si="21"/>
        <v>8.7850000000000001</v>
      </c>
      <c r="BV54" s="35">
        <f t="shared" si="22"/>
        <v>11.535</v>
      </c>
      <c r="BW54" s="35">
        <f t="shared" si="23"/>
        <v>2.75</v>
      </c>
      <c r="BX54" s="36">
        <f t="shared" si="24"/>
        <v>49.146853146853147</v>
      </c>
      <c r="BY54" s="36">
        <f t="shared" si="25"/>
        <v>64.531468531468533</v>
      </c>
      <c r="BZ54" s="36">
        <f t="shared" si="26"/>
        <v>15.384615384615385</v>
      </c>
      <c r="CA54" s="30">
        <v>1</v>
      </c>
      <c r="CB54" s="30">
        <v>1</v>
      </c>
    </row>
    <row r="55" spans="1:80" x14ac:dyDescent="0.4">
      <c r="A55" s="11" t="s">
        <v>53</v>
      </c>
      <c r="B55" s="11" t="s">
        <v>262</v>
      </c>
      <c r="C55" s="11" t="s">
        <v>96</v>
      </c>
      <c r="D55" s="25">
        <v>28</v>
      </c>
      <c r="E55" s="25">
        <v>31</v>
      </c>
      <c r="F55" s="25">
        <v>9</v>
      </c>
      <c r="G55" s="16">
        <v>52332</v>
      </c>
      <c r="H55" s="16">
        <v>305</v>
      </c>
      <c r="I55" s="17">
        <f t="shared" si="0"/>
        <v>10.892857142857142</v>
      </c>
      <c r="J55" s="15">
        <v>111</v>
      </c>
      <c r="K55" s="15">
        <v>260</v>
      </c>
      <c r="L55" s="17">
        <f t="shared" si="1"/>
        <v>3.9642857142857144</v>
      </c>
      <c r="M55" s="17">
        <f t="shared" si="2"/>
        <v>9.2857142857142865</v>
      </c>
      <c r="N55" s="18">
        <f t="shared" si="3"/>
        <v>0.42692307692307691</v>
      </c>
      <c r="O55" s="16">
        <v>84</v>
      </c>
      <c r="P55" s="15">
        <v>166</v>
      </c>
      <c r="Q55" s="17">
        <f t="shared" si="4"/>
        <v>3</v>
      </c>
      <c r="R55" s="17">
        <f t="shared" si="5"/>
        <v>5.9285714285714288</v>
      </c>
      <c r="S55" s="18">
        <f t="shared" si="6"/>
        <v>0.50602409638554213</v>
      </c>
      <c r="T55" s="15">
        <v>27</v>
      </c>
      <c r="U55" s="15">
        <v>94</v>
      </c>
      <c r="V55" s="17">
        <f t="shared" si="7"/>
        <v>0.9642857142857143</v>
      </c>
      <c r="W55" s="17">
        <f t="shared" si="8"/>
        <v>3.3571428571428572</v>
      </c>
      <c r="X55" s="18">
        <f t="shared" si="9"/>
        <v>0.28723404255319152</v>
      </c>
      <c r="Y55" s="15">
        <v>56</v>
      </c>
      <c r="Z55" s="15">
        <v>77</v>
      </c>
      <c r="AA55" s="17">
        <f t="shared" si="10"/>
        <v>2</v>
      </c>
      <c r="AB55" s="17">
        <f t="shared" si="11"/>
        <v>2.75</v>
      </c>
      <c r="AC55" s="18">
        <f t="shared" si="12"/>
        <v>0.72727272727272729</v>
      </c>
      <c r="AD55" s="15">
        <v>116</v>
      </c>
      <c r="AE55" s="17">
        <f t="shared" si="13"/>
        <v>4.1428571428571432</v>
      </c>
      <c r="AF55" s="15">
        <v>24</v>
      </c>
      <c r="AG55" s="17">
        <f t="shared" si="14"/>
        <v>0.8571428571428571</v>
      </c>
      <c r="AH55" s="15">
        <v>92</v>
      </c>
      <c r="AI55" s="17">
        <f t="shared" si="15"/>
        <v>3.2857142857142856</v>
      </c>
      <c r="AJ55" s="15">
        <v>92</v>
      </c>
      <c r="AK55" s="17">
        <f t="shared" si="16"/>
        <v>3.2857142857142856</v>
      </c>
      <c r="AL55" s="15">
        <v>19</v>
      </c>
      <c r="AM55" s="17">
        <f t="shared" si="17"/>
        <v>0.6785714285714286</v>
      </c>
      <c r="AN55" s="15">
        <v>14</v>
      </c>
      <c r="AO55" s="17">
        <f t="shared" si="18"/>
        <v>0.5</v>
      </c>
      <c r="AP55" s="4">
        <v>36</v>
      </c>
      <c r="AQ55" s="17">
        <f t="shared" si="19"/>
        <v>1.2857142857142858</v>
      </c>
      <c r="AR55" s="15">
        <v>68</v>
      </c>
      <c r="AS55" s="17">
        <f t="shared" si="20"/>
        <v>2.4285714285714284</v>
      </c>
      <c r="AT55" s="19">
        <v>1.0128339115124989</v>
      </c>
      <c r="AU55" s="19">
        <v>4.6449617588282456E-2</v>
      </c>
      <c r="AV55" s="19">
        <v>0.75308961199293312</v>
      </c>
      <c r="AW55" s="19">
        <v>0.25974429951956574</v>
      </c>
      <c r="AX55" s="19">
        <v>109.61532485008124</v>
      </c>
      <c r="AY55" s="19">
        <v>117.26653261682191</v>
      </c>
      <c r="AZ55" s="19">
        <v>5.4799055018461251</v>
      </c>
      <c r="BA55" s="19">
        <v>12.142857142857142</v>
      </c>
      <c r="BB55" s="19">
        <v>15.592753955514789</v>
      </c>
      <c r="BC55" s="18">
        <v>0.51891928678372123</v>
      </c>
      <c r="BD55" s="18">
        <v>0.47884615384615387</v>
      </c>
      <c r="BE55" s="19">
        <v>9.1961827366926006</v>
      </c>
      <c r="BF55" s="18">
        <v>0.36153846153846153</v>
      </c>
      <c r="BG55" s="18">
        <v>0.29615384615384616</v>
      </c>
      <c r="BH55" s="19">
        <v>1.5533578418681717</v>
      </c>
      <c r="BI55" s="19">
        <v>5.954538393827991</v>
      </c>
      <c r="BJ55" s="19">
        <v>3.6706915060673206</v>
      </c>
      <c r="BK55" s="19">
        <v>7.6839555666917221</v>
      </c>
      <c r="BL55" s="19">
        <v>1.2029546968452267</v>
      </c>
      <c r="BM55" s="19">
        <v>0.84759679820309486</v>
      </c>
      <c r="BN55" s="19">
        <v>10.913059294288832</v>
      </c>
      <c r="BO55" s="20" t="s">
        <v>257</v>
      </c>
      <c r="BP55" s="21"/>
      <c r="BQ55" s="31" t="s">
        <v>305</v>
      </c>
      <c r="BR55" s="31">
        <v>610.46</v>
      </c>
      <c r="BS55" s="31">
        <v>823.56</v>
      </c>
      <c r="BT55" s="31">
        <v>213.1</v>
      </c>
      <c r="BU55" s="35">
        <f t="shared" si="21"/>
        <v>21.802142857142854</v>
      </c>
      <c r="BV55" s="35">
        <f t="shared" si="22"/>
        <v>29.412857142857142</v>
      </c>
      <c r="BW55" s="35">
        <f t="shared" si="23"/>
        <v>7.6107142857142858</v>
      </c>
      <c r="BX55" s="36">
        <f t="shared" si="24"/>
        <v>27.996331116716348</v>
      </c>
      <c r="BY55" s="36">
        <f t="shared" si="25"/>
        <v>37.769318963540471</v>
      </c>
      <c r="BZ55" s="36">
        <f t="shared" si="26"/>
        <v>9.7729878468241225</v>
      </c>
      <c r="CA55" s="31">
        <v>18</v>
      </c>
      <c r="CB55" s="31">
        <v>10</v>
      </c>
    </row>
    <row r="56" spans="1:80" x14ac:dyDescent="0.4">
      <c r="A56" s="11" t="s">
        <v>53</v>
      </c>
      <c r="B56" s="11" t="s">
        <v>262</v>
      </c>
      <c r="C56" s="11" t="s">
        <v>100</v>
      </c>
      <c r="D56" s="25">
        <v>20</v>
      </c>
      <c r="E56" s="25">
        <v>7</v>
      </c>
      <c r="F56" s="25">
        <v>53</v>
      </c>
      <c r="G56" s="16">
        <v>9460</v>
      </c>
      <c r="H56" s="16">
        <v>24</v>
      </c>
      <c r="I56" s="17">
        <f t="shared" si="0"/>
        <v>1.2</v>
      </c>
      <c r="J56" s="15">
        <v>8</v>
      </c>
      <c r="K56" s="15">
        <v>26</v>
      </c>
      <c r="L56" s="17">
        <f t="shared" si="1"/>
        <v>0.4</v>
      </c>
      <c r="M56" s="17">
        <f t="shared" si="2"/>
        <v>1.3</v>
      </c>
      <c r="N56" s="18">
        <f t="shared" si="3"/>
        <v>0.30769230769230771</v>
      </c>
      <c r="O56" s="16">
        <v>6</v>
      </c>
      <c r="P56" s="15">
        <v>13</v>
      </c>
      <c r="Q56" s="17">
        <f t="shared" si="4"/>
        <v>0.3</v>
      </c>
      <c r="R56" s="17">
        <f t="shared" si="5"/>
        <v>0.65</v>
      </c>
      <c r="S56" s="18">
        <f t="shared" si="6"/>
        <v>0.46153846153846156</v>
      </c>
      <c r="T56" s="15">
        <v>2</v>
      </c>
      <c r="U56" s="15">
        <v>13</v>
      </c>
      <c r="V56" s="17">
        <f t="shared" si="7"/>
        <v>0.1</v>
      </c>
      <c r="W56" s="17">
        <f t="shared" si="8"/>
        <v>0.65</v>
      </c>
      <c r="X56" s="18">
        <f t="shared" si="9"/>
        <v>0.15384615384615385</v>
      </c>
      <c r="Y56" s="15">
        <v>6</v>
      </c>
      <c r="Z56" s="15">
        <v>9</v>
      </c>
      <c r="AA56" s="17">
        <f t="shared" si="10"/>
        <v>0.3</v>
      </c>
      <c r="AB56" s="17">
        <f t="shared" si="11"/>
        <v>0.45</v>
      </c>
      <c r="AC56" s="18">
        <f t="shared" si="12"/>
        <v>0.66666666666666663</v>
      </c>
      <c r="AD56" s="15">
        <v>22</v>
      </c>
      <c r="AE56" s="17">
        <f t="shared" si="13"/>
        <v>1.1000000000000001</v>
      </c>
      <c r="AF56" s="15">
        <v>7</v>
      </c>
      <c r="AG56" s="17">
        <f t="shared" si="14"/>
        <v>0.35</v>
      </c>
      <c r="AH56" s="15">
        <v>15</v>
      </c>
      <c r="AI56" s="17">
        <f t="shared" si="15"/>
        <v>0.75</v>
      </c>
      <c r="AJ56" s="15">
        <v>14</v>
      </c>
      <c r="AK56" s="17">
        <f t="shared" si="16"/>
        <v>0.7</v>
      </c>
      <c r="AL56" s="15">
        <v>6</v>
      </c>
      <c r="AM56" s="17">
        <f t="shared" si="17"/>
        <v>0.3</v>
      </c>
      <c r="AN56" s="15">
        <v>0</v>
      </c>
      <c r="AO56" s="17">
        <f t="shared" si="18"/>
        <v>0</v>
      </c>
      <c r="AP56" s="4">
        <v>5</v>
      </c>
      <c r="AQ56" s="17">
        <f t="shared" si="19"/>
        <v>0.25</v>
      </c>
      <c r="AR56" s="15">
        <v>30</v>
      </c>
      <c r="AS56" s="17">
        <f t="shared" si="20"/>
        <v>1.5</v>
      </c>
      <c r="AT56" s="19">
        <v>2.863751507633696E-2</v>
      </c>
      <c r="AU56" s="19">
        <v>7.2653315204237534E-3</v>
      </c>
      <c r="AV56" s="19">
        <v>-3.9002134992481237E-2</v>
      </c>
      <c r="AW56" s="19">
        <v>6.7639650068818197E-2</v>
      </c>
      <c r="AX56" s="19">
        <v>98.430558323434468</v>
      </c>
      <c r="AY56" s="19">
        <v>116.23725758493194</v>
      </c>
      <c r="AZ56" s="19">
        <v>0.87489418273813568</v>
      </c>
      <c r="BA56" s="19">
        <v>2</v>
      </c>
      <c r="BB56" s="19">
        <v>10.147991543340382</v>
      </c>
      <c r="BC56" s="18">
        <v>0.40053404539385845</v>
      </c>
      <c r="BD56" s="18">
        <v>0.34615384615384615</v>
      </c>
      <c r="BE56" s="19">
        <v>3.8509793624701465</v>
      </c>
      <c r="BF56" s="18">
        <v>0.5</v>
      </c>
      <c r="BG56" s="18">
        <v>0.34615384615384615</v>
      </c>
      <c r="BH56" s="19">
        <v>1.7902202823433129</v>
      </c>
      <c r="BI56" s="19">
        <v>3.8361863193070991</v>
      </c>
      <c r="BJ56" s="19">
        <v>2.7508109161346521</v>
      </c>
      <c r="BK56" s="19">
        <v>4.3330238316310741</v>
      </c>
      <c r="BL56" s="19">
        <v>2.1014696293080353</v>
      </c>
      <c r="BM56" s="19">
        <v>0</v>
      </c>
      <c r="BN56" s="19">
        <v>14.302059496567505</v>
      </c>
      <c r="BO56" s="20" t="s">
        <v>257</v>
      </c>
      <c r="BP56" s="21"/>
      <c r="BQ56" s="30" t="s">
        <v>306</v>
      </c>
      <c r="BR56" s="30">
        <v>95.08</v>
      </c>
      <c r="BS56" s="30">
        <v>121.88</v>
      </c>
      <c r="BT56" s="30">
        <v>26.8</v>
      </c>
      <c r="BU56" s="35">
        <f t="shared" si="21"/>
        <v>4.7539999999999996</v>
      </c>
      <c r="BV56" s="35">
        <f t="shared" si="22"/>
        <v>6.0939999999999994</v>
      </c>
      <c r="BW56" s="35">
        <f t="shared" si="23"/>
        <v>1.34</v>
      </c>
      <c r="BX56" s="36">
        <f t="shared" si="24"/>
        <v>24.121775898520085</v>
      </c>
      <c r="BY56" s="36">
        <f t="shared" si="25"/>
        <v>30.920930232558138</v>
      </c>
      <c r="BZ56" s="36">
        <f t="shared" si="26"/>
        <v>6.7991543340380547</v>
      </c>
      <c r="CA56" s="31">
        <v>9</v>
      </c>
      <c r="CB56" s="31">
        <v>11</v>
      </c>
    </row>
    <row r="57" spans="1:80" x14ac:dyDescent="0.4">
      <c r="A57" s="11" t="s">
        <v>53</v>
      </c>
      <c r="B57" s="11" t="s">
        <v>262</v>
      </c>
      <c r="C57" s="11" t="s">
        <v>90</v>
      </c>
      <c r="D57" s="25">
        <v>53</v>
      </c>
      <c r="E57" s="25">
        <v>19</v>
      </c>
      <c r="F57" s="25">
        <v>34</v>
      </c>
      <c r="G57" s="16">
        <v>62222</v>
      </c>
      <c r="H57" s="16">
        <v>740</v>
      </c>
      <c r="I57" s="17">
        <f t="shared" si="0"/>
        <v>13.962264150943396</v>
      </c>
      <c r="J57" s="15">
        <v>292</v>
      </c>
      <c r="K57" s="15">
        <v>519</v>
      </c>
      <c r="L57" s="17">
        <f t="shared" si="1"/>
        <v>5.5094339622641506</v>
      </c>
      <c r="M57" s="17">
        <f t="shared" si="2"/>
        <v>9.7924528301886795</v>
      </c>
      <c r="N57" s="18">
        <f t="shared" si="3"/>
        <v>0.56262042389210021</v>
      </c>
      <c r="O57" s="16">
        <v>272</v>
      </c>
      <c r="P57" s="15">
        <v>428</v>
      </c>
      <c r="Q57" s="17">
        <f t="shared" si="4"/>
        <v>5.132075471698113</v>
      </c>
      <c r="R57" s="17">
        <f t="shared" si="5"/>
        <v>8.0754716981132084</v>
      </c>
      <c r="S57" s="18">
        <f t="shared" si="6"/>
        <v>0.63551401869158874</v>
      </c>
      <c r="T57" s="15">
        <v>20</v>
      </c>
      <c r="U57" s="15">
        <v>91</v>
      </c>
      <c r="V57" s="17">
        <f t="shared" si="7"/>
        <v>0.37735849056603776</v>
      </c>
      <c r="W57" s="17">
        <f t="shared" si="8"/>
        <v>1.7169811320754718</v>
      </c>
      <c r="X57" s="18">
        <f t="shared" si="9"/>
        <v>0.21978021978021978</v>
      </c>
      <c r="Y57" s="15">
        <v>136</v>
      </c>
      <c r="Z57" s="15">
        <v>189</v>
      </c>
      <c r="AA57" s="17">
        <f t="shared" si="10"/>
        <v>2.5660377358490565</v>
      </c>
      <c r="AB57" s="17">
        <f t="shared" si="11"/>
        <v>3.5660377358490565</v>
      </c>
      <c r="AC57" s="18">
        <f t="shared" si="12"/>
        <v>0.71957671957671954</v>
      </c>
      <c r="AD57" s="15">
        <v>520</v>
      </c>
      <c r="AE57" s="17">
        <f t="shared" si="13"/>
        <v>9.8113207547169807</v>
      </c>
      <c r="AF57" s="15">
        <v>167</v>
      </c>
      <c r="AG57" s="17">
        <f t="shared" si="14"/>
        <v>3.1509433962264151</v>
      </c>
      <c r="AH57" s="15">
        <v>353</v>
      </c>
      <c r="AI57" s="17">
        <f t="shared" si="15"/>
        <v>6.6603773584905657</v>
      </c>
      <c r="AJ57" s="15">
        <v>157</v>
      </c>
      <c r="AK57" s="17">
        <f t="shared" si="16"/>
        <v>2.9622641509433962</v>
      </c>
      <c r="AL57" s="15">
        <v>36</v>
      </c>
      <c r="AM57" s="17">
        <f t="shared" si="17"/>
        <v>0.67924528301886788</v>
      </c>
      <c r="AN57" s="15">
        <v>4</v>
      </c>
      <c r="AO57" s="17">
        <f t="shared" si="18"/>
        <v>7.5471698113207544E-2</v>
      </c>
      <c r="AP57" s="4">
        <v>86</v>
      </c>
      <c r="AQ57" s="17">
        <f t="shared" si="19"/>
        <v>1.6226415094339623</v>
      </c>
      <c r="AR57" s="15">
        <v>122</v>
      </c>
      <c r="AS57" s="17">
        <f t="shared" si="20"/>
        <v>2.3018867924528301</v>
      </c>
      <c r="AT57" s="19">
        <v>6.4046997917948776</v>
      </c>
      <c r="AU57" s="19">
        <v>0.24703930282388392</v>
      </c>
      <c r="AV57" s="19">
        <v>4.7045982428671032</v>
      </c>
      <c r="AW57" s="19">
        <v>1.7001015489277742</v>
      </c>
      <c r="AX57" s="19">
        <v>123.98848032260301</v>
      </c>
      <c r="AY57" s="19">
        <v>106.74172048468688</v>
      </c>
      <c r="AZ57" s="19">
        <v>29.045794066377169</v>
      </c>
      <c r="BA57" s="19">
        <v>20.584905660377359</v>
      </c>
      <c r="BB57" s="19">
        <v>42.081578862781654</v>
      </c>
      <c r="BC57" s="18">
        <v>0.61445462999867151</v>
      </c>
      <c r="BD57" s="18">
        <v>0.58188824662813099</v>
      </c>
      <c r="BE57" s="19">
        <v>30.540928502631303</v>
      </c>
      <c r="BF57" s="18">
        <v>0.17533718689788053</v>
      </c>
      <c r="BG57" s="18">
        <v>0.36416184971098264</v>
      </c>
      <c r="BH57" s="19">
        <v>17.20750673187888</v>
      </c>
      <c r="BI57" s="19">
        <v>36.372753750618237</v>
      </c>
      <c r="BJ57" s="19">
        <v>26.195967668130674</v>
      </c>
      <c r="BK57" s="19">
        <v>29.633824084560207</v>
      </c>
      <c r="BL57" s="19">
        <v>1.9169974632690059</v>
      </c>
      <c r="BM57" s="19">
        <v>0.3855338077005559</v>
      </c>
      <c r="BN57" s="19">
        <v>12.497093699139736</v>
      </c>
      <c r="BO57" s="20" t="s">
        <v>239</v>
      </c>
      <c r="BP57" s="21"/>
      <c r="BQ57" s="31" t="s">
        <v>307</v>
      </c>
      <c r="BR57" s="31">
        <v>1494.56</v>
      </c>
      <c r="BS57" s="31">
        <v>1885.86</v>
      </c>
      <c r="BT57" s="31">
        <v>391.3</v>
      </c>
      <c r="BU57" s="35">
        <f t="shared" si="21"/>
        <v>28.199245283018868</v>
      </c>
      <c r="BV57" s="35">
        <f t="shared" si="22"/>
        <v>35.582264150943395</v>
      </c>
      <c r="BW57" s="35">
        <f t="shared" si="23"/>
        <v>7.3830188679245285</v>
      </c>
      <c r="BX57" s="36">
        <f t="shared" si="24"/>
        <v>57.647520169714895</v>
      </c>
      <c r="BY57" s="36">
        <f t="shared" si="25"/>
        <v>72.74057407347884</v>
      </c>
      <c r="BZ57" s="36">
        <f t="shared" si="26"/>
        <v>15.093053903763941</v>
      </c>
      <c r="CA57" s="31">
        <v>29</v>
      </c>
      <c r="CB57" s="31">
        <v>24</v>
      </c>
    </row>
    <row r="58" spans="1:80" x14ac:dyDescent="0.4">
      <c r="A58" s="11" t="s">
        <v>53</v>
      </c>
      <c r="B58" s="11" t="s">
        <v>262</v>
      </c>
      <c r="C58" s="11" t="s">
        <v>101</v>
      </c>
      <c r="D58" s="25">
        <v>21</v>
      </c>
      <c r="E58" s="25">
        <v>5</v>
      </c>
      <c r="F58" s="25">
        <v>30</v>
      </c>
      <c r="G58" s="16">
        <v>6930</v>
      </c>
      <c r="H58" s="16">
        <v>21</v>
      </c>
      <c r="I58" s="17">
        <f t="shared" si="0"/>
        <v>1</v>
      </c>
      <c r="J58" s="15">
        <v>9</v>
      </c>
      <c r="K58" s="15">
        <v>24</v>
      </c>
      <c r="L58" s="17">
        <f t="shared" si="1"/>
        <v>0.42857142857142855</v>
      </c>
      <c r="M58" s="17">
        <f t="shared" si="2"/>
        <v>1.1428571428571428</v>
      </c>
      <c r="N58" s="18">
        <f t="shared" si="3"/>
        <v>0.375</v>
      </c>
      <c r="O58" s="16">
        <v>8</v>
      </c>
      <c r="P58" s="15">
        <v>19</v>
      </c>
      <c r="Q58" s="17">
        <f t="shared" si="4"/>
        <v>0.38095238095238093</v>
      </c>
      <c r="R58" s="17">
        <f t="shared" si="5"/>
        <v>0.90476190476190477</v>
      </c>
      <c r="S58" s="18">
        <f t="shared" si="6"/>
        <v>0.42105263157894735</v>
      </c>
      <c r="T58" s="15">
        <v>1</v>
      </c>
      <c r="U58" s="15">
        <v>5</v>
      </c>
      <c r="V58" s="17">
        <f t="shared" si="7"/>
        <v>4.7619047619047616E-2</v>
      </c>
      <c r="W58" s="17">
        <f t="shared" si="8"/>
        <v>0.23809523809523808</v>
      </c>
      <c r="X58" s="18">
        <f t="shared" si="9"/>
        <v>0.2</v>
      </c>
      <c r="Y58" s="15">
        <v>2</v>
      </c>
      <c r="Z58" s="15">
        <v>6</v>
      </c>
      <c r="AA58" s="17">
        <f t="shared" si="10"/>
        <v>9.5238095238095233E-2</v>
      </c>
      <c r="AB58" s="17">
        <f t="shared" si="11"/>
        <v>0.2857142857142857</v>
      </c>
      <c r="AC58" s="18">
        <f t="shared" si="12"/>
        <v>0.33333333333333331</v>
      </c>
      <c r="AD58" s="15">
        <v>11</v>
      </c>
      <c r="AE58" s="17">
        <f t="shared" si="13"/>
        <v>0.52380952380952384</v>
      </c>
      <c r="AF58" s="15">
        <v>6</v>
      </c>
      <c r="AG58" s="17">
        <f t="shared" si="14"/>
        <v>0.2857142857142857</v>
      </c>
      <c r="AH58" s="15">
        <v>5</v>
      </c>
      <c r="AI58" s="17">
        <f t="shared" si="15"/>
        <v>0.23809523809523808</v>
      </c>
      <c r="AJ58" s="15">
        <v>2</v>
      </c>
      <c r="AK58" s="17">
        <f t="shared" si="16"/>
        <v>9.5238095238095233E-2</v>
      </c>
      <c r="AL58" s="15">
        <v>2</v>
      </c>
      <c r="AM58" s="17">
        <f t="shared" si="17"/>
        <v>9.5238095238095233E-2</v>
      </c>
      <c r="AN58" s="15">
        <v>0</v>
      </c>
      <c r="AO58" s="17">
        <f t="shared" si="18"/>
        <v>0</v>
      </c>
      <c r="AP58" s="4">
        <v>0</v>
      </c>
      <c r="AQ58" s="17">
        <f t="shared" si="19"/>
        <v>0</v>
      </c>
      <c r="AR58" s="15">
        <v>15</v>
      </c>
      <c r="AS58" s="17">
        <f t="shared" si="20"/>
        <v>0.7142857142857143</v>
      </c>
      <c r="AT58" s="19">
        <v>-4.7754634007368957E-2</v>
      </c>
      <c r="AU58" s="19">
        <v>-1.6538401387833405E-2</v>
      </c>
      <c r="AV58" s="19">
        <v>-2.7180186232375291E-2</v>
      </c>
      <c r="AW58" s="19">
        <v>-2.0574447774993662E-2</v>
      </c>
      <c r="AX58" s="19">
        <v>98.314982108170327</v>
      </c>
      <c r="AY58" s="19">
        <v>121.00028622065729</v>
      </c>
      <c r="AZ58" s="19">
        <v>0.83722370765912302</v>
      </c>
      <c r="BA58" s="19">
        <v>0.80952380952380953</v>
      </c>
      <c r="BB58" s="19">
        <v>5.8874458874458879</v>
      </c>
      <c r="BC58" s="18">
        <v>0.39414414414414412</v>
      </c>
      <c r="BD58" s="18">
        <v>0.39583333333333331</v>
      </c>
      <c r="BE58" s="19">
        <v>4.2061154455537775</v>
      </c>
      <c r="BF58" s="18">
        <v>0.20833333333333334</v>
      </c>
      <c r="BG58" s="18">
        <v>0.25</v>
      </c>
      <c r="BH58" s="19">
        <v>2.1994134897360706</v>
      </c>
      <c r="BI58" s="19">
        <v>1.8328445747800588</v>
      </c>
      <c r="BJ58" s="19">
        <v>1.9714144898965007</v>
      </c>
      <c r="BK58" s="19">
        <v>0.9009009009009008</v>
      </c>
      <c r="BL58" s="19">
        <v>0.95622427576979396</v>
      </c>
      <c r="BM58" s="19">
        <v>0</v>
      </c>
      <c r="BN58" s="19">
        <v>0</v>
      </c>
      <c r="BO58" s="20" t="s">
        <v>257</v>
      </c>
      <c r="BP58" s="21"/>
      <c r="BQ58" s="30" t="s">
        <v>305</v>
      </c>
      <c r="BR58" s="30">
        <v>51.04</v>
      </c>
      <c r="BS58" s="30">
        <v>68.84</v>
      </c>
      <c r="BT58" s="30">
        <v>17.8</v>
      </c>
      <c r="BU58" s="35">
        <f t="shared" si="21"/>
        <v>2.4304761904761905</v>
      </c>
      <c r="BV58" s="35">
        <f t="shared" si="22"/>
        <v>3.2780952380952382</v>
      </c>
      <c r="BW58" s="35">
        <f t="shared" si="23"/>
        <v>0.84761904761904761</v>
      </c>
      <c r="BX58" s="36">
        <f t="shared" si="24"/>
        <v>17.676190476190477</v>
      </c>
      <c r="BY58" s="36">
        <f t="shared" si="25"/>
        <v>23.840692640692641</v>
      </c>
      <c r="BZ58" s="36">
        <f t="shared" si="26"/>
        <v>6.1645021645021645</v>
      </c>
      <c r="CA58" s="30">
        <v>10</v>
      </c>
      <c r="CB58" s="30">
        <v>11</v>
      </c>
    </row>
    <row r="59" spans="1:80" x14ac:dyDescent="0.4">
      <c r="A59" s="11" t="s">
        <v>53</v>
      </c>
      <c r="B59" s="11" t="s">
        <v>262</v>
      </c>
      <c r="C59" s="11" t="s">
        <v>97</v>
      </c>
      <c r="D59" s="25">
        <v>53</v>
      </c>
      <c r="E59" s="25">
        <v>13</v>
      </c>
      <c r="F59" s="25">
        <v>51</v>
      </c>
      <c r="G59" s="16">
        <v>44043</v>
      </c>
      <c r="H59" s="16">
        <v>224</v>
      </c>
      <c r="I59" s="17">
        <f t="shared" si="0"/>
        <v>4.2264150943396226</v>
      </c>
      <c r="J59" s="15">
        <v>76</v>
      </c>
      <c r="K59" s="15">
        <v>175</v>
      </c>
      <c r="L59" s="17">
        <f t="shared" si="1"/>
        <v>1.4339622641509433</v>
      </c>
      <c r="M59" s="17">
        <f t="shared" si="2"/>
        <v>3.3018867924528301</v>
      </c>
      <c r="N59" s="18">
        <f t="shared" si="3"/>
        <v>0.43428571428571427</v>
      </c>
      <c r="O59" s="16">
        <v>19</v>
      </c>
      <c r="P59" s="15">
        <v>38</v>
      </c>
      <c r="Q59" s="17">
        <f t="shared" si="4"/>
        <v>0.35849056603773582</v>
      </c>
      <c r="R59" s="17">
        <f t="shared" si="5"/>
        <v>0.71698113207547165</v>
      </c>
      <c r="S59" s="18">
        <f t="shared" si="6"/>
        <v>0.5</v>
      </c>
      <c r="T59" s="15">
        <v>57</v>
      </c>
      <c r="U59" s="15">
        <v>137</v>
      </c>
      <c r="V59" s="17">
        <f t="shared" si="7"/>
        <v>1.0754716981132075</v>
      </c>
      <c r="W59" s="17">
        <f t="shared" si="8"/>
        <v>2.5849056603773586</v>
      </c>
      <c r="X59" s="18">
        <f t="shared" si="9"/>
        <v>0.41605839416058393</v>
      </c>
      <c r="Y59" s="15">
        <v>15</v>
      </c>
      <c r="Z59" s="15">
        <v>19</v>
      </c>
      <c r="AA59" s="17">
        <f t="shared" si="10"/>
        <v>0.28301886792452829</v>
      </c>
      <c r="AB59" s="17">
        <f t="shared" si="11"/>
        <v>0.35849056603773582</v>
      </c>
      <c r="AC59" s="18">
        <f t="shared" si="12"/>
        <v>0.78947368421052633</v>
      </c>
      <c r="AD59" s="15">
        <v>66</v>
      </c>
      <c r="AE59" s="17">
        <f t="shared" si="13"/>
        <v>1.2452830188679245</v>
      </c>
      <c r="AF59" s="15">
        <v>22</v>
      </c>
      <c r="AG59" s="17">
        <f t="shared" si="14"/>
        <v>0.41509433962264153</v>
      </c>
      <c r="AH59" s="15">
        <v>44</v>
      </c>
      <c r="AI59" s="17">
        <f t="shared" si="15"/>
        <v>0.83018867924528306</v>
      </c>
      <c r="AJ59" s="15">
        <v>24</v>
      </c>
      <c r="AK59" s="17">
        <f t="shared" si="16"/>
        <v>0.45283018867924529</v>
      </c>
      <c r="AL59" s="15">
        <v>19</v>
      </c>
      <c r="AM59" s="17">
        <f t="shared" si="17"/>
        <v>0.35849056603773582</v>
      </c>
      <c r="AN59" s="15">
        <v>1</v>
      </c>
      <c r="AO59" s="17">
        <f t="shared" si="18"/>
        <v>1.8867924528301886E-2</v>
      </c>
      <c r="AP59" s="4">
        <v>11</v>
      </c>
      <c r="AQ59" s="17">
        <f t="shared" si="19"/>
        <v>0.20754716981132076</v>
      </c>
      <c r="AR59" s="15">
        <v>56</v>
      </c>
      <c r="AS59" s="17">
        <f t="shared" si="20"/>
        <v>1.0566037735849056</v>
      </c>
      <c r="AT59" s="19">
        <v>1.249374724030655</v>
      </c>
      <c r="AU59" s="19">
        <v>6.8081178341020648E-2</v>
      </c>
      <c r="AV59" s="19">
        <v>1.232236462142505</v>
      </c>
      <c r="AW59" s="19">
        <v>1.7138261888149882E-2</v>
      </c>
      <c r="AX59" s="19">
        <v>125.04368588310015</v>
      </c>
      <c r="AY59" s="19">
        <v>119.41965488837651</v>
      </c>
      <c r="AZ59" s="19">
        <v>9.0909207235358505</v>
      </c>
      <c r="BA59" s="19">
        <v>4.1509433962264151</v>
      </c>
      <c r="BB59" s="19">
        <v>11.988284176827193</v>
      </c>
      <c r="BC59" s="18">
        <v>0.61082024432809767</v>
      </c>
      <c r="BD59" s="18">
        <v>0.5971428571428572</v>
      </c>
      <c r="BE59" s="19">
        <v>12.186157156221416</v>
      </c>
      <c r="BF59" s="18">
        <v>0.78285714285714281</v>
      </c>
      <c r="BG59" s="18">
        <v>0.10857142857142857</v>
      </c>
      <c r="BH59" s="19">
        <v>3.2025154303016188</v>
      </c>
      <c r="BI59" s="19">
        <v>6.4050308606032376</v>
      </c>
      <c r="BJ59" s="19">
        <v>4.6972330806198217</v>
      </c>
      <c r="BK59" s="19">
        <v>4.7458967767451057</v>
      </c>
      <c r="BL59" s="19">
        <v>1.429353704227786</v>
      </c>
      <c r="BM59" s="19">
        <v>0.13616627263551523</v>
      </c>
      <c r="BN59" s="19">
        <v>5.6596007408931879</v>
      </c>
      <c r="BO59" s="20" t="s">
        <v>257</v>
      </c>
      <c r="BP59" s="21"/>
      <c r="BQ59" s="31" t="s">
        <v>305</v>
      </c>
      <c r="BR59" s="31">
        <v>431.35</v>
      </c>
      <c r="BS59" s="31">
        <v>542.04999999999995</v>
      </c>
      <c r="BT59" s="31">
        <v>110.7</v>
      </c>
      <c r="BU59" s="35">
        <f t="shared" si="21"/>
        <v>8.1386792452830186</v>
      </c>
      <c r="BV59" s="35">
        <f t="shared" si="22"/>
        <v>10.227358490566036</v>
      </c>
      <c r="BW59" s="35">
        <f t="shared" si="23"/>
        <v>2.0886792452830187</v>
      </c>
      <c r="BX59" s="36">
        <f t="shared" si="24"/>
        <v>23.505210816701862</v>
      </c>
      <c r="BY59" s="36">
        <f t="shared" si="25"/>
        <v>29.537497445678088</v>
      </c>
      <c r="BZ59" s="36">
        <f t="shared" si="26"/>
        <v>6.0322866289762276</v>
      </c>
      <c r="CA59" s="31">
        <v>29</v>
      </c>
      <c r="CB59" s="31">
        <v>24</v>
      </c>
    </row>
    <row r="60" spans="1:80" x14ac:dyDescent="0.4">
      <c r="A60" s="11" t="s">
        <v>53</v>
      </c>
      <c r="B60" s="11" t="s">
        <v>262</v>
      </c>
      <c r="C60" s="11" t="s">
        <v>92</v>
      </c>
      <c r="D60" s="25">
        <v>54</v>
      </c>
      <c r="E60" s="25">
        <v>24</v>
      </c>
      <c r="F60" s="25">
        <v>1</v>
      </c>
      <c r="G60" s="16">
        <v>77814</v>
      </c>
      <c r="H60" s="16">
        <v>391</v>
      </c>
      <c r="I60" s="17">
        <f t="shared" si="0"/>
        <v>7.2407407407407405</v>
      </c>
      <c r="J60" s="15">
        <v>158</v>
      </c>
      <c r="K60" s="15">
        <v>337</v>
      </c>
      <c r="L60" s="17">
        <f t="shared" si="1"/>
        <v>2.925925925925926</v>
      </c>
      <c r="M60" s="17">
        <f t="shared" si="2"/>
        <v>6.2407407407407405</v>
      </c>
      <c r="N60" s="18">
        <f t="shared" si="3"/>
        <v>0.46884272997032639</v>
      </c>
      <c r="O60" s="16">
        <v>138</v>
      </c>
      <c r="P60" s="15">
        <v>280</v>
      </c>
      <c r="Q60" s="17">
        <f t="shared" si="4"/>
        <v>2.5555555555555554</v>
      </c>
      <c r="R60" s="17">
        <f t="shared" si="5"/>
        <v>5.1851851851851851</v>
      </c>
      <c r="S60" s="18">
        <f t="shared" si="6"/>
        <v>0.49285714285714288</v>
      </c>
      <c r="T60" s="15">
        <v>20</v>
      </c>
      <c r="U60" s="15">
        <v>57</v>
      </c>
      <c r="V60" s="17">
        <f t="shared" si="7"/>
        <v>0.37037037037037035</v>
      </c>
      <c r="W60" s="17">
        <f t="shared" si="8"/>
        <v>1.0555555555555556</v>
      </c>
      <c r="X60" s="18">
        <f t="shared" si="9"/>
        <v>0.35087719298245612</v>
      </c>
      <c r="Y60" s="15">
        <v>55</v>
      </c>
      <c r="Z60" s="15">
        <v>66</v>
      </c>
      <c r="AA60" s="17">
        <f t="shared" si="10"/>
        <v>1.0185185185185186</v>
      </c>
      <c r="AB60" s="17">
        <f t="shared" si="11"/>
        <v>1.2222222222222223</v>
      </c>
      <c r="AC60" s="18">
        <f t="shared" si="12"/>
        <v>0.83333333333333337</v>
      </c>
      <c r="AD60" s="15">
        <v>193</v>
      </c>
      <c r="AE60" s="17">
        <f t="shared" si="13"/>
        <v>3.574074074074074</v>
      </c>
      <c r="AF60" s="15">
        <v>60</v>
      </c>
      <c r="AG60" s="17">
        <f t="shared" si="14"/>
        <v>1.1111111111111112</v>
      </c>
      <c r="AH60" s="15">
        <v>133</v>
      </c>
      <c r="AI60" s="17">
        <f t="shared" si="15"/>
        <v>2.4629629629629628</v>
      </c>
      <c r="AJ60" s="15">
        <v>94</v>
      </c>
      <c r="AK60" s="17">
        <f t="shared" si="16"/>
        <v>1.7407407407407407</v>
      </c>
      <c r="AL60" s="15">
        <v>28</v>
      </c>
      <c r="AM60" s="17">
        <f t="shared" si="17"/>
        <v>0.51851851851851849</v>
      </c>
      <c r="AN60" s="15">
        <v>21</v>
      </c>
      <c r="AO60" s="17">
        <f t="shared" si="18"/>
        <v>0.3888888888888889</v>
      </c>
      <c r="AP60" s="4">
        <v>36</v>
      </c>
      <c r="AQ60" s="17">
        <f t="shared" si="19"/>
        <v>0.66666666666666663</v>
      </c>
      <c r="AR60" s="15">
        <v>98</v>
      </c>
      <c r="AS60" s="17">
        <f t="shared" si="20"/>
        <v>1.8148148148148149</v>
      </c>
      <c r="AT60" s="19">
        <v>1.9072172428008134</v>
      </c>
      <c r="AU60" s="19">
        <v>5.8823879799547021E-2</v>
      </c>
      <c r="AV60" s="19">
        <v>1.5444954623956708</v>
      </c>
      <c r="AW60" s="19">
        <v>0.36272178040514264</v>
      </c>
      <c r="AX60" s="19">
        <v>114.84487179999097</v>
      </c>
      <c r="AY60" s="19">
        <v>117.40868424635312</v>
      </c>
      <c r="AZ60" s="19">
        <v>10.538423000826725</v>
      </c>
      <c r="BA60" s="19">
        <v>9.2777777777777786</v>
      </c>
      <c r="BB60" s="19">
        <v>15.452232246125375</v>
      </c>
      <c r="BC60" s="18">
        <v>0.53409463446617855</v>
      </c>
      <c r="BD60" s="18">
        <v>0.49851632047477745</v>
      </c>
      <c r="BE60" s="19">
        <v>14.53671217359914</v>
      </c>
      <c r="BF60" s="18">
        <v>0.16913946587537093</v>
      </c>
      <c r="BG60" s="18">
        <v>0.19584569732937684</v>
      </c>
      <c r="BH60" s="19">
        <v>5.0368247856551234</v>
      </c>
      <c r="BI60" s="19">
        <v>11.164961608202189</v>
      </c>
      <c r="BJ60" s="19">
        <v>7.9212282418464532</v>
      </c>
      <c r="BK60" s="19">
        <v>11.049723756906078</v>
      </c>
      <c r="BL60" s="19">
        <v>1.1922389188987252</v>
      </c>
      <c r="BM60" s="19">
        <v>1.649019863818443</v>
      </c>
      <c r="BN60" s="19">
        <v>8.9543329021987859</v>
      </c>
      <c r="BO60" s="20" t="s">
        <v>257</v>
      </c>
      <c r="BP60" s="21"/>
      <c r="BQ60" s="31" t="s">
        <v>305</v>
      </c>
      <c r="BR60" s="31">
        <v>894.66</v>
      </c>
      <c r="BS60" s="31">
        <v>1132.76</v>
      </c>
      <c r="BT60" s="31">
        <v>238.1</v>
      </c>
      <c r="BU60" s="35">
        <f t="shared" si="21"/>
        <v>16.567777777777778</v>
      </c>
      <c r="BV60" s="35">
        <f t="shared" si="22"/>
        <v>20.977037037037036</v>
      </c>
      <c r="BW60" s="35">
        <f t="shared" si="23"/>
        <v>4.409259259259259</v>
      </c>
      <c r="BX60" s="36">
        <f t="shared" si="24"/>
        <v>27.593800601434189</v>
      </c>
      <c r="BY60" s="36">
        <f t="shared" si="25"/>
        <v>34.93746626571054</v>
      </c>
      <c r="BZ60" s="36">
        <f t="shared" si="26"/>
        <v>7.3436656642763509</v>
      </c>
      <c r="CA60" s="31">
        <v>30</v>
      </c>
      <c r="CB60" s="31">
        <v>24</v>
      </c>
    </row>
    <row r="61" spans="1:80" x14ac:dyDescent="0.4">
      <c r="A61" s="11" t="s">
        <v>53</v>
      </c>
      <c r="B61" s="11" t="s">
        <v>262</v>
      </c>
      <c r="C61" s="11" t="s">
        <v>106</v>
      </c>
      <c r="D61" s="25">
        <v>8</v>
      </c>
      <c r="E61" s="25">
        <v>3</v>
      </c>
      <c r="F61" s="25">
        <v>13</v>
      </c>
      <c r="G61" s="16">
        <v>1544</v>
      </c>
      <c r="H61" s="16">
        <v>14</v>
      </c>
      <c r="I61" s="17">
        <f t="shared" si="0"/>
        <v>1.75</v>
      </c>
      <c r="J61" s="15">
        <v>6</v>
      </c>
      <c r="K61" s="15">
        <v>17</v>
      </c>
      <c r="L61" s="17">
        <f t="shared" si="1"/>
        <v>0.75</v>
      </c>
      <c r="M61" s="17">
        <f t="shared" si="2"/>
        <v>2.125</v>
      </c>
      <c r="N61" s="18">
        <f t="shared" si="3"/>
        <v>0.35294117647058826</v>
      </c>
      <c r="O61" s="16">
        <v>4</v>
      </c>
      <c r="P61" s="15">
        <v>10</v>
      </c>
      <c r="Q61" s="17">
        <f t="shared" si="4"/>
        <v>0.5</v>
      </c>
      <c r="R61" s="17">
        <f t="shared" si="5"/>
        <v>1.25</v>
      </c>
      <c r="S61" s="18">
        <f t="shared" si="6"/>
        <v>0.4</v>
      </c>
      <c r="T61" s="15">
        <v>2</v>
      </c>
      <c r="U61" s="15">
        <v>7</v>
      </c>
      <c r="V61" s="17">
        <f t="shared" si="7"/>
        <v>0.25</v>
      </c>
      <c r="W61" s="17">
        <f t="shared" si="8"/>
        <v>0.875</v>
      </c>
      <c r="X61" s="18">
        <f t="shared" si="9"/>
        <v>0.2857142857142857</v>
      </c>
      <c r="Y61" s="15">
        <v>0</v>
      </c>
      <c r="Z61" s="15">
        <v>0</v>
      </c>
      <c r="AA61" s="17">
        <f t="shared" si="10"/>
        <v>0</v>
      </c>
      <c r="AB61" s="17">
        <f t="shared" si="11"/>
        <v>0</v>
      </c>
      <c r="AC61" s="18" t="e">
        <f t="shared" si="12"/>
        <v>#DIV/0!</v>
      </c>
      <c r="AD61" s="15">
        <v>2</v>
      </c>
      <c r="AE61" s="17">
        <f t="shared" si="13"/>
        <v>0.25</v>
      </c>
      <c r="AF61" s="15">
        <v>0</v>
      </c>
      <c r="AG61" s="17">
        <f t="shared" si="14"/>
        <v>0</v>
      </c>
      <c r="AH61" s="15">
        <v>2</v>
      </c>
      <c r="AI61" s="17">
        <f t="shared" si="15"/>
        <v>0.25</v>
      </c>
      <c r="AJ61" s="15">
        <v>1</v>
      </c>
      <c r="AK61" s="17">
        <f t="shared" si="16"/>
        <v>0.125</v>
      </c>
      <c r="AL61" s="15">
        <v>2</v>
      </c>
      <c r="AM61" s="17">
        <f t="shared" si="17"/>
        <v>0.25</v>
      </c>
      <c r="AN61" s="15">
        <v>0</v>
      </c>
      <c r="AO61" s="17">
        <f t="shared" si="18"/>
        <v>0</v>
      </c>
      <c r="AP61" s="4">
        <v>2</v>
      </c>
      <c r="AQ61" s="17">
        <f t="shared" si="19"/>
        <v>0.25</v>
      </c>
      <c r="AR61" s="15">
        <v>1</v>
      </c>
      <c r="AS61" s="17">
        <f t="shared" si="20"/>
        <v>0.125</v>
      </c>
      <c r="AT61" s="19">
        <v>-9.6978132934821756E-2</v>
      </c>
      <c r="AU61" s="19">
        <v>-0.15074321181578509</v>
      </c>
      <c r="AV61" s="19">
        <v>-0.11943523494733277</v>
      </c>
      <c r="AW61" s="19">
        <v>2.2457102012511009E-2</v>
      </c>
      <c r="AX61" s="19">
        <v>77.811864307223971</v>
      </c>
      <c r="AY61" s="19">
        <v>112.75655524470089</v>
      </c>
      <c r="AZ61" s="19">
        <v>1.1619215821322086</v>
      </c>
      <c r="BA61" s="19">
        <v>0.75</v>
      </c>
      <c r="BB61" s="19">
        <v>9.3264248704663206</v>
      </c>
      <c r="BC61" s="18">
        <v>0.41176470588235292</v>
      </c>
      <c r="BD61" s="18">
        <v>0.41176470588235292</v>
      </c>
      <c r="BE61" s="19">
        <v>5.1292893626052587</v>
      </c>
      <c r="BF61" s="18">
        <v>0.41176470588235292</v>
      </c>
      <c r="BG61" s="18">
        <v>0</v>
      </c>
      <c r="BH61" s="19">
        <v>0</v>
      </c>
      <c r="BI61" s="19">
        <v>1.2535517299013872</v>
      </c>
      <c r="BJ61" s="19">
        <v>0.61287497095228005</v>
      </c>
      <c r="BK61" s="19">
        <v>0.77459333849728895</v>
      </c>
      <c r="BL61" s="19">
        <v>4.2918615486299689</v>
      </c>
      <c r="BM61" s="19">
        <v>0</v>
      </c>
      <c r="BN61" s="19">
        <v>10.526315789473685</v>
      </c>
      <c r="BO61" s="20" t="s">
        <v>257</v>
      </c>
      <c r="BP61" s="21">
        <v>50000</v>
      </c>
      <c r="BQ61" s="31" t="s">
        <v>306</v>
      </c>
      <c r="BR61" s="31">
        <v>12.43</v>
      </c>
      <c r="BS61" s="31">
        <v>25.93</v>
      </c>
      <c r="BT61" s="31">
        <v>13.5</v>
      </c>
      <c r="BU61" s="35">
        <f t="shared" si="21"/>
        <v>1.55375</v>
      </c>
      <c r="BV61" s="35">
        <f t="shared" si="22"/>
        <v>3.24125</v>
      </c>
      <c r="BW61" s="35">
        <f t="shared" si="23"/>
        <v>1.6875</v>
      </c>
      <c r="BX61" s="36">
        <f t="shared" si="24"/>
        <v>19.32124352331606</v>
      </c>
      <c r="BY61" s="36">
        <f t="shared" si="25"/>
        <v>40.305699481865283</v>
      </c>
      <c r="BZ61" s="36">
        <f t="shared" si="26"/>
        <v>20.984455958549223</v>
      </c>
      <c r="CA61" s="30">
        <v>7</v>
      </c>
      <c r="CB61" s="30">
        <v>1</v>
      </c>
    </row>
    <row r="62" spans="1:80" x14ac:dyDescent="0.4">
      <c r="A62" s="11" t="s">
        <v>53</v>
      </c>
      <c r="B62" s="11" t="s">
        <v>262</v>
      </c>
      <c r="C62" s="11" t="s">
        <v>107</v>
      </c>
      <c r="D62" s="26">
        <v>3</v>
      </c>
      <c r="E62" s="26">
        <v>3</v>
      </c>
      <c r="F62" s="26">
        <v>37</v>
      </c>
      <c r="G62" s="16">
        <v>651</v>
      </c>
      <c r="H62" s="16">
        <v>3</v>
      </c>
      <c r="I62" s="17">
        <f t="shared" si="0"/>
        <v>1</v>
      </c>
      <c r="J62" s="15">
        <v>1</v>
      </c>
      <c r="K62" s="15">
        <v>3</v>
      </c>
      <c r="L62" s="17">
        <f t="shared" si="1"/>
        <v>0.33333333333333331</v>
      </c>
      <c r="M62" s="17">
        <f t="shared" si="2"/>
        <v>1</v>
      </c>
      <c r="N62" s="18">
        <f t="shared" si="3"/>
        <v>0.33333333333333331</v>
      </c>
      <c r="O62" s="16">
        <v>0</v>
      </c>
      <c r="P62" s="15">
        <v>1</v>
      </c>
      <c r="Q62" s="17">
        <f t="shared" si="4"/>
        <v>0</v>
      </c>
      <c r="R62" s="17">
        <f t="shared" si="5"/>
        <v>0.33333333333333331</v>
      </c>
      <c r="S62" s="18">
        <f t="shared" si="6"/>
        <v>0</v>
      </c>
      <c r="T62" s="15">
        <v>1</v>
      </c>
      <c r="U62" s="15">
        <v>2</v>
      </c>
      <c r="V62" s="17">
        <f t="shared" si="7"/>
        <v>0.33333333333333331</v>
      </c>
      <c r="W62" s="17">
        <f t="shared" si="8"/>
        <v>0.66666666666666663</v>
      </c>
      <c r="X62" s="18">
        <f t="shared" si="9"/>
        <v>0.5</v>
      </c>
      <c r="Y62" s="9">
        <v>0</v>
      </c>
      <c r="Z62" s="9">
        <v>0</v>
      </c>
      <c r="AA62" s="17">
        <f t="shared" si="10"/>
        <v>0</v>
      </c>
      <c r="AB62" s="17">
        <f t="shared" si="11"/>
        <v>0</v>
      </c>
      <c r="AC62" s="18" t="e">
        <f t="shared" si="12"/>
        <v>#DIV/0!</v>
      </c>
      <c r="AD62" s="15">
        <v>0</v>
      </c>
      <c r="AE62" s="17">
        <f t="shared" si="13"/>
        <v>0</v>
      </c>
      <c r="AF62" s="15">
        <v>0</v>
      </c>
      <c r="AG62" s="17">
        <f t="shared" si="14"/>
        <v>0</v>
      </c>
      <c r="AH62" s="15">
        <v>0</v>
      </c>
      <c r="AI62" s="17">
        <f t="shared" si="15"/>
        <v>0</v>
      </c>
      <c r="AJ62" s="15">
        <v>1</v>
      </c>
      <c r="AK62" s="17">
        <f t="shared" si="16"/>
        <v>0.33333333333333331</v>
      </c>
      <c r="AL62" s="15">
        <v>1</v>
      </c>
      <c r="AM62" s="17">
        <f t="shared" si="17"/>
        <v>0.33333333333333331</v>
      </c>
      <c r="AN62" s="7">
        <v>0</v>
      </c>
      <c r="AO62" s="17">
        <f t="shared" si="18"/>
        <v>0</v>
      </c>
      <c r="AP62" s="33">
        <v>0</v>
      </c>
      <c r="AQ62" s="17">
        <f t="shared" si="19"/>
        <v>0</v>
      </c>
      <c r="AR62" s="15">
        <v>1</v>
      </c>
      <c r="AS62" s="17">
        <f t="shared" si="20"/>
        <v>0.33333333333333331</v>
      </c>
      <c r="AT62" s="19">
        <v>2.259162566706574E-2</v>
      </c>
      <c r="AU62" s="19">
        <v>8.3287099233422091E-2</v>
      </c>
      <c r="AV62" s="19">
        <v>1.4856870353972247E-2</v>
      </c>
      <c r="AW62" s="19">
        <v>7.734755313093495E-3</v>
      </c>
      <c r="AX62" s="19">
        <v>119.79649826833314</v>
      </c>
      <c r="AY62" s="19">
        <v>114.01023105935748</v>
      </c>
      <c r="AZ62" s="19">
        <v>0.57132869708683032</v>
      </c>
      <c r="BA62" s="19">
        <v>1</v>
      </c>
      <c r="BB62" s="19">
        <v>11.059907834101384</v>
      </c>
      <c r="BC62" s="18">
        <v>0.5</v>
      </c>
      <c r="BD62" s="18">
        <v>0.5</v>
      </c>
      <c r="BE62" s="19">
        <v>0.72031495050896066</v>
      </c>
      <c r="BF62" s="18">
        <v>0.66666666666666663</v>
      </c>
      <c r="BG62" s="18">
        <v>0</v>
      </c>
      <c r="BH62" s="19">
        <v>0</v>
      </c>
      <c r="BI62" s="19">
        <v>0</v>
      </c>
      <c r="BJ62" s="19">
        <v>0</v>
      </c>
      <c r="BK62" s="19">
        <v>0.66269052352551361</v>
      </c>
      <c r="BL62" s="19">
        <v>5.0895808226456776</v>
      </c>
      <c r="BM62" s="19">
        <v>0</v>
      </c>
      <c r="BN62" s="19">
        <v>0</v>
      </c>
      <c r="BO62" s="20" t="s">
        <v>257</v>
      </c>
      <c r="BP62" s="21">
        <v>780000</v>
      </c>
      <c r="BQ62" s="30" t="s">
        <v>306</v>
      </c>
      <c r="BR62" s="30">
        <v>6.31</v>
      </c>
      <c r="BS62" s="30">
        <v>8.2100000000000009</v>
      </c>
      <c r="BT62" s="30">
        <v>1.9</v>
      </c>
      <c r="BU62" s="35">
        <f t="shared" si="21"/>
        <v>2.1033333333333335</v>
      </c>
      <c r="BV62" s="35">
        <f t="shared" si="22"/>
        <v>2.7366666666666668</v>
      </c>
      <c r="BW62" s="35">
        <f t="shared" si="23"/>
        <v>0.6333333333333333</v>
      </c>
      <c r="BX62" s="36">
        <f t="shared" si="24"/>
        <v>23.262672811059915</v>
      </c>
      <c r="BY62" s="36">
        <f t="shared" si="25"/>
        <v>30.26728110599079</v>
      </c>
      <c r="BZ62" s="36">
        <f t="shared" si="26"/>
        <v>7.0046082949308754</v>
      </c>
      <c r="CA62" s="31">
        <v>1</v>
      </c>
      <c r="CB62" s="31">
        <v>2</v>
      </c>
    </row>
    <row r="63" spans="1:80" x14ac:dyDescent="0.4">
      <c r="A63" s="11" t="s">
        <v>53</v>
      </c>
      <c r="B63" s="11" t="s">
        <v>262</v>
      </c>
      <c r="C63" s="11" t="s">
        <v>94</v>
      </c>
      <c r="D63" s="25">
        <v>48</v>
      </c>
      <c r="E63" s="25">
        <v>25</v>
      </c>
      <c r="F63" s="25">
        <v>4</v>
      </c>
      <c r="G63" s="16">
        <v>72192</v>
      </c>
      <c r="H63" s="16">
        <v>405</v>
      </c>
      <c r="I63" s="17">
        <f t="shared" si="0"/>
        <v>8.4375</v>
      </c>
      <c r="J63" s="15">
        <v>155</v>
      </c>
      <c r="K63" s="15">
        <v>329</v>
      </c>
      <c r="L63" s="17">
        <f t="shared" si="1"/>
        <v>3.2291666666666665</v>
      </c>
      <c r="M63" s="17">
        <f t="shared" si="2"/>
        <v>6.854166666666667</v>
      </c>
      <c r="N63" s="18">
        <f t="shared" si="3"/>
        <v>0.47112462006079026</v>
      </c>
      <c r="O63" s="16">
        <v>114</v>
      </c>
      <c r="P63" s="15">
        <v>219</v>
      </c>
      <c r="Q63" s="17">
        <f t="shared" si="4"/>
        <v>2.375</v>
      </c>
      <c r="R63" s="17">
        <f t="shared" si="5"/>
        <v>4.5625</v>
      </c>
      <c r="S63" s="18">
        <f t="shared" si="6"/>
        <v>0.52054794520547942</v>
      </c>
      <c r="T63" s="15">
        <v>41</v>
      </c>
      <c r="U63" s="15">
        <v>110</v>
      </c>
      <c r="V63" s="17">
        <f t="shared" si="7"/>
        <v>0.85416666666666663</v>
      </c>
      <c r="W63" s="17">
        <f t="shared" si="8"/>
        <v>2.2916666666666665</v>
      </c>
      <c r="X63" s="18">
        <f t="shared" si="9"/>
        <v>0.37272727272727274</v>
      </c>
      <c r="Y63" s="15">
        <v>54</v>
      </c>
      <c r="Z63" s="15">
        <v>64</v>
      </c>
      <c r="AA63" s="17">
        <f t="shared" si="10"/>
        <v>1.125</v>
      </c>
      <c r="AB63" s="17">
        <f t="shared" si="11"/>
        <v>1.3333333333333333</v>
      </c>
      <c r="AC63" s="18">
        <f t="shared" si="12"/>
        <v>0.84375</v>
      </c>
      <c r="AD63" s="15">
        <v>107</v>
      </c>
      <c r="AE63" s="17">
        <f t="shared" si="13"/>
        <v>2.2291666666666665</v>
      </c>
      <c r="AF63" s="15">
        <v>28</v>
      </c>
      <c r="AG63" s="17">
        <f t="shared" si="14"/>
        <v>0.58333333333333337</v>
      </c>
      <c r="AH63" s="15">
        <v>79</v>
      </c>
      <c r="AI63" s="17">
        <f t="shared" si="15"/>
        <v>1.6458333333333333</v>
      </c>
      <c r="AJ63" s="15">
        <v>119</v>
      </c>
      <c r="AK63" s="17">
        <f t="shared" si="16"/>
        <v>2.4791666666666665</v>
      </c>
      <c r="AL63" s="15">
        <v>25</v>
      </c>
      <c r="AM63" s="17">
        <f t="shared" si="17"/>
        <v>0.52083333333333337</v>
      </c>
      <c r="AN63" s="15">
        <v>1</v>
      </c>
      <c r="AO63" s="17">
        <f t="shared" si="18"/>
        <v>2.0833333333333332E-2</v>
      </c>
      <c r="AP63" s="4">
        <v>44</v>
      </c>
      <c r="AQ63" s="17">
        <f t="shared" si="19"/>
        <v>0.91666666666666663</v>
      </c>
      <c r="AR63" s="15">
        <v>111</v>
      </c>
      <c r="AS63" s="17">
        <f t="shared" si="20"/>
        <v>2.3125</v>
      </c>
      <c r="AT63" s="19">
        <v>1.6955167948057637</v>
      </c>
      <c r="AU63" s="19">
        <v>5.6366914720936287E-2</v>
      </c>
      <c r="AV63" s="19">
        <v>1.7207798521538993</v>
      </c>
      <c r="AW63" s="19">
        <v>-2.5263057348135689E-2</v>
      </c>
      <c r="AX63" s="19">
        <v>116.46447615952522</v>
      </c>
      <c r="AY63" s="19">
        <v>119.76753667126033</v>
      </c>
      <c r="AZ63" s="19">
        <v>8.5893812956799529</v>
      </c>
      <c r="BA63" s="19">
        <v>8.9375</v>
      </c>
      <c r="BB63" s="19">
        <v>14.261968085106382</v>
      </c>
      <c r="BC63" s="18">
        <v>0.56697278530630524</v>
      </c>
      <c r="BD63" s="18">
        <v>0.53343465045592708</v>
      </c>
      <c r="BE63" s="19">
        <v>13.897308374007073</v>
      </c>
      <c r="BF63" s="18">
        <v>0.33434650455927051</v>
      </c>
      <c r="BG63" s="18">
        <v>0.19452887537993921</v>
      </c>
      <c r="BH63" s="19">
        <v>2.2520590253946464</v>
      </c>
      <c r="BI63" s="19">
        <v>6.3540236787920383</v>
      </c>
      <c r="BJ63" s="19">
        <v>4.20760672378176</v>
      </c>
      <c r="BK63" s="19">
        <v>13.254622410336378</v>
      </c>
      <c r="BL63" s="19">
        <v>1.1473976048392953</v>
      </c>
      <c r="BM63" s="19">
        <v>7.523548707454332E-2</v>
      </c>
      <c r="BN63" s="19">
        <v>10.968192242496759</v>
      </c>
      <c r="BO63" s="20" t="s">
        <v>257</v>
      </c>
      <c r="BP63" s="21"/>
      <c r="BQ63" s="30" t="s">
        <v>306</v>
      </c>
      <c r="BR63" s="30">
        <v>818.65</v>
      </c>
      <c r="BS63" s="30">
        <v>1059.75</v>
      </c>
      <c r="BT63" s="30">
        <v>241.1</v>
      </c>
      <c r="BU63" s="35">
        <f t="shared" si="21"/>
        <v>17.055208333333333</v>
      </c>
      <c r="BV63" s="35">
        <f t="shared" si="22"/>
        <v>22.078125</v>
      </c>
      <c r="BW63" s="35">
        <f t="shared" si="23"/>
        <v>5.0229166666666663</v>
      </c>
      <c r="BX63" s="36">
        <f t="shared" si="24"/>
        <v>27.215757978723406</v>
      </c>
      <c r="BY63" s="36">
        <f t="shared" si="25"/>
        <v>35.231050531914896</v>
      </c>
      <c r="BZ63" s="36">
        <f t="shared" si="26"/>
        <v>8.0152925531914896</v>
      </c>
      <c r="CA63" s="30">
        <v>27</v>
      </c>
      <c r="CB63" s="30">
        <v>21</v>
      </c>
    </row>
    <row r="64" spans="1:80" x14ac:dyDescent="0.4">
      <c r="A64" s="11" t="s">
        <v>53</v>
      </c>
      <c r="B64" s="11" t="s">
        <v>262</v>
      </c>
      <c r="C64" s="11" t="s">
        <v>103</v>
      </c>
      <c r="D64" s="25">
        <v>24</v>
      </c>
      <c r="E64" s="25">
        <v>8</v>
      </c>
      <c r="F64" s="25">
        <v>31</v>
      </c>
      <c r="G64" s="16">
        <v>12264</v>
      </c>
      <c r="H64" s="16">
        <v>36</v>
      </c>
      <c r="I64" s="17">
        <f t="shared" si="0"/>
        <v>1.5</v>
      </c>
      <c r="J64" s="15">
        <v>10</v>
      </c>
      <c r="K64" s="15">
        <v>40</v>
      </c>
      <c r="L64" s="17">
        <f t="shared" si="1"/>
        <v>0.41666666666666669</v>
      </c>
      <c r="M64" s="17">
        <f t="shared" si="2"/>
        <v>1.6666666666666667</v>
      </c>
      <c r="N64" s="18">
        <f t="shared" si="3"/>
        <v>0.25</v>
      </c>
      <c r="O64" s="16">
        <v>3</v>
      </c>
      <c r="P64" s="15">
        <v>9</v>
      </c>
      <c r="Q64" s="17">
        <f t="shared" si="4"/>
        <v>0.125</v>
      </c>
      <c r="R64" s="17">
        <f t="shared" si="5"/>
        <v>0.375</v>
      </c>
      <c r="S64" s="18">
        <f t="shared" si="6"/>
        <v>0.33333333333333331</v>
      </c>
      <c r="T64" s="15">
        <v>7</v>
      </c>
      <c r="U64" s="15">
        <v>31</v>
      </c>
      <c r="V64" s="17">
        <f t="shared" si="7"/>
        <v>0.29166666666666669</v>
      </c>
      <c r="W64" s="17">
        <f t="shared" si="8"/>
        <v>1.2916666666666667</v>
      </c>
      <c r="X64" s="18">
        <f t="shared" si="9"/>
        <v>0.22580645161290322</v>
      </c>
      <c r="Y64" s="15">
        <v>9</v>
      </c>
      <c r="Z64" s="15">
        <v>13</v>
      </c>
      <c r="AA64" s="17">
        <f t="shared" si="10"/>
        <v>0.375</v>
      </c>
      <c r="AB64" s="17">
        <f t="shared" si="11"/>
        <v>0.54166666666666663</v>
      </c>
      <c r="AC64" s="18">
        <f t="shared" si="12"/>
        <v>0.69230769230769229</v>
      </c>
      <c r="AD64" s="15">
        <v>17</v>
      </c>
      <c r="AE64" s="17">
        <f t="shared" si="13"/>
        <v>0.70833333333333337</v>
      </c>
      <c r="AF64" s="15">
        <v>4</v>
      </c>
      <c r="AG64" s="17">
        <f t="shared" si="14"/>
        <v>0.16666666666666666</v>
      </c>
      <c r="AH64" s="15">
        <v>13</v>
      </c>
      <c r="AI64" s="17">
        <f t="shared" si="15"/>
        <v>0.54166666666666663</v>
      </c>
      <c r="AJ64" s="15">
        <v>5</v>
      </c>
      <c r="AK64" s="17">
        <f t="shared" si="16"/>
        <v>0.20833333333333334</v>
      </c>
      <c r="AL64" s="15">
        <v>4</v>
      </c>
      <c r="AM64" s="17">
        <f t="shared" si="17"/>
        <v>0.16666666666666666</v>
      </c>
      <c r="AN64" s="15">
        <v>3</v>
      </c>
      <c r="AO64" s="17">
        <f t="shared" si="18"/>
        <v>0.125</v>
      </c>
      <c r="AP64" s="4">
        <v>6</v>
      </c>
      <c r="AQ64" s="17">
        <f t="shared" si="19"/>
        <v>0.25</v>
      </c>
      <c r="AR64" s="15">
        <v>27</v>
      </c>
      <c r="AS64" s="17">
        <f t="shared" si="20"/>
        <v>1.125</v>
      </c>
      <c r="AT64" s="19">
        <v>-0.24596533938659321</v>
      </c>
      <c r="AU64" s="19">
        <v>-4.8134117296789278E-2</v>
      </c>
      <c r="AV64" s="19">
        <v>-0.25868764717414527</v>
      </c>
      <c r="AW64" s="19">
        <v>1.2722307787552073E-2</v>
      </c>
      <c r="AX64" s="19">
        <v>83.99159882398412</v>
      </c>
      <c r="AY64" s="19">
        <v>119.11452414850223</v>
      </c>
      <c r="AZ64" s="19">
        <v>1.5829727602396357E-2</v>
      </c>
      <c r="BA64" s="19">
        <v>1.0416666666666667</v>
      </c>
      <c r="BB64" s="19">
        <v>4.8923679060665357</v>
      </c>
      <c r="BC64" s="18">
        <v>0.39370078740157483</v>
      </c>
      <c r="BD64" s="18">
        <v>0.33750000000000002</v>
      </c>
      <c r="BE64" s="19">
        <v>5.2734948239727242</v>
      </c>
      <c r="BF64" s="18">
        <v>0.77500000000000002</v>
      </c>
      <c r="BG64" s="18">
        <v>0.32500000000000001</v>
      </c>
      <c r="BH64" s="19">
        <v>0.94690991730320051</v>
      </c>
      <c r="BI64" s="19">
        <v>3.0774572312354018</v>
      </c>
      <c r="BJ64" s="19">
        <v>1.9675565359045311</v>
      </c>
      <c r="BK64" s="19">
        <v>1.4380212827149843</v>
      </c>
      <c r="BL64" s="19">
        <v>1.0806644212466849</v>
      </c>
      <c r="BM64" s="19">
        <v>0.66431021072473473</v>
      </c>
      <c r="BN64" s="19">
        <v>11.600928074245941</v>
      </c>
      <c r="BO64" s="20" t="s">
        <v>257</v>
      </c>
      <c r="BP64" s="21"/>
      <c r="BQ64" s="30" t="s">
        <v>305</v>
      </c>
      <c r="BR64" s="30">
        <v>82.26</v>
      </c>
      <c r="BS64" s="30">
        <v>122.06</v>
      </c>
      <c r="BT64" s="30">
        <v>39.799999999999997</v>
      </c>
      <c r="BU64" s="35">
        <f t="shared" si="21"/>
        <v>3.4275000000000002</v>
      </c>
      <c r="BV64" s="35">
        <f t="shared" si="22"/>
        <v>5.0858333333333334</v>
      </c>
      <c r="BW64" s="35">
        <f t="shared" si="23"/>
        <v>1.6583333333333332</v>
      </c>
      <c r="BX64" s="36">
        <f t="shared" si="24"/>
        <v>16.097847358121331</v>
      </c>
      <c r="BY64" s="36">
        <f t="shared" si="25"/>
        <v>23.886497064579256</v>
      </c>
      <c r="BZ64" s="36">
        <f t="shared" si="26"/>
        <v>7.7886497064579254</v>
      </c>
      <c r="CA64" s="30">
        <v>12</v>
      </c>
      <c r="CB64" s="30">
        <v>12</v>
      </c>
    </row>
    <row r="65" spans="1:80" x14ac:dyDescent="0.4">
      <c r="A65" s="11" t="s">
        <v>53</v>
      </c>
      <c r="B65" s="11" t="s">
        <v>262</v>
      </c>
      <c r="C65" s="11" t="s">
        <v>95</v>
      </c>
      <c r="D65" s="25">
        <v>48</v>
      </c>
      <c r="E65" s="25">
        <v>19</v>
      </c>
      <c r="F65" s="25">
        <v>42</v>
      </c>
      <c r="G65" s="16">
        <v>56736</v>
      </c>
      <c r="H65" s="16">
        <v>270</v>
      </c>
      <c r="I65" s="17">
        <f t="shared" si="0"/>
        <v>5.625</v>
      </c>
      <c r="J65" s="15">
        <v>91</v>
      </c>
      <c r="K65" s="15">
        <v>199</v>
      </c>
      <c r="L65" s="17">
        <f t="shared" si="1"/>
        <v>1.8958333333333333</v>
      </c>
      <c r="M65" s="17">
        <f t="shared" si="2"/>
        <v>4.145833333333333</v>
      </c>
      <c r="N65" s="18">
        <f t="shared" si="3"/>
        <v>0.457286432160804</v>
      </c>
      <c r="O65" s="16">
        <v>54</v>
      </c>
      <c r="P65" s="15">
        <v>109</v>
      </c>
      <c r="Q65" s="17">
        <f t="shared" si="4"/>
        <v>1.125</v>
      </c>
      <c r="R65" s="17">
        <f t="shared" si="5"/>
        <v>2.2708333333333335</v>
      </c>
      <c r="S65" s="18">
        <f t="shared" si="6"/>
        <v>0.49541284403669728</v>
      </c>
      <c r="T65" s="15">
        <v>37</v>
      </c>
      <c r="U65" s="15">
        <v>90</v>
      </c>
      <c r="V65" s="17">
        <f t="shared" si="7"/>
        <v>0.77083333333333337</v>
      </c>
      <c r="W65" s="17">
        <f t="shared" si="8"/>
        <v>1.875</v>
      </c>
      <c r="X65" s="18">
        <f t="shared" si="9"/>
        <v>0.41111111111111109</v>
      </c>
      <c r="Y65" s="15">
        <v>51</v>
      </c>
      <c r="Z65" s="15">
        <v>75</v>
      </c>
      <c r="AA65" s="17">
        <f t="shared" si="10"/>
        <v>1.0625</v>
      </c>
      <c r="AB65" s="17">
        <f t="shared" si="11"/>
        <v>1.5625</v>
      </c>
      <c r="AC65" s="18">
        <f t="shared" si="12"/>
        <v>0.68</v>
      </c>
      <c r="AD65" s="15">
        <v>90</v>
      </c>
      <c r="AE65" s="17">
        <f t="shared" si="13"/>
        <v>1.875</v>
      </c>
      <c r="AF65" s="15">
        <v>26</v>
      </c>
      <c r="AG65" s="17">
        <f t="shared" si="14"/>
        <v>0.54166666666666663</v>
      </c>
      <c r="AH65" s="15">
        <v>64</v>
      </c>
      <c r="AI65" s="17">
        <f t="shared" si="15"/>
        <v>1.3333333333333333</v>
      </c>
      <c r="AJ65" s="15">
        <v>98</v>
      </c>
      <c r="AK65" s="17">
        <f t="shared" si="16"/>
        <v>2.0416666666666665</v>
      </c>
      <c r="AL65" s="15">
        <v>17</v>
      </c>
      <c r="AM65" s="17">
        <f t="shared" si="17"/>
        <v>0.35416666666666669</v>
      </c>
      <c r="AN65" s="24">
        <v>4</v>
      </c>
      <c r="AO65" s="17">
        <f t="shared" si="18"/>
        <v>8.3333333333333329E-2</v>
      </c>
      <c r="AP65" s="5">
        <v>37</v>
      </c>
      <c r="AQ65" s="17">
        <f t="shared" si="19"/>
        <v>0.77083333333333337</v>
      </c>
      <c r="AR65" s="15">
        <v>81</v>
      </c>
      <c r="AS65" s="17">
        <f t="shared" si="20"/>
        <v>1.6875</v>
      </c>
      <c r="AT65" s="19">
        <v>1.2962006480352668</v>
      </c>
      <c r="AU65" s="19">
        <v>5.4830822674926678E-2</v>
      </c>
      <c r="AV65" s="19">
        <v>1.3268670723956255</v>
      </c>
      <c r="AW65" s="19">
        <v>-3.0666424360358643E-2</v>
      </c>
      <c r="AX65" s="19">
        <v>117.96325373070093</v>
      </c>
      <c r="AY65" s="19">
        <v>119.85723774884461</v>
      </c>
      <c r="AZ65" s="19">
        <v>7.8121739637911976</v>
      </c>
      <c r="BA65" s="19">
        <v>6.458333333333333</v>
      </c>
      <c r="BB65" s="19">
        <v>13.113367174280878</v>
      </c>
      <c r="BC65" s="18">
        <v>0.5818965517241379</v>
      </c>
      <c r="BD65" s="18">
        <v>0.55025125628140703</v>
      </c>
      <c r="BE65" s="19">
        <v>11.857570390879738</v>
      </c>
      <c r="BF65" s="18">
        <v>0.45226130653266333</v>
      </c>
      <c r="BG65" s="18">
        <v>0.37688442211055279</v>
      </c>
      <c r="BH65" s="19">
        <v>2.6608809562796787</v>
      </c>
      <c r="BI65" s="19">
        <v>6.549860815457671</v>
      </c>
      <c r="BJ65" s="19">
        <v>4.5032310682914991</v>
      </c>
      <c r="BK65" s="19">
        <v>13.307984790874524</v>
      </c>
      <c r="BL65" s="19">
        <v>0.9927804385966531</v>
      </c>
      <c r="BM65" s="19">
        <v>0.38292444182779412</v>
      </c>
      <c r="BN65" s="19">
        <v>13.754646840148698</v>
      </c>
      <c r="BO65" s="20" t="s">
        <v>257</v>
      </c>
      <c r="BP65" s="21"/>
      <c r="BQ65" s="31" t="s">
        <v>306</v>
      </c>
      <c r="BR65" s="31">
        <v>605.92999999999995</v>
      </c>
      <c r="BS65" s="31">
        <v>783.33</v>
      </c>
      <c r="BT65" s="31">
        <v>177.4</v>
      </c>
      <c r="BU65" s="35">
        <f t="shared" si="21"/>
        <v>12.623541666666668</v>
      </c>
      <c r="BV65" s="35">
        <f t="shared" si="22"/>
        <v>16.319375000000001</v>
      </c>
      <c r="BW65" s="35">
        <f t="shared" si="23"/>
        <v>3.6958333333333333</v>
      </c>
      <c r="BX65" s="36">
        <f t="shared" si="24"/>
        <v>25.631556683587142</v>
      </c>
      <c r="BY65" s="36">
        <f t="shared" si="25"/>
        <v>33.135786802030459</v>
      </c>
      <c r="BZ65" s="36">
        <f t="shared" si="26"/>
        <v>7.5042301184433162</v>
      </c>
      <c r="CA65" s="31">
        <v>26</v>
      </c>
      <c r="CB65" s="31">
        <v>22</v>
      </c>
    </row>
    <row r="66" spans="1:80" x14ac:dyDescent="0.4">
      <c r="A66" s="11" t="s">
        <v>53</v>
      </c>
      <c r="B66" s="11" t="s">
        <v>262</v>
      </c>
      <c r="C66" s="11" t="s">
        <v>93</v>
      </c>
      <c r="D66" s="15">
        <v>35</v>
      </c>
      <c r="E66" s="15">
        <v>29</v>
      </c>
      <c r="F66" s="15">
        <v>59</v>
      </c>
      <c r="G66" s="16">
        <v>62965</v>
      </c>
      <c r="H66" s="16">
        <v>491</v>
      </c>
      <c r="I66" s="17">
        <f t="shared" si="0"/>
        <v>14.028571428571428</v>
      </c>
      <c r="J66" s="15">
        <v>178</v>
      </c>
      <c r="K66" s="15">
        <v>451</v>
      </c>
      <c r="L66" s="17">
        <f t="shared" si="1"/>
        <v>5.0857142857142854</v>
      </c>
      <c r="M66" s="17">
        <f t="shared" si="2"/>
        <v>12.885714285714286</v>
      </c>
      <c r="N66" s="18">
        <f t="shared" si="3"/>
        <v>0.39467849223946783</v>
      </c>
      <c r="O66" s="16">
        <v>132</v>
      </c>
      <c r="P66" s="15">
        <v>287</v>
      </c>
      <c r="Q66" s="17">
        <f t="shared" ref="Q66:Q129" si="27">O66/$D66</f>
        <v>3.7714285714285714</v>
      </c>
      <c r="R66" s="17">
        <f t="shared" ref="R66:R129" si="28">P66/$D66</f>
        <v>8.1999999999999993</v>
      </c>
      <c r="S66" s="18">
        <f t="shared" ref="S66:S129" si="29">O66/P66</f>
        <v>0.45993031358885017</v>
      </c>
      <c r="T66" s="15">
        <v>46</v>
      </c>
      <c r="U66" s="15">
        <v>164</v>
      </c>
      <c r="V66" s="17">
        <f t="shared" ref="V66:V129" si="30">T66/$D66</f>
        <v>1.3142857142857143</v>
      </c>
      <c r="W66" s="17">
        <f t="shared" ref="W66:W129" si="31">U66/$D66</f>
        <v>4.6857142857142859</v>
      </c>
      <c r="X66" s="18">
        <f t="shared" ref="X66:X129" si="32">T66/U66</f>
        <v>0.28048780487804881</v>
      </c>
      <c r="Y66" s="15">
        <v>89</v>
      </c>
      <c r="Z66" s="15">
        <v>138</v>
      </c>
      <c r="AA66" s="17">
        <f t="shared" ref="AA66:AA129" si="33">Y66/$D66</f>
        <v>2.5428571428571427</v>
      </c>
      <c r="AB66" s="17">
        <f t="shared" ref="AB66:AB129" si="34">Z66/$D66</f>
        <v>3.9428571428571431</v>
      </c>
      <c r="AC66" s="18">
        <f t="shared" ref="AC66:AC129" si="35">Y66/Z66</f>
        <v>0.64492753623188404</v>
      </c>
      <c r="AD66" s="15">
        <v>222</v>
      </c>
      <c r="AE66" s="17">
        <f t="shared" ref="AE66:AE131" si="36">AD66/$D66</f>
        <v>6.3428571428571425</v>
      </c>
      <c r="AF66" s="15">
        <v>36</v>
      </c>
      <c r="AG66" s="17">
        <f t="shared" ref="AG66:AG131" si="37">AF66/$D66</f>
        <v>1.0285714285714285</v>
      </c>
      <c r="AH66" s="15">
        <v>186</v>
      </c>
      <c r="AI66" s="17">
        <f t="shared" ref="AI66:AI131" si="38">AH66/$D66</f>
        <v>5.3142857142857141</v>
      </c>
      <c r="AJ66" s="15">
        <v>145</v>
      </c>
      <c r="AK66" s="17">
        <f t="shared" ref="AK66:AK131" si="39">AJ66/$D66</f>
        <v>4.1428571428571432</v>
      </c>
      <c r="AL66" s="15">
        <v>22</v>
      </c>
      <c r="AM66" s="17">
        <f t="shared" ref="AM66:AM131" si="40">AL66/$D66</f>
        <v>0.62857142857142856</v>
      </c>
      <c r="AN66" s="25">
        <v>40</v>
      </c>
      <c r="AO66" s="17">
        <f t="shared" ref="AO66:AO131" si="41">AN66/$D66</f>
        <v>1.1428571428571428</v>
      </c>
      <c r="AP66" s="4">
        <v>69</v>
      </c>
      <c r="AQ66" s="17">
        <f t="shared" ref="AQ66:AQ131" si="42">AP66/$D66</f>
        <v>1.9714285714285715</v>
      </c>
      <c r="AR66" s="15">
        <v>80</v>
      </c>
      <c r="AS66" s="17">
        <f t="shared" ref="AS66:AS131" si="43">AR66/$D66</f>
        <v>2.2857142857142856</v>
      </c>
      <c r="AT66" s="19">
        <v>0.75036034347323066</v>
      </c>
      <c r="AU66" s="19">
        <v>2.8601045411510422E-2</v>
      </c>
      <c r="AV66" s="19">
        <v>-9.5683576236362547E-2</v>
      </c>
      <c r="AW66" s="19">
        <v>0.84604391970959325</v>
      </c>
      <c r="AX66" s="19">
        <v>101.32266294484344</v>
      </c>
      <c r="AY66" s="19">
        <v>113.27810460113578</v>
      </c>
      <c r="AZ66" s="19">
        <v>8.7602146323278181</v>
      </c>
      <c r="BA66" s="19">
        <v>15.114285714285714</v>
      </c>
      <c r="BB66" s="19">
        <v>20.163582942904785</v>
      </c>
      <c r="BC66" s="18">
        <v>0.47975455327132022</v>
      </c>
      <c r="BD66" s="18">
        <v>0.44567627494456763</v>
      </c>
      <c r="BE66" s="19">
        <v>16.818858936247043</v>
      </c>
      <c r="BF66" s="18">
        <v>0.36363636363636365</v>
      </c>
      <c r="BG66" s="18">
        <v>0.30598669623059865</v>
      </c>
      <c r="BH66" s="19">
        <v>2.4206996718607114</v>
      </c>
      <c r="BI66" s="19">
        <v>12.506948304613674</v>
      </c>
      <c r="BJ66" s="19">
        <v>7.2982882171821544</v>
      </c>
      <c r="BK66" s="19">
        <v>13.409784518634973</v>
      </c>
      <c r="BL66" s="19">
        <v>1.1576745261960038</v>
      </c>
      <c r="BM66" s="19">
        <v>2.5159349096189696</v>
      </c>
      <c r="BN66" s="19">
        <v>11.881801901088304</v>
      </c>
      <c r="BO66" s="20" t="s">
        <v>257</v>
      </c>
      <c r="BP66" s="21"/>
      <c r="BQ66" s="30" t="s">
        <v>305</v>
      </c>
      <c r="BR66" s="30">
        <v>876.4</v>
      </c>
      <c r="BS66" s="30">
        <v>1280.3</v>
      </c>
      <c r="BT66" s="30">
        <v>403.9</v>
      </c>
      <c r="BU66" s="35">
        <f t="shared" si="21"/>
        <v>25.04</v>
      </c>
      <c r="BV66" s="35">
        <f t="shared" si="22"/>
        <v>36.58</v>
      </c>
      <c r="BW66" s="35">
        <f t="shared" si="23"/>
        <v>11.54</v>
      </c>
      <c r="BX66" s="36">
        <f t="shared" si="24"/>
        <v>33.405225125069478</v>
      </c>
      <c r="BY66" s="36">
        <f t="shared" si="25"/>
        <v>48.800444691495272</v>
      </c>
      <c r="BZ66" s="36">
        <f t="shared" si="26"/>
        <v>15.395219566425792</v>
      </c>
      <c r="CA66" s="30">
        <v>21</v>
      </c>
      <c r="CB66" s="30">
        <v>14</v>
      </c>
    </row>
    <row r="67" spans="1:80" x14ac:dyDescent="0.4">
      <c r="A67" s="11" t="s">
        <v>53</v>
      </c>
      <c r="B67" s="11" t="s">
        <v>262</v>
      </c>
      <c r="C67" s="11" t="s">
        <v>104</v>
      </c>
      <c r="D67" s="15">
        <v>21</v>
      </c>
      <c r="E67" s="15">
        <v>11</v>
      </c>
      <c r="F67" s="15">
        <v>2</v>
      </c>
      <c r="G67" s="16">
        <v>13902</v>
      </c>
      <c r="H67" s="16">
        <v>79</v>
      </c>
      <c r="I67" s="17">
        <f t="shared" si="0"/>
        <v>3.7619047619047619</v>
      </c>
      <c r="J67" s="15">
        <v>30</v>
      </c>
      <c r="K67" s="15">
        <v>49</v>
      </c>
      <c r="L67" s="17">
        <f t="shared" si="1"/>
        <v>1.4285714285714286</v>
      </c>
      <c r="M67" s="17">
        <f t="shared" si="2"/>
        <v>2.3333333333333335</v>
      </c>
      <c r="N67" s="18">
        <f t="shared" si="3"/>
        <v>0.61224489795918369</v>
      </c>
      <c r="O67" s="16">
        <v>22</v>
      </c>
      <c r="P67" s="15">
        <v>29</v>
      </c>
      <c r="Q67" s="17">
        <f t="shared" si="27"/>
        <v>1.0476190476190477</v>
      </c>
      <c r="R67" s="17">
        <f t="shared" si="28"/>
        <v>1.3809523809523809</v>
      </c>
      <c r="S67" s="18">
        <f t="shared" si="29"/>
        <v>0.75862068965517238</v>
      </c>
      <c r="T67" s="15">
        <v>8</v>
      </c>
      <c r="U67" s="15">
        <v>20</v>
      </c>
      <c r="V67" s="17">
        <f t="shared" si="30"/>
        <v>0.38095238095238093</v>
      </c>
      <c r="W67" s="17">
        <f t="shared" si="31"/>
        <v>0.95238095238095233</v>
      </c>
      <c r="X67" s="18">
        <f t="shared" si="32"/>
        <v>0.4</v>
      </c>
      <c r="Y67" s="15">
        <v>11</v>
      </c>
      <c r="Z67" s="15">
        <v>17</v>
      </c>
      <c r="AA67" s="17">
        <f t="shared" si="33"/>
        <v>0.52380952380952384</v>
      </c>
      <c r="AB67" s="17">
        <f t="shared" si="34"/>
        <v>0.80952380952380953</v>
      </c>
      <c r="AC67" s="18">
        <f t="shared" si="35"/>
        <v>0.6470588235294118</v>
      </c>
      <c r="AD67" s="15">
        <v>21</v>
      </c>
      <c r="AE67" s="17">
        <f t="shared" si="36"/>
        <v>1</v>
      </c>
      <c r="AF67" s="15">
        <v>3</v>
      </c>
      <c r="AG67" s="17">
        <f t="shared" si="37"/>
        <v>0.14285714285714285</v>
      </c>
      <c r="AH67" s="15">
        <v>18</v>
      </c>
      <c r="AI67" s="17">
        <f t="shared" si="38"/>
        <v>0.8571428571428571</v>
      </c>
      <c r="AJ67" s="15">
        <v>19</v>
      </c>
      <c r="AK67" s="17">
        <f t="shared" si="39"/>
        <v>0.90476190476190477</v>
      </c>
      <c r="AL67" s="15">
        <v>13</v>
      </c>
      <c r="AM67" s="17">
        <f t="shared" si="40"/>
        <v>0.61904761904761907</v>
      </c>
      <c r="AN67" s="25">
        <v>0</v>
      </c>
      <c r="AO67" s="17">
        <f t="shared" si="41"/>
        <v>0</v>
      </c>
      <c r="AP67" s="4">
        <v>10</v>
      </c>
      <c r="AQ67" s="17">
        <f t="shared" si="42"/>
        <v>0.47619047619047616</v>
      </c>
      <c r="AR67" s="15">
        <v>34</v>
      </c>
      <c r="AS67" s="17">
        <f t="shared" si="43"/>
        <v>1.6190476190476191</v>
      </c>
      <c r="AT67" s="19">
        <v>0.60792477899515851</v>
      </c>
      <c r="AU67" s="19">
        <v>0.10495032870007052</v>
      </c>
      <c r="AV67" s="19">
        <v>0.47057887941786791</v>
      </c>
      <c r="AW67" s="19">
        <v>0.13734589957729063</v>
      </c>
      <c r="AX67" s="19">
        <v>126.18077154083267</v>
      </c>
      <c r="AY67" s="19">
        <v>114.95246871110008</v>
      </c>
      <c r="AZ67" s="19">
        <v>4.3004137386629715</v>
      </c>
      <c r="BA67" s="19">
        <v>4.6190476190476186</v>
      </c>
      <c r="BB67" s="19">
        <v>16.745791972378075</v>
      </c>
      <c r="BC67" s="18">
        <v>0.69936260623229451</v>
      </c>
      <c r="BD67" s="18">
        <v>0.69387755102040816</v>
      </c>
      <c r="BE67" s="19">
        <v>5.2323155722227321</v>
      </c>
      <c r="BF67" s="18">
        <v>0.40816326530612246</v>
      </c>
      <c r="BG67" s="18">
        <v>0.34693877551020408</v>
      </c>
      <c r="BH67" s="19">
        <v>0.54819218399766112</v>
      </c>
      <c r="BI67" s="19">
        <v>3.2891531039859667</v>
      </c>
      <c r="BJ67" s="19">
        <v>1.8761195296598119</v>
      </c>
      <c r="BK67" s="19">
        <v>4.3839409321642826</v>
      </c>
      <c r="BL67" s="19">
        <v>3.0983399871997102</v>
      </c>
      <c r="BM67" s="19">
        <v>0</v>
      </c>
      <c r="BN67" s="19">
        <v>15.042117930204572</v>
      </c>
      <c r="BO67" s="20" t="s">
        <v>244</v>
      </c>
      <c r="BP67" s="21">
        <v>19500</v>
      </c>
      <c r="BQ67" s="31" t="s">
        <v>306</v>
      </c>
      <c r="BR67" s="31">
        <v>163.33000000000001</v>
      </c>
      <c r="BS67" s="31">
        <v>200.93</v>
      </c>
      <c r="BT67" s="31">
        <v>37.6</v>
      </c>
      <c r="BU67" s="35">
        <f t="shared" ref="BU67:BU130" si="44">BV67-BW67</f>
        <v>7.7776190476190488</v>
      </c>
      <c r="BV67" s="35">
        <f t="shared" ref="BV67:BV130" si="45">BS67/$D67</f>
        <v>9.5680952380952391</v>
      </c>
      <c r="BW67" s="35">
        <f t="shared" ref="BW67:BW130" si="46">BT67/$D67</f>
        <v>1.7904761904761906</v>
      </c>
      <c r="BX67" s="36">
        <f t="shared" ref="BX67:BX130" si="47">BY67-BZ67</f>
        <v>28.196806214933101</v>
      </c>
      <c r="BY67" s="36">
        <f t="shared" ref="BY67:BY130" si="48">BS67*2400/$G67</f>
        <v>34.687958567112645</v>
      </c>
      <c r="BZ67" s="36">
        <f t="shared" ref="BZ67:BZ130" si="49">BT67*2400/$G67</f>
        <v>6.4911523521795429</v>
      </c>
      <c r="CA67" s="30">
        <v>13</v>
      </c>
      <c r="CB67" s="30">
        <v>8</v>
      </c>
    </row>
    <row r="68" spans="1:80" x14ac:dyDescent="0.4">
      <c r="A68" s="11" t="s">
        <v>53</v>
      </c>
      <c r="B68" s="11" t="s">
        <v>262</v>
      </c>
      <c r="C68" s="11" t="s">
        <v>99</v>
      </c>
      <c r="D68" s="15">
        <v>52</v>
      </c>
      <c r="E68" s="15">
        <v>31</v>
      </c>
      <c r="F68" s="15">
        <v>12</v>
      </c>
      <c r="G68" s="16">
        <v>97344</v>
      </c>
      <c r="H68" s="16">
        <v>825</v>
      </c>
      <c r="I68" s="17">
        <f t="shared" si="0"/>
        <v>15.865384615384615</v>
      </c>
      <c r="J68" s="15">
        <v>269</v>
      </c>
      <c r="K68" s="15">
        <v>668</v>
      </c>
      <c r="L68" s="17">
        <f t="shared" si="1"/>
        <v>5.1730769230769234</v>
      </c>
      <c r="M68" s="17">
        <f t="shared" si="2"/>
        <v>12.846153846153847</v>
      </c>
      <c r="N68" s="18">
        <f t="shared" si="3"/>
        <v>0.4026946107784431</v>
      </c>
      <c r="O68" s="16">
        <v>133</v>
      </c>
      <c r="P68" s="15">
        <v>284</v>
      </c>
      <c r="Q68" s="17">
        <f t="shared" si="27"/>
        <v>2.5576923076923075</v>
      </c>
      <c r="R68" s="17">
        <f t="shared" si="28"/>
        <v>5.4615384615384617</v>
      </c>
      <c r="S68" s="18">
        <f t="shared" si="29"/>
        <v>0.46830985915492956</v>
      </c>
      <c r="T68" s="15">
        <v>136</v>
      </c>
      <c r="U68" s="15">
        <v>384</v>
      </c>
      <c r="V68" s="17">
        <f t="shared" si="30"/>
        <v>2.6153846153846154</v>
      </c>
      <c r="W68" s="17">
        <f t="shared" si="31"/>
        <v>7.384615384615385</v>
      </c>
      <c r="X68" s="18">
        <f t="shared" si="32"/>
        <v>0.35416666666666669</v>
      </c>
      <c r="Y68" s="15">
        <v>151</v>
      </c>
      <c r="Z68" s="15">
        <v>176</v>
      </c>
      <c r="AA68" s="17">
        <f t="shared" si="33"/>
        <v>2.9038461538461537</v>
      </c>
      <c r="AB68" s="17">
        <f t="shared" si="34"/>
        <v>3.3846153846153846</v>
      </c>
      <c r="AC68" s="18">
        <f t="shared" si="35"/>
        <v>0.85795454545454541</v>
      </c>
      <c r="AD68" s="15">
        <v>93</v>
      </c>
      <c r="AE68" s="17">
        <f t="shared" si="36"/>
        <v>1.7884615384615385</v>
      </c>
      <c r="AF68" s="15">
        <v>9</v>
      </c>
      <c r="AG68" s="17">
        <f t="shared" si="37"/>
        <v>0.17307692307692307</v>
      </c>
      <c r="AH68" s="15">
        <v>84</v>
      </c>
      <c r="AI68" s="17">
        <f t="shared" si="38"/>
        <v>1.6153846153846154</v>
      </c>
      <c r="AJ68" s="15">
        <v>193</v>
      </c>
      <c r="AK68" s="17">
        <f t="shared" si="39"/>
        <v>3.7115384615384617</v>
      </c>
      <c r="AL68" s="15">
        <v>27</v>
      </c>
      <c r="AM68" s="17">
        <f t="shared" si="40"/>
        <v>0.51923076923076927</v>
      </c>
      <c r="AN68" s="25">
        <v>1</v>
      </c>
      <c r="AO68" s="17">
        <f t="shared" si="41"/>
        <v>1.9230769230769232E-2</v>
      </c>
      <c r="AP68" s="4">
        <v>96</v>
      </c>
      <c r="AQ68" s="17">
        <f t="shared" si="42"/>
        <v>1.8461538461538463</v>
      </c>
      <c r="AR68" s="15">
        <v>116</v>
      </c>
      <c r="AS68" s="17">
        <f t="shared" si="43"/>
        <v>2.2307692307692308</v>
      </c>
      <c r="AT68" s="19">
        <v>1.8998068122200973</v>
      </c>
      <c r="AU68" s="19">
        <v>4.6839418447241057E-2</v>
      </c>
      <c r="AV68" s="19">
        <v>2.1684987064369148</v>
      </c>
      <c r="AW68" s="19">
        <v>-0.26869189421681761</v>
      </c>
      <c r="AX68" s="19">
        <v>110.96551259738352</v>
      </c>
      <c r="AY68" s="19">
        <v>120.90206689063798</v>
      </c>
      <c r="AZ68" s="19">
        <v>11.241100268895105</v>
      </c>
      <c r="BA68" s="19">
        <v>11.903846153846153</v>
      </c>
      <c r="BB68" s="19">
        <v>15.261341222879683</v>
      </c>
      <c r="BC68" s="18">
        <v>0.55336445589182226</v>
      </c>
      <c r="BD68" s="18">
        <v>0.50449101796407181</v>
      </c>
      <c r="BE68" s="19">
        <v>23.419532263979413</v>
      </c>
      <c r="BF68" s="18">
        <v>0.57485029940119758</v>
      </c>
      <c r="BG68" s="18">
        <v>0.26347305389221559</v>
      </c>
      <c r="BH68" s="19">
        <v>0.58157568238213397</v>
      </c>
      <c r="BI68" s="19">
        <v>5.4280397022332503</v>
      </c>
      <c r="BJ68" s="19">
        <v>2.9381658262880541</v>
      </c>
      <c r="BK68" s="19">
        <v>18.532744382561933</v>
      </c>
      <c r="BL68" s="19">
        <v>0.91900437746181662</v>
      </c>
      <c r="BM68" s="19">
        <v>6.0445605000060451E-2</v>
      </c>
      <c r="BN68" s="19">
        <v>11.409013120365088</v>
      </c>
      <c r="BO68" s="20" t="s">
        <v>257</v>
      </c>
      <c r="BP68" s="21">
        <v>19500</v>
      </c>
      <c r="BQ68" s="31" t="s">
        <v>306</v>
      </c>
      <c r="BR68" s="31">
        <v>1132.8699999999999</v>
      </c>
      <c r="BS68" s="31">
        <v>1671.07</v>
      </c>
      <c r="BT68" s="31">
        <v>538.20000000000005</v>
      </c>
      <c r="BU68" s="35">
        <f t="shared" si="44"/>
        <v>21.785961538461535</v>
      </c>
      <c r="BV68" s="35">
        <f t="shared" si="45"/>
        <v>32.135961538461537</v>
      </c>
      <c r="BW68" s="35">
        <f t="shared" si="46"/>
        <v>10.350000000000001</v>
      </c>
      <c r="BX68" s="36">
        <f t="shared" si="47"/>
        <v>27.930719921104536</v>
      </c>
      <c r="BY68" s="36">
        <f t="shared" si="48"/>
        <v>41.199950690335307</v>
      </c>
      <c r="BZ68" s="36">
        <f t="shared" si="49"/>
        <v>13.26923076923077</v>
      </c>
      <c r="CA68" s="30">
        <v>29</v>
      </c>
      <c r="CB68" s="30">
        <v>23</v>
      </c>
    </row>
    <row r="69" spans="1:80" x14ac:dyDescent="0.4">
      <c r="A69" s="11" t="s">
        <v>53</v>
      </c>
      <c r="B69" s="11" t="s">
        <v>259</v>
      </c>
      <c r="C69" s="11" t="s">
        <v>281</v>
      </c>
      <c r="D69" s="10">
        <v>17</v>
      </c>
      <c r="E69" s="10">
        <v>11</v>
      </c>
      <c r="F69" s="10">
        <v>8</v>
      </c>
      <c r="G69" s="16">
        <v>11356</v>
      </c>
      <c r="H69" s="16">
        <v>78</v>
      </c>
      <c r="I69" s="17">
        <f t="shared" si="0"/>
        <v>4.5882352941176467</v>
      </c>
      <c r="J69" s="15">
        <v>34</v>
      </c>
      <c r="K69" s="15">
        <v>72</v>
      </c>
      <c r="L69" s="17">
        <f t="shared" si="1"/>
        <v>2</v>
      </c>
      <c r="M69" s="17">
        <f t="shared" si="2"/>
        <v>4.2352941176470589</v>
      </c>
      <c r="N69" s="18">
        <f t="shared" si="3"/>
        <v>0.47222222222222221</v>
      </c>
      <c r="O69" s="16">
        <v>27</v>
      </c>
      <c r="P69" s="15">
        <v>48</v>
      </c>
      <c r="Q69" s="17">
        <f t="shared" si="27"/>
        <v>1.588235294117647</v>
      </c>
      <c r="R69" s="17">
        <f t="shared" si="28"/>
        <v>2.8235294117647061</v>
      </c>
      <c r="S69" s="18">
        <f t="shared" si="29"/>
        <v>0.5625</v>
      </c>
      <c r="T69" s="15">
        <v>7</v>
      </c>
      <c r="U69" s="15">
        <v>24</v>
      </c>
      <c r="V69" s="17">
        <f t="shared" si="30"/>
        <v>0.41176470588235292</v>
      </c>
      <c r="W69" s="17">
        <f t="shared" si="31"/>
        <v>1.411764705882353</v>
      </c>
      <c r="X69" s="18">
        <f t="shared" si="32"/>
        <v>0.29166666666666669</v>
      </c>
      <c r="Y69" s="9">
        <v>3</v>
      </c>
      <c r="Z69" s="9">
        <v>7</v>
      </c>
      <c r="AA69" s="17">
        <f t="shared" si="33"/>
        <v>0.17647058823529413</v>
      </c>
      <c r="AB69" s="17">
        <f t="shared" si="34"/>
        <v>0.41176470588235292</v>
      </c>
      <c r="AC69" s="18">
        <f t="shared" si="35"/>
        <v>0.42857142857142855</v>
      </c>
      <c r="AD69" s="15">
        <v>31</v>
      </c>
      <c r="AE69" s="17">
        <f t="shared" si="36"/>
        <v>1.8235294117647058</v>
      </c>
      <c r="AF69" s="15">
        <v>8</v>
      </c>
      <c r="AG69" s="17">
        <f t="shared" si="37"/>
        <v>0.47058823529411764</v>
      </c>
      <c r="AH69" s="15">
        <v>23</v>
      </c>
      <c r="AI69" s="17">
        <f t="shared" si="38"/>
        <v>1.3529411764705883</v>
      </c>
      <c r="AJ69" s="15">
        <v>27</v>
      </c>
      <c r="AK69" s="17">
        <f t="shared" si="39"/>
        <v>1.588235294117647</v>
      </c>
      <c r="AL69" s="15">
        <v>8</v>
      </c>
      <c r="AM69" s="17">
        <f t="shared" si="40"/>
        <v>0.47058823529411764</v>
      </c>
      <c r="AN69" s="2">
        <v>2</v>
      </c>
      <c r="AO69" s="17">
        <f t="shared" si="41"/>
        <v>0.11764705882352941</v>
      </c>
      <c r="AP69" s="6">
        <v>14</v>
      </c>
      <c r="AQ69" s="17">
        <f t="shared" si="42"/>
        <v>0.82352941176470584</v>
      </c>
      <c r="AR69" s="15">
        <v>24</v>
      </c>
      <c r="AS69" s="17">
        <f t="shared" si="43"/>
        <v>1.411764705882353</v>
      </c>
      <c r="AT69" s="19">
        <v>0.22992994830623112</v>
      </c>
      <c r="AU69" s="19">
        <v>4.8593860156301044E-2</v>
      </c>
      <c r="AV69" s="19">
        <v>-2.6495506077918096E-3</v>
      </c>
      <c r="AW69" s="19">
        <v>0.23257949891402294</v>
      </c>
      <c r="AX69" s="19">
        <v>101.76142520283418</v>
      </c>
      <c r="AY69" s="19">
        <v>107.24425896122109</v>
      </c>
      <c r="AZ69" s="19">
        <v>3.091503026846159</v>
      </c>
      <c r="BA69" s="19">
        <v>5.2941176470588234</v>
      </c>
      <c r="BB69" s="19">
        <v>19.020781965480801</v>
      </c>
      <c r="BC69" s="18">
        <v>0.51944592434736281</v>
      </c>
      <c r="BD69" s="18">
        <v>0.52083333333333337</v>
      </c>
      <c r="BE69" s="19">
        <v>6.9480774983634683</v>
      </c>
      <c r="BF69" s="18">
        <v>0.33333333333333331</v>
      </c>
      <c r="BG69" s="18">
        <v>9.7222222222222224E-2</v>
      </c>
      <c r="BH69" s="19">
        <v>1.4487154722812441</v>
      </c>
      <c r="BI69" s="19">
        <v>4.1650569828085766</v>
      </c>
      <c r="BJ69" s="19">
        <v>2.7446339455145892</v>
      </c>
      <c r="BK69" s="19">
        <v>6.2269372693726943</v>
      </c>
      <c r="BL69" s="19">
        <v>2.3341437939713536</v>
      </c>
      <c r="BM69" s="19">
        <v>0.33878494778476992</v>
      </c>
      <c r="BN69" s="19">
        <v>15.71621014818141</v>
      </c>
      <c r="BO69" s="20" t="s">
        <v>267</v>
      </c>
      <c r="BP69" s="21">
        <v>70000</v>
      </c>
      <c r="BQ69" s="31" t="s">
        <v>306</v>
      </c>
      <c r="BR69" s="31">
        <v>150.30000000000001</v>
      </c>
      <c r="BS69" s="31">
        <v>210.8</v>
      </c>
      <c r="BT69" s="31">
        <v>60.5</v>
      </c>
      <c r="BU69" s="35">
        <f t="shared" si="44"/>
        <v>8.8411764705882359</v>
      </c>
      <c r="BV69" s="35">
        <f t="shared" si="45"/>
        <v>12.4</v>
      </c>
      <c r="BW69" s="35">
        <f t="shared" si="46"/>
        <v>3.5588235294117645</v>
      </c>
      <c r="BX69" s="36">
        <f t="shared" si="47"/>
        <v>31.764705882352942</v>
      </c>
      <c r="BY69" s="36">
        <f t="shared" si="48"/>
        <v>44.550898203592816</v>
      </c>
      <c r="BZ69" s="36">
        <f t="shared" si="49"/>
        <v>12.786192321239874</v>
      </c>
      <c r="CA69" s="31">
        <v>12</v>
      </c>
      <c r="CB69" s="31">
        <v>5</v>
      </c>
    </row>
    <row r="70" spans="1:80" x14ac:dyDescent="0.4">
      <c r="A70" s="11" t="s">
        <v>53</v>
      </c>
      <c r="B70" s="11" t="s">
        <v>259</v>
      </c>
      <c r="C70" s="11" t="s">
        <v>283</v>
      </c>
      <c r="D70" s="15">
        <v>7</v>
      </c>
      <c r="E70" s="15">
        <v>1</v>
      </c>
      <c r="F70" s="15">
        <v>29</v>
      </c>
      <c r="G70" s="16">
        <v>623</v>
      </c>
      <c r="H70" s="16">
        <v>5</v>
      </c>
      <c r="I70" s="17">
        <f t="shared" ref="I70:I133" si="50">H70/$D70</f>
        <v>0.7142857142857143</v>
      </c>
      <c r="J70" s="15">
        <v>2</v>
      </c>
      <c r="K70" s="15">
        <v>4</v>
      </c>
      <c r="L70" s="17">
        <f t="shared" ref="L70:L133" si="51">J70/$D70</f>
        <v>0.2857142857142857</v>
      </c>
      <c r="M70" s="17">
        <f t="shared" ref="M70:M133" si="52">K70/$D70</f>
        <v>0.5714285714285714</v>
      </c>
      <c r="N70" s="18">
        <f t="shared" ref="N70:N133" si="53">J70/K70</f>
        <v>0.5</v>
      </c>
      <c r="O70" s="16">
        <v>2</v>
      </c>
      <c r="P70" s="15">
        <v>4</v>
      </c>
      <c r="Q70" s="17">
        <f t="shared" si="27"/>
        <v>0.2857142857142857</v>
      </c>
      <c r="R70" s="17">
        <f t="shared" si="28"/>
        <v>0.5714285714285714</v>
      </c>
      <c r="S70" s="18">
        <f t="shared" si="29"/>
        <v>0.5</v>
      </c>
      <c r="T70" s="15">
        <v>0</v>
      </c>
      <c r="U70" s="15">
        <v>0</v>
      </c>
      <c r="V70" s="17">
        <f t="shared" si="30"/>
        <v>0</v>
      </c>
      <c r="W70" s="17">
        <f t="shared" si="31"/>
        <v>0</v>
      </c>
      <c r="X70" s="18" t="e">
        <f t="shared" si="32"/>
        <v>#DIV/0!</v>
      </c>
      <c r="Y70" s="15">
        <v>1</v>
      </c>
      <c r="Z70" s="15">
        <v>2</v>
      </c>
      <c r="AA70" s="17">
        <f t="shared" si="33"/>
        <v>0.14285714285714285</v>
      </c>
      <c r="AB70" s="17">
        <f t="shared" si="34"/>
        <v>0.2857142857142857</v>
      </c>
      <c r="AC70" s="18">
        <f t="shared" si="35"/>
        <v>0.5</v>
      </c>
      <c r="AD70" s="15">
        <v>2</v>
      </c>
      <c r="AE70" s="17">
        <f t="shared" si="36"/>
        <v>0.2857142857142857</v>
      </c>
      <c r="AF70" s="15">
        <v>0</v>
      </c>
      <c r="AG70" s="17">
        <f t="shared" si="37"/>
        <v>0</v>
      </c>
      <c r="AH70" s="15">
        <v>2</v>
      </c>
      <c r="AI70" s="17">
        <f t="shared" si="38"/>
        <v>0.2857142857142857</v>
      </c>
      <c r="AJ70" s="15">
        <v>0</v>
      </c>
      <c r="AK70" s="17">
        <f t="shared" si="39"/>
        <v>0</v>
      </c>
      <c r="AL70" s="15">
        <v>0</v>
      </c>
      <c r="AM70" s="17">
        <f t="shared" si="40"/>
        <v>0</v>
      </c>
      <c r="AN70" s="25">
        <v>1</v>
      </c>
      <c r="AO70" s="17">
        <f t="shared" si="41"/>
        <v>0.14285714285714285</v>
      </c>
      <c r="AP70" s="4">
        <v>1</v>
      </c>
      <c r="AQ70" s="17">
        <f t="shared" si="42"/>
        <v>0.14285714285714285</v>
      </c>
      <c r="AR70" s="15">
        <v>0</v>
      </c>
      <c r="AS70" s="17">
        <f t="shared" si="43"/>
        <v>0</v>
      </c>
      <c r="AT70" s="19">
        <v>-8.5219212050702126E-3</v>
      </c>
      <c r="AU70" s="19">
        <v>-3.2829230966562616E-2</v>
      </c>
      <c r="AV70" s="19">
        <v>-2.3670378321873027E-2</v>
      </c>
      <c r="AW70" s="19">
        <v>1.5148457116802815E-2</v>
      </c>
      <c r="AX70" s="19">
        <v>83.313488438532175</v>
      </c>
      <c r="AY70" s="19">
        <v>104.93038473884478</v>
      </c>
      <c r="AZ70" s="19">
        <v>1.179069858333982</v>
      </c>
      <c r="BA70" s="19">
        <v>0.5714285714285714</v>
      </c>
      <c r="BB70" s="19">
        <v>15.409309791332264</v>
      </c>
      <c r="BC70" s="18">
        <v>0.51229508196721307</v>
      </c>
      <c r="BD70" s="18">
        <v>0.5</v>
      </c>
      <c r="BE70" s="19">
        <v>3.4422961207918101</v>
      </c>
      <c r="BF70" s="18">
        <v>0</v>
      </c>
      <c r="BG70" s="18">
        <v>0.5</v>
      </c>
      <c r="BH70" s="19">
        <v>0</v>
      </c>
      <c r="BI70" s="19">
        <v>2.7183762232693005</v>
      </c>
      <c r="BJ70" s="19">
        <v>1.3290434763347196</v>
      </c>
      <c r="BK70" s="19">
        <v>0</v>
      </c>
      <c r="BL70" s="19">
        <v>0</v>
      </c>
      <c r="BM70" s="19">
        <v>1.271395197304642</v>
      </c>
      <c r="BN70" s="19">
        <v>17.006802721088437</v>
      </c>
      <c r="BO70" s="20" t="s">
        <v>257</v>
      </c>
      <c r="BP70" s="21">
        <v>40000</v>
      </c>
      <c r="BQ70" s="31" t="s">
        <v>307</v>
      </c>
      <c r="BR70" s="31">
        <v>6.31</v>
      </c>
      <c r="BS70" s="31">
        <v>10.61</v>
      </c>
      <c r="BT70" s="31">
        <v>4.3</v>
      </c>
      <c r="BU70" s="35">
        <f t="shared" si="44"/>
        <v>0.90142857142857136</v>
      </c>
      <c r="BV70" s="35">
        <f t="shared" si="45"/>
        <v>1.5157142857142856</v>
      </c>
      <c r="BW70" s="35">
        <f t="shared" si="46"/>
        <v>0.61428571428571421</v>
      </c>
      <c r="BX70" s="36">
        <f t="shared" si="47"/>
        <v>24.308186195826643</v>
      </c>
      <c r="BY70" s="36">
        <f t="shared" si="48"/>
        <v>40.873194221508825</v>
      </c>
      <c r="BZ70" s="36">
        <f t="shared" si="49"/>
        <v>16.565008025682182</v>
      </c>
      <c r="CA70" s="30">
        <v>6</v>
      </c>
      <c r="CB70" s="30">
        <v>1</v>
      </c>
    </row>
    <row r="71" spans="1:80" x14ac:dyDescent="0.4">
      <c r="A71" s="11" t="s">
        <v>53</v>
      </c>
      <c r="B71" s="11" t="s">
        <v>259</v>
      </c>
      <c r="C71" s="11" t="s">
        <v>62</v>
      </c>
      <c r="D71" s="15">
        <v>35</v>
      </c>
      <c r="E71" s="15">
        <v>24</v>
      </c>
      <c r="F71" s="15">
        <v>44</v>
      </c>
      <c r="G71" s="16">
        <v>51940</v>
      </c>
      <c r="H71" s="16">
        <v>362</v>
      </c>
      <c r="I71" s="17">
        <f t="shared" si="50"/>
        <v>10.342857142857143</v>
      </c>
      <c r="J71" s="15">
        <v>134</v>
      </c>
      <c r="K71" s="15">
        <v>326</v>
      </c>
      <c r="L71" s="17">
        <f t="shared" si="51"/>
        <v>3.8285714285714287</v>
      </c>
      <c r="M71" s="17">
        <f t="shared" si="52"/>
        <v>9.3142857142857149</v>
      </c>
      <c r="N71" s="18">
        <f t="shared" si="53"/>
        <v>0.41104294478527609</v>
      </c>
      <c r="O71" s="16">
        <v>98</v>
      </c>
      <c r="P71" s="15">
        <v>202</v>
      </c>
      <c r="Q71" s="17">
        <f t="shared" si="27"/>
        <v>2.8</v>
      </c>
      <c r="R71" s="17">
        <f t="shared" si="28"/>
        <v>5.7714285714285714</v>
      </c>
      <c r="S71" s="18">
        <f t="shared" si="29"/>
        <v>0.48514851485148514</v>
      </c>
      <c r="T71" s="15">
        <v>36</v>
      </c>
      <c r="U71" s="15">
        <v>124</v>
      </c>
      <c r="V71" s="17">
        <f t="shared" si="30"/>
        <v>1.0285714285714285</v>
      </c>
      <c r="W71" s="17">
        <f t="shared" si="31"/>
        <v>3.5428571428571427</v>
      </c>
      <c r="X71" s="18">
        <f t="shared" si="32"/>
        <v>0.29032258064516131</v>
      </c>
      <c r="Y71" s="15">
        <v>58</v>
      </c>
      <c r="Z71" s="15">
        <v>80</v>
      </c>
      <c r="AA71" s="17">
        <f t="shared" si="33"/>
        <v>1.6571428571428573</v>
      </c>
      <c r="AB71" s="17">
        <f t="shared" si="34"/>
        <v>2.2857142857142856</v>
      </c>
      <c r="AC71" s="18">
        <f t="shared" si="35"/>
        <v>0.72499999999999998</v>
      </c>
      <c r="AD71" s="15">
        <v>64</v>
      </c>
      <c r="AE71" s="17">
        <f t="shared" si="36"/>
        <v>1.8285714285714285</v>
      </c>
      <c r="AF71" s="15">
        <v>19</v>
      </c>
      <c r="AG71" s="17">
        <f t="shared" si="37"/>
        <v>0.54285714285714282</v>
      </c>
      <c r="AH71" s="15">
        <v>45</v>
      </c>
      <c r="AI71" s="17">
        <f t="shared" si="38"/>
        <v>1.2857142857142858</v>
      </c>
      <c r="AJ71" s="15">
        <v>158</v>
      </c>
      <c r="AK71" s="17">
        <f t="shared" si="39"/>
        <v>4.5142857142857142</v>
      </c>
      <c r="AL71" s="15">
        <v>57</v>
      </c>
      <c r="AM71" s="17">
        <f t="shared" si="40"/>
        <v>1.6285714285714286</v>
      </c>
      <c r="AN71" s="25">
        <v>10</v>
      </c>
      <c r="AO71" s="17">
        <f t="shared" si="41"/>
        <v>0.2857142857142857</v>
      </c>
      <c r="AP71" s="4">
        <v>50</v>
      </c>
      <c r="AQ71" s="17">
        <f t="shared" si="42"/>
        <v>1.4285714285714286</v>
      </c>
      <c r="AR71" s="15">
        <v>67</v>
      </c>
      <c r="AS71" s="17">
        <f t="shared" si="43"/>
        <v>1.9142857142857144</v>
      </c>
      <c r="AT71" s="19">
        <v>1.5655125522019055</v>
      </c>
      <c r="AU71" s="19">
        <v>7.2337892285032221E-2</v>
      </c>
      <c r="AV71" s="19">
        <v>0.49593494508682917</v>
      </c>
      <c r="AW71" s="19">
        <v>1.0695776071150764</v>
      </c>
      <c r="AX71" s="19">
        <v>106.82303331730255</v>
      </c>
      <c r="AY71" s="19">
        <v>107.17679519113169</v>
      </c>
      <c r="AZ71" s="19">
        <v>7.4802592405544779</v>
      </c>
      <c r="BA71" s="19">
        <v>11.057142857142857</v>
      </c>
      <c r="BB71" s="19">
        <v>17.882171736619178</v>
      </c>
      <c r="BC71" s="18">
        <v>0.50110741971207085</v>
      </c>
      <c r="BD71" s="18">
        <v>0.46625766871165641</v>
      </c>
      <c r="BE71" s="19">
        <v>14.437104932590916</v>
      </c>
      <c r="BF71" s="18">
        <v>0.38036809815950923</v>
      </c>
      <c r="BG71" s="18">
        <v>0.24539877300613497</v>
      </c>
      <c r="BH71" s="19">
        <v>1.5487783670985131</v>
      </c>
      <c r="BI71" s="19">
        <v>3.6681592904964782</v>
      </c>
      <c r="BJ71" s="19">
        <v>2.55061712978523</v>
      </c>
      <c r="BK71" s="19">
        <v>17.462422634836429</v>
      </c>
      <c r="BL71" s="19">
        <v>3.6361008006529292</v>
      </c>
      <c r="BM71" s="19">
        <v>0.76249442425952263</v>
      </c>
      <c r="BN71" s="19">
        <v>12.159533073929962</v>
      </c>
      <c r="BO71" s="20" t="s">
        <v>257</v>
      </c>
      <c r="BP71" s="21"/>
      <c r="BQ71" s="30" t="s">
        <v>306</v>
      </c>
      <c r="BR71" s="30">
        <v>680.1</v>
      </c>
      <c r="BS71" s="30">
        <v>955.9</v>
      </c>
      <c r="BT71" s="30">
        <v>275.8</v>
      </c>
      <c r="BU71" s="35">
        <f t="shared" si="44"/>
        <v>19.431428571428572</v>
      </c>
      <c r="BV71" s="35">
        <f t="shared" si="45"/>
        <v>27.311428571428571</v>
      </c>
      <c r="BW71" s="35">
        <f t="shared" si="46"/>
        <v>7.88</v>
      </c>
      <c r="BX71" s="36">
        <f t="shared" si="47"/>
        <v>31.425490951097416</v>
      </c>
      <c r="BY71" s="36">
        <f t="shared" si="48"/>
        <v>44.169426261070463</v>
      </c>
      <c r="BZ71" s="36">
        <f t="shared" si="49"/>
        <v>12.743935309973045</v>
      </c>
      <c r="CA71" s="30">
        <v>23</v>
      </c>
      <c r="CB71" s="30">
        <v>12</v>
      </c>
    </row>
    <row r="72" spans="1:80" x14ac:dyDescent="0.4">
      <c r="A72" s="11" t="s">
        <v>53</v>
      </c>
      <c r="B72" s="11" t="s">
        <v>259</v>
      </c>
      <c r="C72" s="11" t="s">
        <v>65</v>
      </c>
      <c r="D72" s="15">
        <v>23</v>
      </c>
      <c r="E72" s="15">
        <v>8</v>
      </c>
      <c r="F72" s="15">
        <v>19</v>
      </c>
      <c r="G72" s="16">
        <v>11477</v>
      </c>
      <c r="H72" s="16">
        <v>84</v>
      </c>
      <c r="I72" s="17">
        <f t="shared" si="50"/>
        <v>3.652173913043478</v>
      </c>
      <c r="J72" s="15">
        <v>29</v>
      </c>
      <c r="K72" s="15">
        <v>65</v>
      </c>
      <c r="L72" s="17">
        <f t="shared" si="51"/>
        <v>1.2608695652173914</v>
      </c>
      <c r="M72" s="17">
        <f t="shared" si="52"/>
        <v>2.8260869565217392</v>
      </c>
      <c r="N72" s="18">
        <f t="shared" si="53"/>
        <v>0.44615384615384618</v>
      </c>
      <c r="O72" s="16">
        <v>19</v>
      </c>
      <c r="P72" s="15">
        <v>38</v>
      </c>
      <c r="Q72" s="17">
        <f t="shared" si="27"/>
        <v>0.82608695652173914</v>
      </c>
      <c r="R72" s="17">
        <f t="shared" si="28"/>
        <v>1.6521739130434783</v>
      </c>
      <c r="S72" s="18">
        <f t="shared" si="29"/>
        <v>0.5</v>
      </c>
      <c r="T72" s="15">
        <v>10</v>
      </c>
      <c r="U72" s="15">
        <v>27</v>
      </c>
      <c r="V72" s="17">
        <f t="shared" si="30"/>
        <v>0.43478260869565216</v>
      </c>
      <c r="W72" s="17">
        <f t="shared" si="31"/>
        <v>1.173913043478261</v>
      </c>
      <c r="X72" s="18">
        <f t="shared" si="32"/>
        <v>0.37037037037037035</v>
      </c>
      <c r="Y72" s="15">
        <v>16</v>
      </c>
      <c r="Z72" s="15">
        <v>20</v>
      </c>
      <c r="AA72" s="17">
        <f t="shared" si="33"/>
        <v>0.69565217391304346</v>
      </c>
      <c r="AB72" s="17">
        <f t="shared" si="34"/>
        <v>0.86956521739130432</v>
      </c>
      <c r="AC72" s="18">
        <f t="shared" si="35"/>
        <v>0.8</v>
      </c>
      <c r="AD72" s="15">
        <v>35</v>
      </c>
      <c r="AE72" s="17">
        <f t="shared" si="36"/>
        <v>1.5217391304347827</v>
      </c>
      <c r="AF72" s="15">
        <v>6</v>
      </c>
      <c r="AG72" s="17">
        <f t="shared" si="37"/>
        <v>0.2608695652173913</v>
      </c>
      <c r="AH72" s="15">
        <v>29</v>
      </c>
      <c r="AI72" s="17">
        <f t="shared" si="38"/>
        <v>1.2608695652173914</v>
      </c>
      <c r="AJ72" s="15">
        <v>5</v>
      </c>
      <c r="AK72" s="17">
        <f t="shared" si="39"/>
        <v>0.21739130434782608</v>
      </c>
      <c r="AL72" s="15">
        <v>3</v>
      </c>
      <c r="AM72" s="17">
        <f t="shared" si="40"/>
        <v>0.13043478260869565</v>
      </c>
      <c r="AN72" s="15">
        <v>4</v>
      </c>
      <c r="AO72" s="17">
        <f t="shared" si="41"/>
        <v>0.17391304347826086</v>
      </c>
      <c r="AP72" s="32">
        <v>5</v>
      </c>
      <c r="AQ72" s="17">
        <f t="shared" si="42"/>
        <v>0.21739130434782608</v>
      </c>
      <c r="AR72" s="15">
        <v>26</v>
      </c>
      <c r="AS72" s="17">
        <f t="shared" si="43"/>
        <v>1.1304347826086956</v>
      </c>
      <c r="AT72" s="19">
        <v>0.43085047561954598</v>
      </c>
      <c r="AU72" s="19">
        <v>9.0096814628118013E-2</v>
      </c>
      <c r="AV72" s="19">
        <v>0.22360020309102133</v>
      </c>
      <c r="AW72" s="19">
        <v>0.20725027252852465</v>
      </c>
      <c r="AX72" s="19">
        <v>114.90408693664827</v>
      </c>
      <c r="AY72" s="19">
        <v>108.70628042889152</v>
      </c>
      <c r="AZ72" s="19">
        <v>3.8002225491430339</v>
      </c>
      <c r="BA72" s="19">
        <v>3.7391304347826089</v>
      </c>
      <c r="BB72" s="19">
        <v>17.983793674305133</v>
      </c>
      <c r="BC72" s="18">
        <v>0.56910569105691056</v>
      </c>
      <c r="BD72" s="18">
        <v>0.52307692307692311</v>
      </c>
      <c r="BE72" s="19">
        <v>8.2278540599352183</v>
      </c>
      <c r="BF72" s="18">
        <v>0.41538461538461541</v>
      </c>
      <c r="BG72" s="18">
        <v>0.30769230769230771</v>
      </c>
      <c r="BH72" s="19">
        <v>1.4545219471200466</v>
      </c>
      <c r="BI72" s="19">
        <v>7.030189411080225</v>
      </c>
      <c r="BJ72" s="19">
        <v>4.1482669627080675</v>
      </c>
      <c r="BK72" s="19">
        <v>1.5610365282547611</v>
      </c>
      <c r="BL72" s="19">
        <v>0.86607574685257549</v>
      </c>
      <c r="BM72" s="19">
        <v>0.90704747543176889</v>
      </c>
      <c r="BN72" s="19">
        <v>6.3451776649746199</v>
      </c>
      <c r="BO72" s="20" t="s">
        <v>257</v>
      </c>
      <c r="BP72" s="21">
        <v>77000</v>
      </c>
      <c r="BQ72" s="30" t="s">
        <v>305</v>
      </c>
      <c r="BR72" s="30">
        <v>143.79</v>
      </c>
      <c r="BS72" s="30">
        <v>188.79</v>
      </c>
      <c r="BT72" s="30">
        <v>45</v>
      </c>
      <c r="BU72" s="35">
        <f t="shared" si="44"/>
        <v>6.2517391304347827</v>
      </c>
      <c r="BV72" s="35">
        <f t="shared" si="45"/>
        <v>8.2082608695652173</v>
      </c>
      <c r="BW72" s="35">
        <f t="shared" si="46"/>
        <v>1.9565217391304348</v>
      </c>
      <c r="BX72" s="36">
        <f t="shared" si="47"/>
        <v>30.068484795678309</v>
      </c>
      <c r="BY72" s="36">
        <f t="shared" si="48"/>
        <v>39.478609392698438</v>
      </c>
      <c r="BZ72" s="36">
        <f t="shared" si="49"/>
        <v>9.4101245970201273</v>
      </c>
      <c r="CA72" s="31">
        <v>10</v>
      </c>
      <c r="CB72" s="31">
        <v>13</v>
      </c>
    </row>
    <row r="73" spans="1:80" x14ac:dyDescent="0.4">
      <c r="A73" s="11" t="s">
        <v>53</v>
      </c>
      <c r="B73" s="11" t="s">
        <v>259</v>
      </c>
      <c r="C73" s="11" t="s">
        <v>59</v>
      </c>
      <c r="D73" s="15">
        <v>41</v>
      </c>
      <c r="E73" s="15">
        <v>9</v>
      </c>
      <c r="F73" s="15">
        <v>17</v>
      </c>
      <c r="G73" s="16">
        <v>22837</v>
      </c>
      <c r="H73" s="16">
        <v>163</v>
      </c>
      <c r="I73" s="17">
        <f t="shared" si="50"/>
        <v>3.975609756097561</v>
      </c>
      <c r="J73" s="15">
        <v>62</v>
      </c>
      <c r="K73" s="15">
        <v>140</v>
      </c>
      <c r="L73" s="17">
        <f t="shared" si="51"/>
        <v>1.5121951219512195</v>
      </c>
      <c r="M73" s="17">
        <f t="shared" si="52"/>
        <v>3.4146341463414633</v>
      </c>
      <c r="N73" s="18">
        <f t="shared" si="53"/>
        <v>0.44285714285714284</v>
      </c>
      <c r="O73" s="16">
        <v>53</v>
      </c>
      <c r="P73" s="15">
        <v>107</v>
      </c>
      <c r="Q73" s="17">
        <f t="shared" si="27"/>
        <v>1.2926829268292683</v>
      </c>
      <c r="R73" s="17">
        <f t="shared" si="28"/>
        <v>2.6097560975609757</v>
      </c>
      <c r="S73" s="18">
        <f t="shared" si="29"/>
        <v>0.49532710280373832</v>
      </c>
      <c r="T73" s="15">
        <v>9</v>
      </c>
      <c r="U73" s="15">
        <v>33</v>
      </c>
      <c r="V73" s="17">
        <f t="shared" si="30"/>
        <v>0.21951219512195122</v>
      </c>
      <c r="W73" s="17">
        <f t="shared" si="31"/>
        <v>0.80487804878048785</v>
      </c>
      <c r="X73" s="18">
        <f t="shared" si="32"/>
        <v>0.27272727272727271</v>
      </c>
      <c r="Y73" s="15">
        <v>30</v>
      </c>
      <c r="Z73" s="15">
        <v>40</v>
      </c>
      <c r="AA73" s="17">
        <f t="shared" si="33"/>
        <v>0.73170731707317072</v>
      </c>
      <c r="AB73" s="17">
        <f t="shared" si="34"/>
        <v>0.97560975609756095</v>
      </c>
      <c r="AC73" s="18">
        <f t="shared" si="35"/>
        <v>0.75</v>
      </c>
      <c r="AD73" s="15">
        <v>108</v>
      </c>
      <c r="AE73" s="17">
        <f t="shared" si="36"/>
        <v>2.6341463414634148</v>
      </c>
      <c r="AF73" s="15">
        <v>37</v>
      </c>
      <c r="AG73" s="17">
        <f t="shared" si="37"/>
        <v>0.90243902439024393</v>
      </c>
      <c r="AH73" s="15">
        <v>71</v>
      </c>
      <c r="AI73" s="17">
        <f t="shared" si="38"/>
        <v>1.7317073170731707</v>
      </c>
      <c r="AJ73" s="15">
        <v>7</v>
      </c>
      <c r="AK73" s="17">
        <f t="shared" si="39"/>
        <v>0.17073170731707318</v>
      </c>
      <c r="AL73" s="15">
        <v>12</v>
      </c>
      <c r="AM73" s="17">
        <f t="shared" si="40"/>
        <v>0.29268292682926828</v>
      </c>
      <c r="AN73" s="25">
        <v>7</v>
      </c>
      <c r="AO73" s="17">
        <f t="shared" si="41"/>
        <v>0.17073170731707318</v>
      </c>
      <c r="AP73" s="4">
        <v>18</v>
      </c>
      <c r="AQ73" s="17">
        <f t="shared" si="42"/>
        <v>0.43902439024390244</v>
      </c>
      <c r="AR73" s="15">
        <v>64</v>
      </c>
      <c r="AS73" s="17">
        <f t="shared" si="43"/>
        <v>1.5609756097560976</v>
      </c>
      <c r="AT73" s="19">
        <v>0.64798955131658664</v>
      </c>
      <c r="AU73" s="19">
        <v>6.8098915057135695E-2</v>
      </c>
      <c r="AV73" s="19">
        <v>0.11033479693982398</v>
      </c>
      <c r="AW73" s="19">
        <v>0.53765475437676269</v>
      </c>
      <c r="AX73" s="19">
        <v>104.6054765362765</v>
      </c>
      <c r="AY73" s="19">
        <v>105.39634642692532</v>
      </c>
      <c r="AZ73" s="19">
        <v>6.8373570354584325</v>
      </c>
      <c r="BA73" s="19">
        <v>4.6585365853658534</v>
      </c>
      <c r="BB73" s="19">
        <v>20.072689057231685</v>
      </c>
      <c r="BC73" s="18">
        <v>0.51713197969543145</v>
      </c>
      <c r="BD73" s="18">
        <v>0.47499999999999998</v>
      </c>
      <c r="BE73" s="19">
        <v>16.425939708039522</v>
      </c>
      <c r="BF73" s="18">
        <v>0.23571428571428571</v>
      </c>
      <c r="BG73" s="18">
        <v>0.2857142857142857</v>
      </c>
      <c r="BH73" s="19">
        <v>8.0355591590895941</v>
      </c>
      <c r="BI73" s="19">
        <v>15.419586494469218</v>
      </c>
      <c r="BJ73" s="19">
        <v>11.467473873006576</v>
      </c>
      <c r="BK73" s="19">
        <v>2.1347971942665449</v>
      </c>
      <c r="BL73" s="19">
        <v>1.7410257646147929</v>
      </c>
      <c r="BM73" s="19">
        <v>1.422045256590291</v>
      </c>
      <c r="BN73" s="19">
        <v>10.250569476082005</v>
      </c>
      <c r="BO73" s="20" t="s">
        <v>239</v>
      </c>
      <c r="BP73" s="21">
        <v>45000</v>
      </c>
      <c r="BQ73" s="31" t="s">
        <v>307</v>
      </c>
      <c r="BR73" s="31">
        <v>305.01</v>
      </c>
      <c r="BS73" s="31">
        <v>415.61</v>
      </c>
      <c r="BT73" s="31">
        <v>110.6</v>
      </c>
      <c r="BU73" s="35">
        <f t="shared" si="44"/>
        <v>7.439268292682927</v>
      </c>
      <c r="BV73" s="35">
        <f t="shared" si="45"/>
        <v>10.136829268292683</v>
      </c>
      <c r="BW73" s="35">
        <f t="shared" si="46"/>
        <v>2.6975609756097558</v>
      </c>
      <c r="BX73" s="36">
        <f t="shared" si="47"/>
        <v>32.054297849980301</v>
      </c>
      <c r="BY73" s="36">
        <f t="shared" si="48"/>
        <v>43.677540832858959</v>
      </c>
      <c r="BZ73" s="36">
        <f t="shared" si="49"/>
        <v>11.623242982878661</v>
      </c>
      <c r="CA73" s="30">
        <v>24</v>
      </c>
      <c r="CB73" s="30">
        <v>17</v>
      </c>
    </row>
    <row r="74" spans="1:80" x14ac:dyDescent="0.4">
      <c r="A74" s="11" t="s">
        <v>53</v>
      </c>
      <c r="B74" s="11" t="s">
        <v>259</v>
      </c>
      <c r="C74" s="11" t="s">
        <v>66</v>
      </c>
      <c r="D74" s="15">
        <v>8</v>
      </c>
      <c r="E74" s="15">
        <v>3</v>
      </c>
      <c r="F74" s="15">
        <v>54</v>
      </c>
      <c r="G74" s="16">
        <v>1872</v>
      </c>
      <c r="H74" s="16">
        <v>8</v>
      </c>
      <c r="I74" s="17">
        <f t="shared" si="50"/>
        <v>1</v>
      </c>
      <c r="J74" s="15">
        <v>3</v>
      </c>
      <c r="K74" s="15">
        <v>8</v>
      </c>
      <c r="L74" s="17">
        <f t="shared" si="51"/>
        <v>0.375</v>
      </c>
      <c r="M74" s="17">
        <f t="shared" si="52"/>
        <v>1</v>
      </c>
      <c r="N74" s="18">
        <f t="shared" si="53"/>
        <v>0.375</v>
      </c>
      <c r="O74" s="16">
        <v>3</v>
      </c>
      <c r="P74" s="15">
        <v>4</v>
      </c>
      <c r="Q74" s="17">
        <f t="shared" si="27"/>
        <v>0.375</v>
      </c>
      <c r="R74" s="17">
        <f t="shared" si="28"/>
        <v>0.5</v>
      </c>
      <c r="S74" s="18">
        <f t="shared" si="29"/>
        <v>0.75</v>
      </c>
      <c r="T74" s="15">
        <v>0</v>
      </c>
      <c r="U74" s="15">
        <v>4</v>
      </c>
      <c r="V74" s="17">
        <f t="shared" si="30"/>
        <v>0</v>
      </c>
      <c r="W74" s="17">
        <f t="shared" si="31"/>
        <v>0.5</v>
      </c>
      <c r="X74" s="18">
        <f t="shared" si="32"/>
        <v>0</v>
      </c>
      <c r="Y74" s="15">
        <v>2</v>
      </c>
      <c r="Z74" s="15">
        <v>2</v>
      </c>
      <c r="AA74" s="17">
        <f t="shared" si="33"/>
        <v>0.25</v>
      </c>
      <c r="AB74" s="17">
        <f t="shared" si="34"/>
        <v>0.25</v>
      </c>
      <c r="AC74" s="18">
        <f t="shared" si="35"/>
        <v>1</v>
      </c>
      <c r="AD74" s="15">
        <v>5</v>
      </c>
      <c r="AE74" s="17">
        <f t="shared" si="36"/>
        <v>0.625</v>
      </c>
      <c r="AF74" s="15">
        <v>2</v>
      </c>
      <c r="AG74" s="17">
        <f t="shared" si="37"/>
        <v>0.25</v>
      </c>
      <c r="AH74" s="15">
        <v>3</v>
      </c>
      <c r="AI74" s="17">
        <f t="shared" si="38"/>
        <v>0.375</v>
      </c>
      <c r="AJ74" s="15">
        <v>0</v>
      </c>
      <c r="AK74" s="17">
        <f t="shared" si="39"/>
        <v>0</v>
      </c>
      <c r="AL74" s="15">
        <v>2</v>
      </c>
      <c r="AM74" s="17">
        <f t="shared" si="40"/>
        <v>0.25</v>
      </c>
      <c r="AN74" s="25">
        <v>0</v>
      </c>
      <c r="AO74" s="17">
        <f t="shared" si="41"/>
        <v>0</v>
      </c>
      <c r="AP74" s="4">
        <v>1</v>
      </c>
      <c r="AQ74" s="17">
        <f t="shared" si="42"/>
        <v>0.125</v>
      </c>
      <c r="AR74" s="15">
        <v>0</v>
      </c>
      <c r="AS74" s="17">
        <f t="shared" si="43"/>
        <v>0</v>
      </c>
      <c r="AT74" s="19">
        <v>2.4273289213345282E-2</v>
      </c>
      <c r="AU74" s="19">
        <v>3.1119601555570878E-2</v>
      </c>
      <c r="AV74" s="19">
        <v>-1.6259381641054844E-2</v>
      </c>
      <c r="AW74" s="19">
        <v>4.0532670854400127E-2</v>
      </c>
      <c r="AX74" s="19">
        <v>94.713308742302374</v>
      </c>
      <c r="AY74" s="19">
        <v>106.53746443529654</v>
      </c>
      <c r="AZ74" s="19">
        <v>1.157969377730901</v>
      </c>
      <c r="BA74" s="19">
        <v>1.125</v>
      </c>
      <c r="BB74" s="19">
        <v>11.53846153846154</v>
      </c>
      <c r="BC74" s="18">
        <v>0.4504504504504504</v>
      </c>
      <c r="BD74" s="18">
        <v>0.375</v>
      </c>
      <c r="BE74" s="19">
        <v>2.1998952155173663</v>
      </c>
      <c r="BF74" s="18">
        <v>0.5</v>
      </c>
      <c r="BG74" s="18">
        <v>0.25</v>
      </c>
      <c r="BH74" s="19">
        <v>1.0339123242349049</v>
      </c>
      <c r="BI74" s="19">
        <v>1.5508684863523574</v>
      </c>
      <c r="BJ74" s="19">
        <v>1.2637272371131416</v>
      </c>
      <c r="BK74" s="19">
        <v>0</v>
      </c>
      <c r="BL74" s="19">
        <v>3.539868713186257</v>
      </c>
      <c r="BM74" s="19">
        <v>0</v>
      </c>
      <c r="BN74" s="19">
        <v>10.121457489878543</v>
      </c>
      <c r="BO74" s="20" t="s">
        <v>257</v>
      </c>
      <c r="BP74" s="21">
        <v>45000</v>
      </c>
      <c r="BQ74" s="31" t="s">
        <v>306</v>
      </c>
      <c r="BR74" s="31">
        <v>17.690000000000001</v>
      </c>
      <c r="BS74" s="31">
        <v>23.79</v>
      </c>
      <c r="BT74" s="31">
        <v>6.1</v>
      </c>
      <c r="BU74" s="35">
        <f t="shared" si="44"/>
        <v>2.2112499999999997</v>
      </c>
      <c r="BV74" s="35">
        <f t="shared" si="45"/>
        <v>2.9737499999999999</v>
      </c>
      <c r="BW74" s="35">
        <f t="shared" si="46"/>
        <v>0.76249999999999996</v>
      </c>
      <c r="BX74" s="36">
        <f t="shared" si="47"/>
        <v>22.679487179487179</v>
      </c>
      <c r="BY74" s="36">
        <f t="shared" si="48"/>
        <v>30.5</v>
      </c>
      <c r="BZ74" s="36">
        <f t="shared" si="49"/>
        <v>7.8205128205128203</v>
      </c>
      <c r="CA74" s="31">
        <v>4</v>
      </c>
      <c r="CB74" s="31">
        <v>4</v>
      </c>
    </row>
    <row r="75" spans="1:80" x14ac:dyDescent="0.4">
      <c r="A75" s="11" t="s">
        <v>53</v>
      </c>
      <c r="B75" s="11" t="s">
        <v>259</v>
      </c>
      <c r="C75" s="14" t="s">
        <v>69</v>
      </c>
      <c r="D75" s="15">
        <v>3</v>
      </c>
      <c r="E75" s="15">
        <v>2</v>
      </c>
      <c r="F75" s="15">
        <v>54</v>
      </c>
      <c r="G75" s="16">
        <v>522</v>
      </c>
      <c r="H75" s="16">
        <v>0</v>
      </c>
      <c r="I75" s="17">
        <f t="shared" si="50"/>
        <v>0</v>
      </c>
      <c r="J75" s="15">
        <v>0</v>
      </c>
      <c r="K75" s="15">
        <v>2</v>
      </c>
      <c r="L75" s="17">
        <f t="shared" si="51"/>
        <v>0</v>
      </c>
      <c r="M75" s="17">
        <f t="shared" si="52"/>
        <v>0.66666666666666663</v>
      </c>
      <c r="N75" s="18">
        <f t="shared" si="53"/>
        <v>0</v>
      </c>
      <c r="O75" s="16">
        <v>0</v>
      </c>
      <c r="P75" s="15">
        <v>0</v>
      </c>
      <c r="Q75" s="17">
        <f t="shared" si="27"/>
        <v>0</v>
      </c>
      <c r="R75" s="17">
        <f t="shared" si="28"/>
        <v>0</v>
      </c>
      <c r="S75" s="18" t="e">
        <f t="shared" si="29"/>
        <v>#DIV/0!</v>
      </c>
      <c r="T75" s="15">
        <v>0</v>
      </c>
      <c r="U75" s="15">
        <v>2</v>
      </c>
      <c r="V75" s="17">
        <f t="shared" si="30"/>
        <v>0</v>
      </c>
      <c r="W75" s="17">
        <f t="shared" si="31"/>
        <v>0.66666666666666663</v>
      </c>
      <c r="X75" s="18">
        <f t="shared" si="32"/>
        <v>0</v>
      </c>
      <c r="Y75" s="15">
        <v>0</v>
      </c>
      <c r="Z75" s="15">
        <v>0</v>
      </c>
      <c r="AA75" s="17">
        <f t="shared" si="33"/>
        <v>0</v>
      </c>
      <c r="AB75" s="17">
        <f t="shared" si="34"/>
        <v>0</v>
      </c>
      <c r="AC75" s="18" t="e">
        <f t="shared" si="35"/>
        <v>#DIV/0!</v>
      </c>
      <c r="AD75" s="15">
        <v>1</v>
      </c>
      <c r="AE75" s="17">
        <f t="shared" si="36"/>
        <v>0.33333333333333331</v>
      </c>
      <c r="AF75" s="15">
        <v>0</v>
      </c>
      <c r="AG75" s="17">
        <f t="shared" si="37"/>
        <v>0</v>
      </c>
      <c r="AH75" s="15">
        <v>1</v>
      </c>
      <c r="AI75" s="17">
        <f t="shared" si="38"/>
        <v>0.33333333333333331</v>
      </c>
      <c r="AJ75" s="15">
        <v>0</v>
      </c>
      <c r="AK75" s="17">
        <f t="shared" si="39"/>
        <v>0</v>
      </c>
      <c r="AL75" s="15">
        <v>0</v>
      </c>
      <c r="AM75" s="17">
        <f t="shared" si="40"/>
        <v>0</v>
      </c>
      <c r="AN75" s="25">
        <v>0</v>
      </c>
      <c r="AO75" s="17">
        <f t="shared" si="41"/>
        <v>0</v>
      </c>
      <c r="AP75" s="4">
        <v>0</v>
      </c>
      <c r="AQ75" s="17">
        <f t="shared" si="42"/>
        <v>0</v>
      </c>
      <c r="AR75" s="15">
        <v>0</v>
      </c>
      <c r="AS75" s="17">
        <f t="shared" si="43"/>
        <v>0</v>
      </c>
      <c r="AT75" s="19">
        <v>-3.4586343363281161E-2</v>
      </c>
      <c r="AU75" s="19">
        <v>-0.15901767063577546</v>
      </c>
      <c r="AV75" s="19">
        <v>-3.9643319794374909E-2</v>
      </c>
      <c r="AW75" s="19">
        <v>5.0569764310937453E-3</v>
      </c>
      <c r="AX75" s="19">
        <v>0</v>
      </c>
      <c r="AY75" s="19">
        <v>113.75704114859617</v>
      </c>
      <c r="AZ75" s="19">
        <v>-0.30651451089293585</v>
      </c>
      <c r="BA75" s="19">
        <v>-0.33333333333333331</v>
      </c>
      <c r="BB75" s="19">
        <v>-4.597701149425288</v>
      </c>
      <c r="BC75" s="18">
        <v>0</v>
      </c>
      <c r="BD75" s="18">
        <v>0</v>
      </c>
      <c r="BE75" s="19">
        <v>0.59888254505917404</v>
      </c>
      <c r="BF75" s="18">
        <v>1</v>
      </c>
      <c r="BG75" s="18">
        <v>0</v>
      </c>
      <c r="BH75" s="19">
        <v>0</v>
      </c>
      <c r="BI75" s="19">
        <v>0.69521690767519462</v>
      </c>
      <c r="BJ75" s="19">
        <v>0.33989904998215531</v>
      </c>
      <c r="BK75" s="19">
        <v>0</v>
      </c>
      <c r="BL75" s="19">
        <v>0</v>
      </c>
      <c r="BM75" s="19">
        <v>0</v>
      </c>
      <c r="BN75" s="19">
        <v>0</v>
      </c>
      <c r="BO75" s="20" t="s">
        <v>257</v>
      </c>
      <c r="BP75" s="21">
        <v>38425</v>
      </c>
      <c r="BQ75" s="30" t="s">
        <v>305</v>
      </c>
      <c r="BU75" s="35"/>
      <c r="BV75" s="35"/>
      <c r="BW75" s="35"/>
      <c r="BX75" s="36"/>
      <c r="BY75" s="36"/>
      <c r="BZ75" s="36"/>
      <c r="CA75" s="44">
        <v>1</v>
      </c>
      <c r="CB75" s="44">
        <v>2</v>
      </c>
    </row>
    <row r="76" spans="1:80" x14ac:dyDescent="0.4">
      <c r="A76" s="11" t="s">
        <v>53</v>
      </c>
      <c r="B76" s="11" t="s">
        <v>259</v>
      </c>
      <c r="C76" s="11" t="s">
        <v>70</v>
      </c>
      <c r="D76" s="15">
        <v>1</v>
      </c>
      <c r="E76" s="15">
        <v>4</v>
      </c>
      <c r="F76" s="15">
        <v>30</v>
      </c>
      <c r="G76" s="16">
        <v>270</v>
      </c>
      <c r="H76" s="16">
        <v>4</v>
      </c>
      <c r="I76" s="17">
        <f t="shared" si="50"/>
        <v>4</v>
      </c>
      <c r="J76" s="15">
        <v>2</v>
      </c>
      <c r="K76" s="15">
        <v>2</v>
      </c>
      <c r="L76" s="17">
        <f t="shared" si="51"/>
        <v>2</v>
      </c>
      <c r="M76" s="17">
        <f t="shared" si="52"/>
        <v>2</v>
      </c>
      <c r="N76" s="18">
        <f t="shared" si="53"/>
        <v>1</v>
      </c>
      <c r="O76" s="16">
        <v>2</v>
      </c>
      <c r="P76" s="15">
        <v>2</v>
      </c>
      <c r="Q76" s="17">
        <f t="shared" si="27"/>
        <v>2</v>
      </c>
      <c r="R76" s="17">
        <f t="shared" si="28"/>
        <v>2</v>
      </c>
      <c r="S76" s="18">
        <f t="shared" si="29"/>
        <v>1</v>
      </c>
      <c r="T76" s="15">
        <v>0</v>
      </c>
      <c r="U76" s="15">
        <v>0</v>
      </c>
      <c r="V76" s="17">
        <f t="shared" si="30"/>
        <v>0</v>
      </c>
      <c r="W76" s="17">
        <f t="shared" si="31"/>
        <v>0</v>
      </c>
      <c r="X76" s="18" t="e">
        <f t="shared" si="32"/>
        <v>#DIV/0!</v>
      </c>
      <c r="Y76" s="15">
        <v>0</v>
      </c>
      <c r="Z76" s="15">
        <v>0</v>
      </c>
      <c r="AA76" s="17">
        <f t="shared" si="33"/>
        <v>0</v>
      </c>
      <c r="AB76" s="17">
        <f t="shared" si="34"/>
        <v>0</v>
      </c>
      <c r="AC76" s="18" t="e">
        <f t="shared" si="35"/>
        <v>#DIV/0!</v>
      </c>
      <c r="AD76" s="15">
        <v>2</v>
      </c>
      <c r="AE76" s="17">
        <f t="shared" si="36"/>
        <v>2</v>
      </c>
      <c r="AF76" s="15">
        <v>0</v>
      </c>
      <c r="AG76" s="17">
        <f t="shared" si="37"/>
        <v>0</v>
      </c>
      <c r="AH76" s="15">
        <v>2</v>
      </c>
      <c r="AI76" s="17">
        <f t="shared" si="38"/>
        <v>2</v>
      </c>
      <c r="AJ76" s="15">
        <v>0</v>
      </c>
      <c r="AK76" s="17">
        <f t="shared" si="39"/>
        <v>0</v>
      </c>
      <c r="AL76" s="15">
        <v>0</v>
      </c>
      <c r="AM76" s="17">
        <f t="shared" si="40"/>
        <v>0</v>
      </c>
      <c r="AN76" s="25">
        <v>0</v>
      </c>
      <c r="AO76" s="17">
        <f t="shared" si="41"/>
        <v>0</v>
      </c>
      <c r="AP76" s="4">
        <v>0</v>
      </c>
      <c r="AQ76" s="17">
        <f t="shared" si="42"/>
        <v>0</v>
      </c>
      <c r="AR76" s="15">
        <v>2</v>
      </c>
      <c r="AS76" s="17">
        <f t="shared" si="43"/>
        <v>2</v>
      </c>
      <c r="AT76" s="19">
        <v>2.5062168885201089E-2</v>
      </c>
      <c r="AU76" s="19">
        <v>0.22277483453512079</v>
      </c>
      <c r="AV76" s="19">
        <v>1.5978149901718426E-2</v>
      </c>
      <c r="AW76" s="19">
        <v>9.0840189834826644E-3</v>
      </c>
      <c r="AX76" s="19">
        <v>200</v>
      </c>
      <c r="AY76" s="19">
        <v>99.300947506855991</v>
      </c>
      <c r="AZ76" s="19">
        <v>0.45386391776546764</v>
      </c>
      <c r="BA76" s="19">
        <v>6</v>
      </c>
      <c r="BB76" s="19">
        <v>53.333333333333329</v>
      </c>
      <c r="BC76" s="18">
        <v>1</v>
      </c>
      <c r="BD76" s="18">
        <v>1</v>
      </c>
      <c r="BE76" s="19">
        <v>0.38594652903813448</v>
      </c>
      <c r="BF76" s="18">
        <v>0</v>
      </c>
      <c r="BG76" s="18">
        <v>0</v>
      </c>
      <c r="BH76" s="19">
        <v>0</v>
      </c>
      <c r="BI76" s="19">
        <v>0.8960573476702508</v>
      </c>
      <c r="BJ76" s="19">
        <v>0.43809210886588906</v>
      </c>
      <c r="BK76" s="19">
        <v>0</v>
      </c>
      <c r="BL76" s="19">
        <v>0</v>
      </c>
      <c r="BM76" s="19">
        <v>0</v>
      </c>
      <c r="BN76" s="19">
        <v>0</v>
      </c>
      <c r="BO76" s="20" t="s">
        <v>257</v>
      </c>
      <c r="BP76" s="21">
        <v>59671</v>
      </c>
      <c r="BQ76" s="30" t="s">
        <v>307</v>
      </c>
      <c r="BR76" s="30">
        <v>7.13</v>
      </c>
      <c r="BS76" s="30">
        <v>7.13</v>
      </c>
      <c r="BT76" s="30">
        <v>0</v>
      </c>
      <c r="BU76" s="35">
        <f t="shared" si="44"/>
        <v>7.13</v>
      </c>
      <c r="BV76" s="35">
        <f t="shared" si="45"/>
        <v>7.13</v>
      </c>
      <c r="BW76" s="35">
        <f t="shared" si="46"/>
        <v>0</v>
      </c>
      <c r="BX76" s="36">
        <f t="shared" si="47"/>
        <v>63.37777777777778</v>
      </c>
      <c r="BY76" s="36">
        <f t="shared" si="48"/>
        <v>63.37777777777778</v>
      </c>
      <c r="BZ76" s="36">
        <f t="shared" si="49"/>
        <v>0</v>
      </c>
      <c r="CA76" s="30">
        <v>0</v>
      </c>
      <c r="CB76" s="30">
        <v>1</v>
      </c>
    </row>
    <row r="77" spans="1:80" x14ac:dyDescent="0.4">
      <c r="A77" s="11" t="s">
        <v>53</v>
      </c>
      <c r="B77" s="11" t="s">
        <v>259</v>
      </c>
      <c r="C77" s="11" t="s">
        <v>64</v>
      </c>
      <c r="D77" s="15">
        <v>45</v>
      </c>
      <c r="E77" s="15">
        <v>12</v>
      </c>
      <c r="F77" s="15">
        <v>39</v>
      </c>
      <c r="G77" s="16">
        <v>34155</v>
      </c>
      <c r="H77" s="16">
        <v>121</v>
      </c>
      <c r="I77" s="17">
        <f t="shared" si="50"/>
        <v>2.6888888888888891</v>
      </c>
      <c r="J77" s="15">
        <v>40</v>
      </c>
      <c r="K77" s="15">
        <v>107</v>
      </c>
      <c r="L77" s="17">
        <f t="shared" si="51"/>
        <v>0.88888888888888884</v>
      </c>
      <c r="M77" s="17">
        <f t="shared" si="52"/>
        <v>2.3777777777777778</v>
      </c>
      <c r="N77" s="18">
        <f t="shared" si="53"/>
        <v>0.37383177570093457</v>
      </c>
      <c r="O77" s="16">
        <v>23</v>
      </c>
      <c r="P77" s="15">
        <v>50</v>
      </c>
      <c r="Q77" s="17">
        <f t="shared" si="27"/>
        <v>0.51111111111111107</v>
      </c>
      <c r="R77" s="17">
        <f t="shared" si="28"/>
        <v>1.1111111111111112</v>
      </c>
      <c r="S77" s="18">
        <f t="shared" si="29"/>
        <v>0.46</v>
      </c>
      <c r="T77" s="15">
        <v>17</v>
      </c>
      <c r="U77" s="15">
        <v>57</v>
      </c>
      <c r="V77" s="17">
        <f t="shared" si="30"/>
        <v>0.37777777777777777</v>
      </c>
      <c r="W77" s="17">
        <f t="shared" si="31"/>
        <v>1.2666666666666666</v>
      </c>
      <c r="X77" s="18">
        <f t="shared" si="32"/>
        <v>0.2982456140350877</v>
      </c>
      <c r="Y77" s="15">
        <v>24</v>
      </c>
      <c r="Z77" s="15">
        <v>33</v>
      </c>
      <c r="AA77" s="17">
        <f t="shared" si="33"/>
        <v>0.53333333333333333</v>
      </c>
      <c r="AB77" s="17">
        <f t="shared" si="34"/>
        <v>0.73333333333333328</v>
      </c>
      <c r="AC77" s="18">
        <f t="shared" si="35"/>
        <v>0.72727272727272729</v>
      </c>
      <c r="AD77" s="15">
        <v>63</v>
      </c>
      <c r="AE77" s="17">
        <f t="shared" si="36"/>
        <v>1.4</v>
      </c>
      <c r="AF77" s="15">
        <v>16</v>
      </c>
      <c r="AG77" s="17">
        <f t="shared" si="37"/>
        <v>0.35555555555555557</v>
      </c>
      <c r="AH77" s="15">
        <v>47</v>
      </c>
      <c r="AI77" s="17">
        <f t="shared" si="38"/>
        <v>1.0444444444444445</v>
      </c>
      <c r="AJ77" s="15">
        <v>20</v>
      </c>
      <c r="AK77" s="17">
        <f t="shared" si="39"/>
        <v>0.44444444444444442</v>
      </c>
      <c r="AL77" s="15">
        <v>20</v>
      </c>
      <c r="AM77" s="17">
        <f t="shared" si="40"/>
        <v>0.44444444444444442</v>
      </c>
      <c r="AN77" s="25">
        <v>1</v>
      </c>
      <c r="AO77" s="17">
        <f t="shared" si="41"/>
        <v>2.2222222222222223E-2</v>
      </c>
      <c r="AP77" s="4">
        <v>14</v>
      </c>
      <c r="AQ77" s="17">
        <f t="shared" si="42"/>
        <v>0.31111111111111112</v>
      </c>
      <c r="AR77" s="15">
        <v>71</v>
      </c>
      <c r="AS77" s="17">
        <f t="shared" si="43"/>
        <v>1.5777777777777777</v>
      </c>
      <c r="AT77" s="19">
        <v>0.57253475929914222</v>
      </c>
      <c r="AU77" s="19">
        <v>4.023081312598277E-2</v>
      </c>
      <c r="AV77" s="19">
        <v>4.1344173502403637E-2</v>
      </c>
      <c r="AW77" s="19">
        <v>0.53119058579673861</v>
      </c>
      <c r="AX77" s="19">
        <v>103.200405839795</v>
      </c>
      <c r="AY77" s="19">
        <v>110.21817244579175</v>
      </c>
      <c r="AZ77" s="19">
        <v>3.0108435857521858</v>
      </c>
      <c r="BA77" s="19">
        <v>3</v>
      </c>
      <c r="BB77" s="19">
        <v>9.4861660079051386</v>
      </c>
      <c r="BC77" s="18">
        <v>0.49786043449637923</v>
      </c>
      <c r="BD77" s="18">
        <v>0.45327102803738317</v>
      </c>
      <c r="BE77" s="19">
        <v>9.3029893782061599</v>
      </c>
      <c r="BF77" s="18">
        <v>0.53271028037383172</v>
      </c>
      <c r="BG77" s="18">
        <v>0.30841121495327101</v>
      </c>
      <c r="BH77" s="19">
        <v>2.5500446257809513</v>
      </c>
      <c r="BI77" s="19">
        <v>7.490756088231544</v>
      </c>
      <c r="BJ77" s="19">
        <v>4.9090558444063062</v>
      </c>
      <c r="BK77" s="19">
        <v>4.0708324852432325</v>
      </c>
      <c r="BL77" s="19">
        <v>1.9401651972140745</v>
      </c>
      <c r="BM77" s="19">
        <v>0.14908323130449688</v>
      </c>
      <c r="BN77" s="19">
        <v>10.330578512396695</v>
      </c>
      <c r="BO77" s="20" t="s">
        <v>257</v>
      </c>
      <c r="BP77" s="21">
        <v>45000</v>
      </c>
      <c r="BQ77" s="30" t="s">
        <v>305</v>
      </c>
      <c r="BR77" s="30">
        <v>303.13</v>
      </c>
      <c r="BS77" s="30">
        <v>394.33</v>
      </c>
      <c r="BT77" s="30">
        <v>91.2</v>
      </c>
      <c r="BU77" s="35">
        <f t="shared" si="44"/>
        <v>6.7362222222222208</v>
      </c>
      <c r="BV77" s="35">
        <f t="shared" si="45"/>
        <v>8.7628888888888881</v>
      </c>
      <c r="BW77" s="35">
        <f t="shared" si="46"/>
        <v>2.0266666666666668</v>
      </c>
      <c r="BX77" s="36">
        <f t="shared" si="47"/>
        <v>21.300307422046554</v>
      </c>
      <c r="BY77" s="36">
        <f t="shared" si="48"/>
        <v>27.708739569609136</v>
      </c>
      <c r="BZ77" s="36">
        <f t="shared" si="49"/>
        <v>6.4084321475625821</v>
      </c>
      <c r="CA77" s="31">
        <v>28</v>
      </c>
      <c r="CB77" s="31">
        <v>17</v>
      </c>
    </row>
    <row r="78" spans="1:80" x14ac:dyDescent="0.4">
      <c r="A78" s="11" t="s">
        <v>53</v>
      </c>
      <c r="B78" s="11" t="s">
        <v>259</v>
      </c>
      <c r="C78" s="11" t="s">
        <v>61</v>
      </c>
      <c r="D78" s="15">
        <v>31</v>
      </c>
      <c r="E78" s="15">
        <v>32</v>
      </c>
      <c r="F78" s="15">
        <v>33</v>
      </c>
      <c r="G78" s="16">
        <v>60543</v>
      </c>
      <c r="H78" s="16">
        <v>383</v>
      </c>
      <c r="I78" s="17">
        <f t="shared" si="50"/>
        <v>12.35483870967742</v>
      </c>
      <c r="J78" s="15">
        <v>135</v>
      </c>
      <c r="K78" s="15">
        <v>322</v>
      </c>
      <c r="L78" s="17">
        <f t="shared" si="51"/>
        <v>4.354838709677419</v>
      </c>
      <c r="M78" s="17">
        <f t="shared" si="52"/>
        <v>10.387096774193548</v>
      </c>
      <c r="N78" s="18">
        <f t="shared" si="53"/>
        <v>0.41925465838509318</v>
      </c>
      <c r="O78" s="16">
        <v>75</v>
      </c>
      <c r="P78" s="15">
        <v>160</v>
      </c>
      <c r="Q78" s="17">
        <f t="shared" si="27"/>
        <v>2.4193548387096775</v>
      </c>
      <c r="R78" s="17">
        <f t="shared" si="28"/>
        <v>5.161290322580645</v>
      </c>
      <c r="S78" s="18">
        <f t="shared" si="29"/>
        <v>0.46875</v>
      </c>
      <c r="T78" s="15">
        <v>60</v>
      </c>
      <c r="U78" s="15">
        <v>162</v>
      </c>
      <c r="V78" s="17">
        <f t="shared" si="30"/>
        <v>1.935483870967742</v>
      </c>
      <c r="W78" s="17">
        <f t="shared" si="31"/>
        <v>5.225806451612903</v>
      </c>
      <c r="X78" s="18">
        <f t="shared" si="32"/>
        <v>0.37037037037037035</v>
      </c>
      <c r="Y78" s="15">
        <v>53</v>
      </c>
      <c r="Z78" s="15">
        <v>80</v>
      </c>
      <c r="AA78" s="17">
        <f t="shared" si="33"/>
        <v>1.7096774193548387</v>
      </c>
      <c r="AB78" s="17">
        <f t="shared" si="34"/>
        <v>2.5806451612903225</v>
      </c>
      <c r="AC78" s="18">
        <f t="shared" si="35"/>
        <v>0.66249999999999998</v>
      </c>
      <c r="AD78" s="15">
        <v>152</v>
      </c>
      <c r="AE78" s="17">
        <f t="shared" si="36"/>
        <v>4.903225806451613</v>
      </c>
      <c r="AF78" s="15">
        <v>28</v>
      </c>
      <c r="AG78" s="17">
        <f t="shared" si="37"/>
        <v>0.90322580645161288</v>
      </c>
      <c r="AH78" s="15">
        <v>124</v>
      </c>
      <c r="AI78" s="17">
        <f t="shared" si="38"/>
        <v>4</v>
      </c>
      <c r="AJ78" s="15">
        <v>62</v>
      </c>
      <c r="AK78" s="17">
        <f t="shared" si="39"/>
        <v>2</v>
      </c>
      <c r="AL78" s="15">
        <v>44</v>
      </c>
      <c r="AM78" s="17">
        <f t="shared" si="40"/>
        <v>1.4193548387096775</v>
      </c>
      <c r="AN78" s="25">
        <v>19</v>
      </c>
      <c r="AO78" s="17">
        <f t="shared" si="41"/>
        <v>0.61290322580645162</v>
      </c>
      <c r="AP78" s="4">
        <v>55</v>
      </c>
      <c r="AQ78" s="17">
        <f t="shared" si="42"/>
        <v>1.7741935483870968</v>
      </c>
      <c r="AR78" s="15">
        <v>68</v>
      </c>
      <c r="AS78" s="17">
        <f t="shared" si="43"/>
        <v>2.193548387096774</v>
      </c>
      <c r="AT78" s="19">
        <v>1.3088825087546103</v>
      </c>
      <c r="AU78" s="19">
        <v>5.1885734453381308E-2</v>
      </c>
      <c r="AV78" s="19">
        <v>1.4724078843964485E-2</v>
      </c>
      <c r="AW78" s="19">
        <v>1.2941584299106459</v>
      </c>
      <c r="AX78" s="19">
        <v>102.04010857818464</v>
      </c>
      <c r="AY78" s="19">
        <v>106.70413713243467</v>
      </c>
      <c r="AZ78" s="19">
        <v>5.2310928584479717</v>
      </c>
      <c r="BA78" s="19">
        <v>12.612903225806452</v>
      </c>
      <c r="BB78" s="19">
        <v>15.499727466428821</v>
      </c>
      <c r="BC78" s="18">
        <v>0.53611422172452405</v>
      </c>
      <c r="BD78" s="18">
        <v>0.51242236024844723</v>
      </c>
      <c r="BE78" s="19">
        <v>10.996808244436798</v>
      </c>
      <c r="BF78" s="18">
        <v>0.50310559006211175</v>
      </c>
      <c r="BG78" s="18">
        <v>0.2484472049689441</v>
      </c>
      <c r="BH78" s="19">
        <v>1.734304543877905</v>
      </c>
      <c r="BI78" s="19">
        <v>7.6804915514592942</v>
      </c>
      <c r="BJ78" s="19">
        <v>4.6029954295586499</v>
      </c>
      <c r="BK78" s="19">
        <v>5.0320590861131409</v>
      </c>
      <c r="BL78" s="19">
        <v>2.407973722542041</v>
      </c>
      <c r="BM78" s="19">
        <v>1.1008342440564007</v>
      </c>
      <c r="BN78" s="19">
        <v>13.34303736050461</v>
      </c>
      <c r="BO78" s="20" t="s">
        <v>257</v>
      </c>
      <c r="BP78" s="21">
        <v>165000</v>
      </c>
      <c r="BQ78" s="31" t="s">
        <v>305</v>
      </c>
      <c r="BR78" s="31">
        <v>676.38</v>
      </c>
      <c r="BS78" s="31">
        <v>957.28</v>
      </c>
      <c r="BT78" s="31">
        <v>280.89999999999998</v>
      </c>
      <c r="BU78" s="35">
        <f t="shared" si="44"/>
        <v>21.818709677419356</v>
      </c>
      <c r="BV78" s="35">
        <f t="shared" si="45"/>
        <v>30.88</v>
      </c>
      <c r="BW78" s="35">
        <f t="shared" si="46"/>
        <v>9.0612903225806445</v>
      </c>
      <c r="BX78" s="36">
        <f t="shared" si="47"/>
        <v>26.812546454585991</v>
      </c>
      <c r="BY78" s="36">
        <f t="shared" si="48"/>
        <v>37.947772657450074</v>
      </c>
      <c r="BZ78" s="36">
        <f t="shared" si="49"/>
        <v>11.13522620286408</v>
      </c>
      <c r="CA78" s="30">
        <v>21</v>
      </c>
      <c r="CB78" s="30">
        <v>10</v>
      </c>
    </row>
    <row r="79" spans="1:80" x14ac:dyDescent="0.4">
      <c r="A79" s="11" t="s">
        <v>53</v>
      </c>
      <c r="B79" s="11" t="s">
        <v>259</v>
      </c>
      <c r="C79" s="11" t="s">
        <v>63</v>
      </c>
      <c r="D79" s="15">
        <v>31</v>
      </c>
      <c r="E79" s="15">
        <v>12</v>
      </c>
      <c r="F79" s="15">
        <v>49</v>
      </c>
      <c r="G79" s="16">
        <v>23839</v>
      </c>
      <c r="H79" s="16">
        <v>100</v>
      </c>
      <c r="I79" s="17">
        <f t="shared" si="50"/>
        <v>3.225806451612903</v>
      </c>
      <c r="J79" s="15">
        <v>38</v>
      </c>
      <c r="K79" s="15">
        <v>95</v>
      </c>
      <c r="L79" s="17">
        <f t="shared" si="51"/>
        <v>1.2258064516129032</v>
      </c>
      <c r="M79" s="17">
        <f t="shared" si="52"/>
        <v>3.064516129032258</v>
      </c>
      <c r="N79" s="18">
        <f t="shared" si="53"/>
        <v>0.4</v>
      </c>
      <c r="O79" s="16">
        <v>20</v>
      </c>
      <c r="P79" s="15">
        <v>42</v>
      </c>
      <c r="Q79" s="17">
        <f t="shared" si="27"/>
        <v>0.64516129032258063</v>
      </c>
      <c r="R79" s="17">
        <f t="shared" si="28"/>
        <v>1.3548387096774193</v>
      </c>
      <c r="S79" s="18">
        <f t="shared" si="29"/>
        <v>0.47619047619047616</v>
      </c>
      <c r="T79" s="15">
        <v>18</v>
      </c>
      <c r="U79" s="15">
        <v>53</v>
      </c>
      <c r="V79" s="17">
        <f t="shared" si="30"/>
        <v>0.58064516129032262</v>
      </c>
      <c r="W79" s="17">
        <f t="shared" si="31"/>
        <v>1.7096774193548387</v>
      </c>
      <c r="X79" s="18">
        <f t="shared" si="32"/>
        <v>0.33962264150943394</v>
      </c>
      <c r="Y79" s="15">
        <v>6</v>
      </c>
      <c r="Z79" s="15">
        <v>9</v>
      </c>
      <c r="AA79" s="17">
        <f t="shared" si="33"/>
        <v>0.19354838709677419</v>
      </c>
      <c r="AB79" s="17">
        <f t="shared" si="34"/>
        <v>0.29032258064516131</v>
      </c>
      <c r="AC79" s="18">
        <f t="shared" si="35"/>
        <v>0.66666666666666663</v>
      </c>
      <c r="AD79" s="15">
        <v>49</v>
      </c>
      <c r="AE79" s="17">
        <f t="shared" si="36"/>
        <v>1.5806451612903225</v>
      </c>
      <c r="AF79" s="15">
        <v>18</v>
      </c>
      <c r="AG79" s="17">
        <f t="shared" si="37"/>
        <v>0.58064516129032262</v>
      </c>
      <c r="AH79" s="15">
        <v>31</v>
      </c>
      <c r="AI79" s="17">
        <f t="shared" si="38"/>
        <v>1</v>
      </c>
      <c r="AJ79" s="15">
        <v>40</v>
      </c>
      <c r="AK79" s="17">
        <f t="shared" si="39"/>
        <v>1.2903225806451613</v>
      </c>
      <c r="AL79" s="15">
        <v>13</v>
      </c>
      <c r="AM79" s="17">
        <f t="shared" si="40"/>
        <v>0.41935483870967744</v>
      </c>
      <c r="AN79" s="25">
        <v>3</v>
      </c>
      <c r="AO79" s="17">
        <f t="shared" si="41"/>
        <v>9.6774193548387094E-2</v>
      </c>
      <c r="AP79" s="4">
        <v>17</v>
      </c>
      <c r="AQ79" s="17">
        <f t="shared" si="42"/>
        <v>0.54838709677419351</v>
      </c>
      <c r="AR79" s="15">
        <v>39</v>
      </c>
      <c r="AS79" s="17">
        <f t="shared" si="43"/>
        <v>1.2580645161290323</v>
      </c>
      <c r="AT79" s="19">
        <v>0.46218819506982423</v>
      </c>
      <c r="AU79" s="19">
        <v>4.6530964728704147E-2</v>
      </c>
      <c r="AV79" s="19">
        <v>9.9901494330880372E-2</v>
      </c>
      <c r="AW79" s="19">
        <v>0.36228670073894387</v>
      </c>
      <c r="AX79" s="19">
        <v>105.34525462036326</v>
      </c>
      <c r="AY79" s="19">
        <v>110.4324628949456</v>
      </c>
      <c r="AZ79" s="19">
        <v>3.7587031126260944</v>
      </c>
      <c r="BA79" s="19">
        <v>4.129032258064516</v>
      </c>
      <c r="BB79" s="19">
        <v>12.886446579135031</v>
      </c>
      <c r="BC79" s="18">
        <v>0.50525464834276479</v>
      </c>
      <c r="BD79" s="18">
        <v>0.49473684210526314</v>
      </c>
      <c r="BE79" s="19">
        <v>7.8567471176597898</v>
      </c>
      <c r="BF79" s="18">
        <v>0.55789473684210522</v>
      </c>
      <c r="BG79" s="18">
        <v>9.4736842105263161E-2</v>
      </c>
      <c r="BH79" s="19">
        <v>2.8314946096732245</v>
      </c>
      <c r="BI79" s="19">
        <v>4.876462938881664</v>
      </c>
      <c r="BJ79" s="19">
        <v>3.7685036412845982</v>
      </c>
      <c r="BK79" s="19">
        <v>7.9952028782730347</v>
      </c>
      <c r="BL79" s="19">
        <v>1.8068342842422238</v>
      </c>
      <c r="BM79" s="19">
        <v>0.44143370309536994</v>
      </c>
      <c r="BN79" s="19">
        <v>14.66022766471197</v>
      </c>
      <c r="BO79" s="20" t="s">
        <v>257</v>
      </c>
      <c r="BP79" s="21">
        <v>300000</v>
      </c>
      <c r="BQ79" s="31" t="s">
        <v>306</v>
      </c>
      <c r="BR79" s="31">
        <v>254.98</v>
      </c>
      <c r="BS79" s="31">
        <v>336.38</v>
      </c>
      <c r="BT79" s="31">
        <v>81.400000000000006</v>
      </c>
      <c r="BU79" s="35">
        <f t="shared" si="44"/>
        <v>8.2251612903225819</v>
      </c>
      <c r="BV79" s="35">
        <f t="shared" si="45"/>
        <v>10.850967741935484</v>
      </c>
      <c r="BW79" s="35">
        <f t="shared" si="46"/>
        <v>2.6258064516129034</v>
      </c>
      <c r="BX79" s="36">
        <f t="shared" si="47"/>
        <v>25.670204287092577</v>
      </c>
      <c r="BY79" s="36">
        <f t="shared" si="48"/>
        <v>33.865178908511261</v>
      </c>
      <c r="BZ79" s="36">
        <f t="shared" si="49"/>
        <v>8.1949746214186838</v>
      </c>
      <c r="CA79" s="30">
        <v>16</v>
      </c>
      <c r="CB79" s="30">
        <v>15</v>
      </c>
    </row>
    <row r="80" spans="1:80" x14ac:dyDescent="0.4">
      <c r="A80" s="11" t="s">
        <v>53</v>
      </c>
      <c r="B80" s="11" t="s">
        <v>259</v>
      </c>
      <c r="C80" s="11" t="s">
        <v>55</v>
      </c>
      <c r="D80" s="15">
        <v>54</v>
      </c>
      <c r="E80" s="15">
        <v>22</v>
      </c>
      <c r="F80" s="15">
        <v>3</v>
      </c>
      <c r="G80" s="16">
        <v>71442</v>
      </c>
      <c r="H80" s="16">
        <v>457</v>
      </c>
      <c r="I80" s="17">
        <f t="shared" si="50"/>
        <v>8.4629629629629637</v>
      </c>
      <c r="J80" s="15">
        <v>181</v>
      </c>
      <c r="K80" s="15">
        <v>427</v>
      </c>
      <c r="L80" s="17">
        <f t="shared" si="51"/>
        <v>3.3518518518518516</v>
      </c>
      <c r="M80" s="17">
        <f t="shared" si="52"/>
        <v>7.9074074074074074</v>
      </c>
      <c r="N80" s="18">
        <f t="shared" si="53"/>
        <v>0.42388758782201408</v>
      </c>
      <c r="O80" s="16">
        <v>156</v>
      </c>
      <c r="P80" s="15">
        <v>322</v>
      </c>
      <c r="Q80" s="17">
        <f t="shared" si="27"/>
        <v>2.8888888888888888</v>
      </c>
      <c r="R80" s="17">
        <f t="shared" si="28"/>
        <v>5.9629629629629628</v>
      </c>
      <c r="S80" s="18">
        <f t="shared" si="29"/>
        <v>0.48447204968944102</v>
      </c>
      <c r="T80" s="15">
        <v>25</v>
      </c>
      <c r="U80" s="15">
        <v>105</v>
      </c>
      <c r="V80" s="17">
        <f t="shared" si="30"/>
        <v>0.46296296296296297</v>
      </c>
      <c r="W80" s="17">
        <f t="shared" si="31"/>
        <v>1.9444444444444444</v>
      </c>
      <c r="X80" s="18">
        <f t="shared" si="32"/>
        <v>0.23809523809523808</v>
      </c>
      <c r="Y80" s="15">
        <v>70</v>
      </c>
      <c r="Z80" s="15">
        <v>89</v>
      </c>
      <c r="AA80" s="17">
        <f t="shared" si="33"/>
        <v>1.2962962962962963</v>
      </c>
      <c r="AB80" s="17">
        <f t="shared" si="34"/>
        <v>1.6481481481481481</v>
      </c>
      <c r="AC80" s="18">
        <f t="shared" si="35"/>
        <v>0.7865168539325843</v>
      </c>
      <c r="AD80" s="15">
        <v>267</v>
      </c>
      <c r="AE80" s="17">
        <f t="shared" si="36"/>
        <v>4.9444444444444446</v>
      </c>
      <c r="AF80" s="15">
        <v>75</v>
      </c>
      <c r="AG80" s="17">
        <f t="shared" si="37"/>
        <v>1.3888888888888888</v>
      </c>
      <c r="AH80" s="15">
        <v>192</v>
      </c>
      <c r="AI80" s="17">
        <f t="shared" si="38"/>
        <v>3.5555555555555554</v>
      </c>
      <c r="AJ80" s="15">
        <v>70</v>
      </c>
      <c r="AK80" s="17">
        <f t="shared" si="39"/>
        <v>1.2962962962962963</v>
      </c>
      <c r="AL80" s="15">
        <v>36</v>
      </c>
      <c r="AM80" s="17">
        <f t="shared" si="40"/>
        <v>0.66666666666666663</v>
      </c>
      <c r="AN80" s="25">
        <v>16</v>
      </c>
      <c r="AO80" s="17">
        <f t="shared" si="41"/>
        <v>0.29629629629629628</v>
      </c>
      <c r="AP80" s="4">
        <v>34</v>
      </c>
      <c r="AQ80" s="17">
        <f t="shared" si="42"/>
        <v>0.62962962962962965</v>
      </c>
      <c r="AR80" s="15">
        <v>106</v>
      </c>
      <c r="AS80" s="17">
        <f t="shared" si="43"/>
        <v>1.962962962962963</v>
      </c>
      <c r="AT80" s="19">
        <v>2.0135764392176374</v>
      </c>
      <c r="AU80" s="19">
        <v>6.7643451388851514E-2</v>
      </c>
      <c r="AV80" s="19">
        <v>0.53224481977395977</v>
      </c>
      <c r="AW80" s="19">
        <v>1.4813316194436776</v>
      </c>
      <c r="AX80" s="19">
        <v>106.48791797521433</v>
      </c>
      <c r="AY80" s="19">
        <v>107.09099825905581</v>
      </c>
      <c r="AZ80" s="19">
        <v>9.8786081120971794</v>
      </c>
      <c r="BA80" s="19">
        <v>10.12962962962963</v>
      </c>
      <c r="BB80" s="19">
        <v>18.375745359872344</v>
      </c>
      <c r="BC80" s="18">
        <v>0.49017504719409644</v>
      </c>
      <c r="BD80" s="18">
        <v>0.4531615925058548</v>
      </c>
      <c r="BE80" s="19">
        <v>19.697450608542173</v>
      </c>
      <c r="BF80" s="18">
        <v>0.24590163934426229</v>
      </c>
      <c r="BG80" s="18">
        <v>0.20843091334894615</v>
      </c>
      <c r="BH80" s="19">
        <v>6.8575817423743688</v>
      </c>
      <c r="BI80" s="19">
        <v>17.555409260478385</v>
      </c>
      <c r="BJ80" s="19">
        <v>11.935774802774732</v>
      </c>
      <c r="BK80" s="19">
        <v>9.3947121191786334</v>
      </c>
      <c r="BL80" s="19">
        <v>1.6695979418202751</v>
      </c>
      <c r="BM80" s="19">
        <v>1.3684556016340215</v>
      </c>
      <c r="BN80" s="19">
        <v>6.7978246960972486</v>
      </c>
      <c r="BO80" s="20" t="s">
        <v>257</v>
      </c>
      <c r="BP80" s="21">
        <v>60000</v>
      </c>
      <c r="BQ80" s="30" t="s">
        <v>307</v>
      </c>
      <c r="BR80" s="30">
        <v>918.07</v>
      </c>
      <c r="BS80" s="30">
        <v>1222.27</v>
      </c>
      <c r="BT80" s="30">
        <v>304.2</v>
      </c>
      <c r="BU80" s="35">
        <f t="shared" si="44"/>
        <v>17.001296296296296</v>
      </c>
      <c r="BV80" s="35">
        <f t="shared" si="45"/>
        <v>22.634629629629629</v>
      </c>
      <c r="BW80" s="35">
        <f t="shared" si="46"/>
        <v>5.6333333333333329</v>
      </c>
      <c r="BX80" s="36">
        <f t="shared" si="47"/>
        <v>30.841353825480809</v>
      </c>
      <c r="BY80" s="36">
        <f t="shared" si="48"/>
        <v>41.060552616108168</v>
      </c>
      <c r="BZ80" s="36">
        <f t="shared" si="49"/>
        <v>10.219198790627361</v>
      </c>
      <c r="CA80" s="31">
        <v>31</v>
      </c>
      <c r="CB80" s="31">
        <v>23</v>
      </c>
    </row>
    <row r="81" spans="1:80" x14ac:dyDescent="0.4">
      <c r="A81" s="11" t="s">
        <v>53</v>
      </c>
      <c r="B81" s="11" t="s">
        <v>259</v>
      </c>
      <c r="C81" s="11" t="s">
        <v>60</v>
      </c>
      <c r="D81" s="10">
        <v>51</v>
      </c>
      <c r="E81" s="10">
        <v>27</v>
      </c>
      <c r="F81" s="10">
        <v>12</v>
      </c>
      <c r="G81" s="16">
        <v>83232</v>
      </c>
      <c r="H81" s="16">
        <v>567</v>
      </c>
      <c r="I81" s="17">
        <f t="shared" si="50"/>
        <v>11.117647058823529</v>
      </c>
      <c r="J81" s="15">
        <v>208</v>
      </c>
      <c r="K81" s="15">
        <v>477</v>
      </c>
      <c r="L81" s="17">
        <f t="shared" si="51"/>
        <v>4.0784313725490193</v>
      </c>
      <c r="M81" s="17">
        <f t="shared" si="52"/>
        <v>9.3529411764705888</v>
      </c>
      <c r="N81" s="18">
        <f t="shared" si="53"/>
        <v>0.4360587002096436</v>
      </c>
      <c r="O81" s="16">
        <v>147</v>
      </c>
      <c r="P81" s="15">
        <v>288</v>
      </c>
      <c r="Q81" s="17">
        <f t="shared" si="27"/>
        <v>2.8823529411764706</v>
      </c>
      <c r="R81" s="17">
        <f t="shared" si="28"/>
        <v>5.6470588235294121</v>
      </c>
      <c r="S81" s="18">
        <f t="shared" si="29"/>
        <v>0.51041666666666663</v>
      </c>
      <c r="T81" s="15">
        <v>61</v>
      </c>
      <c r="U81" s="15">
        <v>189</v>
      </c>
      <c r="V81" s="17">
        <f t="shared" si="30"/>
        <v>1.196078431372549</v>
      </c>
      <c r="W81" s="17">
        <f t="shared" si="31"/>
        <v>3.7058823529411766</v>
      </c>
      <c r="X81" s="18">
        <f t="shared" si="32"/>
        <v>0.32275132275132273</v>
      </c>
      <c r="Y81" s="9">
        <v>90</v>
      </c>
      <c r="Z81" s="9">
        <v>105</v>
      </c>
      <c r="AA81" s="17">
        <f t="shared" si="33"/>
        <v>1.7647058823529411</v>
      </c>
      <c r="AB81" s="17">
        <f t="shared" si="34"/>
        <v>2.0588235294117645</v>
      </c>
      <c r="AC81" s="18">
        <f t="shared" si="35"/>
        <v>0.8571428571428571</v>
      </c>
      <c r="AD81" s="15">
        <v>141</v>
      </c>
      <c r="AE81" s="17">
        <f t="shared" si="36"/>
        <v>2.7647058823529411</v>
      </c>
      <c r="AF81" s="15">
        <v>31</v>
      </c>
      <c r="AG81" s="17">
        <f t="shared" si="37"/>
        <v>0.60784313725490191</v>
      </c>
      <c r="AH81" s="15">
        <v>110</v>
      </c>
      <c r="AI81" s="17">
        <f t="shared" si="38"/>
        <v>2.1568627450980391</v>
      </c>
      <c r="AJ81" s="15">
        <v>142</v>
      </c>
      <c r="AK81" s="17">
        <f t="shared" si="39"/>
        <v>2.784313725490196</v>
      </c>
      <c r="AL81" s="15">
        <v>65</v>
      </c>
      <c r="AM81" s="17">
        <f t="shared" si="40"/>
        <v>1.2745098039215685</v>
      </c>
      <c r="AN81" s="2">
        <v>4</v>
      </c>
      <c r="AO81" s="17">
        <f t="shared" si="41"/>
        <v>7.8431372549019607E-2</v>
      </c>
      <c r="AP81" s="6">
        <v>72</v>
      </c>
      <c r="AQ81" s="17">
        <f t="shared" si="42"/>
        <v>1.411764705882353</v>
      </c>
      <c r="AR81" s="15">
        <v>142</v>
      </c>
      <c r="AS81" s="17">
        <f t="shared" si="43"/>
        <v>2.784313725490196</v>
      </c>
      <c r="AT81" s="19">
        <v>2.3365508646737951</v>
      </c>
      <c r="AU81" s="19">
        <v>6.7374592406972175E-2</v>
      </c>
      <c r="AV81" s="19">
        <v>0.85873249050064204</v>
      </c>
      <c r="AW81" s="19">
        <v>1.4778183741731532</v>
      </c>
      <c r="AX81" s="19">
        <v>108.06989805398017</v>
      </c>
      <c r="AY81" s="19">
        <v>108.88879624908229</v>
      </c>
      <c r="AZ81" s="19">
        <v>8.6734287144254179</v>
      </c>
      <c r="BA81" s="19">
        <v>11.03921568627451</v>
      </c>
      <c r="BB81" s="19">
        <v>16.234140715109572</v>
      </c>
      <c r="BC81" s="18">
        <v>0.54185779816513757</v>
      </c>
      <c r="BD81" s="18">
        <v>0.5</v>
      </c>
      <c r="BE81" s="19">
        <v>19.002190870877559</v>
      </c>
      <c r="BF81" s="18">
        <v>0.39622641509433965</v>
      </c>
      <c r="BG81" s="18">
        <v>0.22012578616352202</v>
      </c>
      <c r="BH81" s="19">
        <v>2.2977941176470589</v>
      </c>
      <c r="BI81" s="19">
        <v>8.1534629981024658</v>
      </c>
      <c r="BJ81" s="19">
        <v>5.1097324094743861</v>
      </c>
      <c r="BK81" s="19">
        <v>15.196917808219176</v>
      </c>
      <c r="BL81" s="19">
        <v>2.5875337912131369</v>
      </c>
      <c r="BM81" s="19">
        <v>0.27733865823557147</v>
      </c>
      <c r="BN81" s="19">
        <v>12.096774193548386</v>
      </c>
      <c r="BO81" s="20" t="s">
        <v>257</v>
      </c>
      <c r="BP81" s="21">
        <v>160000</v>
      </c>
      <c r="BQ81" s="30" t="s">
        <v>306</v>
      </c>
      <c r="BR81" s="30">
        <v>983.5</v>
      </c>
      <c r="BS81" s="30">
        <v>1359.7</v>
      </c>
      <c r="BT81" s="30">
        <v>376.2</v>
      </c>
      <c r="BU81" s="35">
        <f t="shared" si="44"/>
        <v>19.284313725490197</v>
      </c>
      <c r="BV81" s="35">
        <f t="shared" si="45"/>
        <v>26.66078431372549</v>
      </c>
      <c r="BW81" s="35">
        <f t="shared" si="46"/>
        <v>7.3764705882352937</v>
      </c>
      <c r="BX81" s="36">
        <f t="shared" si="47"/>
        <v>28.35928489042676</v>
      </c>
      <c r="BY81" s="36">
        <f t="shared" si="48"/>
        <v>39.207035755478664</v>
      </c>
      <c r="BZ81" s="36">
        <f t="shared" si="49"/>
        <v>10.847750865051903</v>
      </c>
      <c r="CA81" s="31">
        <v>30</v>
      </c>
      <c r="CB81" s="31">
        <v>21</v>
      </c>
    </row>
    <row r="82" spans="1:80" x14ac:dyDescent="0.4">
      <c r="A82" s="11" t="s">
        <v>53</v>
      </c>
      <c r="B82" s="11" t="s">
        <v>259</v>
      </c>
      <c r="C82" s="11" t="s">
        <v>67</v>
      </c>
      <c r="D82" s="15">
        <v>6</v>
      </c>
      <c r="E82" s="15">
        <v>1</v>
      </c>
      <c r="F82" s="15">
        <v>41</v>
      </c>
      <c r="G82" s="16">
        <v>606</v>
      </c>
      <c r="H82" s="16">
        <v>8</v>
      </c>
      <c r="I82" s="17">
        <f t="shared" si="50"/>
        <v>1.3333333333333333</v>
      </c>
      <c r="J82" s="15">
        <v>3</v>
      </c>
      <c r="K82" s="15">
        <v>3</v>
      </c>
      <c r="L82" s="17">
        <f t="shared" si="51"/>
        <v>0.5</v>
      </c>
      <c r="M82" s="17">
        <f t="shared" si="52"/>
        <v>0.5</v>
      </c>
      <c r="N82" s="18">
        <f t="shared" si="53"/>
        <v>1</v>
      </c>
      <c r="O82" s="16">
        <v>2</v>
      </c>
      <c r="P82" s="15">
        <v>2</v>
      </c>
      <c r="Q82" s="17">
        <f t="shared" si="27"/>
        <v>0.33333333333333331</v>
      </c>
      <c r="R82" s="17">
        <f t="shared" si="28"/>
        <v>0.33333333333333331</v>
      </c>
      <c r="S82" s="18">
        <f t="shared" si="29"/>
        <v>1</v>
      </c>
      <c r="T82" s="15">
        <v>1</v>
      </c>
      <c r="U82" s="15">
        <v>1</v>
      </c>
      <c r="V82" s="17">
        <f t="shared" si="30"/>
        <v>0.16666666666666666</v>
      </c>
      <c r="W82" s="17">
        <f t="shared" si="31"/>
        <v>0.16666666666666666</v>
      </c>
      <c r="X82" s="18">
        <f t="shared" si="32"/>
        <v>1</v>
      </c>
      <c r="Y82" s="15">
        <v>1</v>
      </c>
      <c r="Z82" s="15">
        <v>2</v>
      </c>
      <c r="AA82" s="17">
        <f t="shared" si="33"/>
        <v>0.16666666666666666</v>
      </c>
      <c r="AB82" s="17">
        <f t="shared" si="34"/>
        <v>0.33333333333333331</v>
      </c>
      <c r="AC82" s="18">
        <f t="shared" si="35"/>
        <v>0.5</v>
      </c>
      <c r="AD82" s="15">
        <v>2</v>
      </c>
      <c r="AE82" s="17">
        <f t="shared" si="36"/>
        <v>0.33333333333333331</v>
      </c>
      <c r="AF82" s="15">
        <v>2</v>
      </c>
      <c r="AG82" s="17">
        <f t="shared" si="37"/>
        <v>0.33333333333333331</v>
      </c>
      <c r="AH82" s="15">
        <v>0</v>
      </c>
      <c r="AI82" s="17">
        <f t="shared" si="38"/>
        <v>0</v>
      </c>
      <c r="AJ82" s="15">
        <v>1</v>
      </c>
      <c r="AK82" s="17">
        <f t="shared" si="39"/>
        <v>0.16666666666666666</v>
      </c>
      <c r="AL82" s="15">
        <v>0</v>
      </c>
      <c r="AM82" s="17">
        <f t="shared" si="40"/>
        <v>0</v>
      </c>
      <c r="AN82" s="25">
        <v>1</v>
      </c>
      <c r="AO82" s="17">
        <f t="shared" si="41"/>
        <v>0.16666666666666666</v>
      </c>
      <c r="AP82" s="4">
        <v>2</v>
      </c>
      <c r="AQ82" s="17">
        <f t="shared" si="42"/>
        <v>0.33333333333333331</v>
      </c>
      <c r="AR82" s="15">
        <v>3</v>
      </c>
      <c r="AS82" s="17">
        <f t="shared" si="43"/>
        <v>0.5</v>
      </c>
      <c r="AT82" s="19">
        <v>3.6774698029154444E-2</v>
      </c>
      <c r="AU82" s="19">
        <v>0.14564236843229483</v>
      </c>
      <c r="AV82" s="19">
        <v>2.8750010670153842E-2</v>
      </c>
      <c r="AW82" s="19">
        <v>8.0246873590006044E-3</v>
      </c>
      <c r="AX82" s="19">
        <v>122.3047308094727</v>
      </c>
      <c r="AY82" s="19">
        <v>111.61225655734843</v>
      </c>
      <c r="AZ82" s="19">
        <v>2.2821570222502192</v>
      </c>
      <c r="BA82" s="19">
        <v>1.5</v>
      </c>
      <c r="BB82" s="19">
        <v>35.643564356435647</v>
      </c>
      <c r="BC82" s="18">
        <v>1.0309278350515465</v>
      </c>
      <c r="BD82" s="18">
        <v>1.1666666666666667</v>
      </c>
      <c r="BE82" s="19">
        <v>3.0333104430739715</v>
      </c>
      <c r="BF82" s="18">
        <v>0.33333333333333331</v>
      </c>
      <c r="BG82" s="18">
        <v>0.66666666666666663</v>
      </c>
      <c r="BH82" s="19">
        <v>2.3954008304056211</v>
      </c>
      <c r="BI82" s="19">
        <v>0</v>
      </c>
      <c r="BJ82" s="19">
        <v>1.1711373207305944</v>
      </c>
      <c r="BK82" s="19">
        <v>1.4771048744460855</v>
      </c>
      <c r="BL82" s="19">
        <v>0</v>
      </c>
      <c r="BM82" s="19">
        <v>1.1203383421793383</v>
      </c>
      <c r="BN82" s="19">
        <v>34.013605442176875</v>
      </c>
      <c r="BO82" s="20" t="s">
        <v>257</v>
      </c>
      <c r="BP82" s="21">
        <v>200000</v>
      </c>
      <c r="BQ82" s="30" t="s">
        <v>306</v>
      </c>
      <c r="BR82" s="30">
        <v>12.22</v>
      </c>
      <c r="BS82" s="30">
        <v>16.02</v>
      </c>
      <c r="BT82" s="30">
        <v>3.8</v>
      </c>
      <c r="BU82" s="35">
        <f t="shared" si="44"/>
        <v>2.0366666666666666</v>
      </c>
      <c r="BV82" s="35">
        <f t="shared" si="45"/>
        <v>2.67</v>
      </c>
      <c r="BW82" s="35">
        <f t="shared" si="46"/>
        <v>0.6333333333333333</v>
      </c>
      <c r="BX82" s="36">
        <f t="shared" si="47"/>
        <v>48.396039603960396</v>
      </c>
      <c r="BY82" s="36">
        <f t="shared" si="48"/>
        <v>63.445544554455445</v>
      </c>
      <c r="BZ82" s="36">
        <f t="shared" si="49"/>
        <v>15.049504950495049</v>
      </c>
      <c r="CA82" s="31">
        <v>4</v>
      </c>
      <c r="CB82" s="31">
        <v>2</v>
      </c>
    </row>
    <row r="83" spans="1:80" x14ac:dyDescent="0.4">
      <c r="A83" s="11" t="s">
        <v>53</v>
      </c>
      <c r="B83" s="11" t="s">
        <v>259</v>
      </c>
      <c r="C83" s="11" t="s">
        <v>54</v>
      </c>
      <c r="D83" s="10">
        <v>52</v>
      </c>
      <c r="E83" s="10">
        <v>33</v>
      </c>
      <c r="F83" s="10">
        <v>38</v>
      </c>
      <c r="G83" s="16">
        <v>104936</v>
      </c>
      <c r="H83" s="16">
        <v>1236</v>
      </c>
      <c r="I83" s="17">
        <f t="shared" si="50"/>
        <v>23.76923076923077</v>
      </c>
      <c r="J83" s="15">
        <v>535</v>
      </c>
      <c r="K83" s="15">
        <v>1103</v>
      </c>
      <c r="L83" s="17">
        <f t="shared" si="51"/>
        <v>10.288461538461538</v>
      </c>
      <c r="M83" s="17">
        <f t="shared" si="52"/>
        <v>21.21153846153846</v>
      </c>
      <c r="N83" s="18">
        <f t="shared" si="53"/>
        <v>0.48504079782411602</v>
      </c>
      <c r="O83" s="16">
        <v>485</v>
      </c>
      <c r="P83" s="15">
        <v>937</v>
      </c>
      <c r="Q83" s="17">
        <f t="shared" si="27"/>
        <v>9.3269230769230766</v>
      </c>
      <c r="R83" s="17">
        <f t="shared" si="28"/>
        <v>18.01923076923077</v>
      </c>
      <c r="S83" s="18">
        <f t="shared" si="29"/>
        <v>0.5176093916755603</v>
      </c>
      <c r="T83" s="15">
        <v>50</v>
      </c>
      <c r="U83" s="15">
        <v>166</v>
      </c>
      <c r="V83" s="17">
        <f t="shared" si="30"/>
        <v>0.96153846153846156</v>
      </c>
      <c r="W83" s="17">
        <f t="shared" si="31"/>
        <v>3.1923076923076925</v>
      </c>
      <c r="X83" s="18">
        <f t="shared" si="32"/>
        <v>0.30120481927710846</v>
      </c>
      <c r="Y83" s="9">
        <v>116</v>
      </c>
      <c r="Z83" s="9">
        <v>201</v>
      </c>
      <c r="AA83" s="17">
        <f t="shared" si="33"/>
        <v>2.2307692307692308</v>
      </c>
      <c r="AB83" s="17">
        <f t="shared" si="34"/>
        <v>3.8653846153846154</v>
      </c>
      <c r="AC83" s="18">
        <f t="shared" si="35"/>
        <v>0.57711442786069655</v>
      </c>
      <c r="AD83" s="15">
        <v>597</v>
      </c>
      <c r="AE83" s="17">
        <f t="shared" si="36"/>
        <v>11.48076923076923</v>
      </c>
      <c r="AF83" s="15">
        <v>178</v>
      </c>
      <c r="AG83" s="17">
        <f t="shared" si="37"/>
        <v>3.4230769230769229</v>
      </c>
      <c r="AH83" s="15">
        <v>419</v>
      </c>
      <c r="AI83" s="17">
        <f t="shared" si="38"/>
        <v>8.0576923076923084</v>
      </c>
      <c r="AJ83" s="15">
        <v>234</v>
      </c>
      <c r="AK83" s="17">
        <f t="shared" si="39"/>
        <v>4.5</v>
      </c>
      <c r="AL83" s="15">
        <v>53</v>
      </c>
      <c r="AM83" s="17">
        <f t="shared" si="40"/>
        <v>1.0192307692307692</v>
      </c>
      <c r="AN83" s="2">
        <v>55</v>
      </c>
      <c r="AO83" s="17">
        <f t="shared" si="41"/>
        <v>1.0576923076923077</v>
      </c>
      <c r="AP83" s="6">
        <v>82</v>
      </c>
      <c r="AQ83" s="17">
        <f t="shared" si="42"/>
        <v>1.5769230769230769</v>
      </c>
      <c r="AR83" s="15">
        <v>67</v>
      </c>
      <c r="AS83" s="17">
        <f t="shared" si="43"/>
        <v>1.2884615384615385</v>
      </c>
      <c r="AT83" s="19">
        <v>5.8894373371565507</v>
      </c>
      <c r="AU83" s="19">
        <v>0.13469781208713619</v>
      </c>
      <c r="AV83" s="19">
        <v>3.0069907241303655</v>
      </c>
      <c r="AW83" s="19">
        <v>2.8824466130261857</v>
      </c>
      <c r="AX83" s="19">
        <v>111.96860672503868</v>
      </c>
      <c r="AY83" s="19">
        <v>103.02762656810586</v>
      </c>
      <c r="AZ83" s="19">
        <v>20.634438584127178</v>
      </c>
      <c r="BA83" s="19">
        <v>27.692307692307693</v>
      </c>
      <c r="BB83" s="19">
        <v>32.934359990851561</v>
      </c>
      <c r="BC83" s="18">
        <v>0.51870006043107497</v>
      </c>
      <c r="BD83" s="18">
        <v>0.50770625566636451</v>
      </c>
      <c r="BE83" s="19">
        <v>32.878972235715295</v>
      </c>
      <c r="BF83" s="18">
        <v>0.15049864007252947</v>
      </c>
      <c r="BG83" s="18">
        <v>0.18223028105167724</v>
      </c>
      <c r="BH83" s="19">
        <v>10.670098148917804</v>
      </c>
      <c r="BI83" s="19">
        <v>25.116691710093029</v>
      </c>
      <c r="BJ83" s="19">
        <v>17.49654782658391</v>
      </c>
      <c r="BK83" s="19">
        <v>26.663628076572472</v>
      </c>
      <c r="BL83" s="19">
        <v>1.6734562697619866</v>
      </c>
      <c r="BM83" s="19">
        <v>3.0839838903896055</v>
      </c>
      <c r="BN83" s="19">
        <v>6.4392511622063067</v>
      </c>
      <c r="BO83" s="20" t="s">
        <v>239</v>
      </c>
      <c r="BP83" s="21">
        <v>45000</v>
      </c>
      <c r="BQ83" s="31" t="s">
        <v>307</v>
      </c>
      <c r="BR83" s="31">
        <v>2073.7199999999998</v>
      </c>
      <c r="BS83" s="31">
        <v>2821.12</v>
      </c>
      <c r="BT83" s="31">
        <v>747.4</v>
      </c>
      <c r="BU83" s="35">
        <f t="shared" si="44"/>
        <v>39.879230769230766</v>
      </c>
      <c r="BV83" s="35">
        <f t="shared" si="45"/>
        <v>54.252307692307689</v>
      </c>
      <c r="BW83" s="35">
        <f t="shared" si="46"/>
        <v>14.373076923076923</v>
      </c>
      <c r="BX83" s="36">
        <f t="shared" si="47"/>
        <v>47.428222916825497</v>
      </c>
      <c r="BY83" s="36">
        <f t="shared" si="48"/>
        <v>64.52207059541054</v>
      </c>
      <c r="BZ83" s="36">
        <f t="shared" si="49"/>
        <v>17.093847678585043</v>
      </c>
      <c r="CA83" s="31">
        <v>31</v>
      </c>
      <c r="CB83" s="31">
        <v>21</v>
      </c>
    </row>
    <row r="84" spans="1:80" x14ac:dyDescent="0.4">
      <c r="A84" s="11" t="s">
        <v>53</v>
      </c>
      <c r="B84" s="11" t="s">
        <v>259</v>
      </c>
      <c r="C84" s="11" t="s">
        <v>68</v>
      </c>
      <c r="D84" s="15">
        <v>4</v>
      </c>
      <c r="E84" s="15">
        <v>6</v>
      </c>
      <c r="F84" s="15">
        <v>18</v>
      </c>
      <c r="G84" s="16">
        <v>1512</v>
      </c>
      <c r="H84" s="16">
        <v>9</v>
      </c>
      <c r="I84" s="17">
        <f t="shared" si="50"/>
        <v>2.25</v>
      </c>
      <c r="J84" s="15">
        <v>4</v>
      </c>
      <c r="K84" s="15">
        <v>7</v>
      </c>
      <c r="L84" s="17">
        <f t="shared" si="51"/>
        <v>1</v>
      </c>
      <c r="M84" s="17">
        <f t="shared" si="52"/>
        <v>1.75</v>
      </c>
      <c r="N84" s="18">
        <f t="shared" si="53"/>
        <v>0.5714285714285714</v>
      </c>
      <c r="O84" s="16">
        <v>3</v>
      </c>
      <c r="P84" s="15">
        <v>4</v>
      </c>
      <c r="Q84" s="17">
        <f t="shared" si="27"/>
        <v>0.75</v>
      </c>
      <c r="R84" s="17">
        <f t="shared" si="28"/>
        <v>1</v>
      </c>
      <c r="S84" s="18">
        <f t="shared" si="29"/>
        <v>0.75</v>
      </c>
      <c r="T84" s="15">
        <v>1</v>
      </c>
      <c r="U84" s="15">
        <v>3</v>
      </c>
      <c r="V84" s="17">
        <f t="shared" si="30"/>
        <v>0.25</v>
      </c>
      <c r="W84" s="17">
        <f t="shared" si="31"/>
        <v>0.75</v>
      </c>
      <c r="X84" s="18">
        <f t="shared" si="32"/>
        <v>0.33333333333333331</v>
      </c>
      <c r="Y84" s="15">
        <v>0</v>
      </c>
      <c r="Z84" s="15">
        <v>0</v>
      </c>
      <c r="AA84" s="17">
        <f t="shared" si="33"/>
        <v>0</v>
      </c>
      <c r="AB84" s="17">
        <f t="shared" si="34"/>
        <v>0</v>
      </c>
      <c r="AC84" s="18" t="e">
        <f t="shared" si="35"/>
        <v>#DIV/0!</v>
      </c>
      <c r="AD84" s="15">
        <v>3</v>
      </c>
      <c r="AE84" s="17">
        <f t="shared" si="36"/>
        <v>0.75</v>
      </c>
      <c r="AF84" s="15">
        <v>2</v>
      </c>
      <c r="AG84" s="17">
        <f t="shared" si="37"/>
        <v>0.5</v>
      </c>
      <c r="AH84" s="15">
        <v>1</v>
      </c>
      <c r="AI84" s="17">
        <f t="shared" si="38"/>
        <v>0.25</v>
      </c>
      <c r="AJ84" s="15">
        <v>2</v>
      </c>
      <c r="AK84" s="17">
        <f t="shared" si="39"/>
        <v>0.5</v>
      </c>
      <c r="AL84" s="15">
        <v>0</v>
      </c>
      <c r="AM84" s="17">
        <f t="shared" si="40"/>
        <v>0</v>
      </c>
      <c r="AN84" s="15">
        <v>0</v>
      </c>
      <c r="AO84" s="17">
        <f t="shared" si="41"/>
        <v>0</v>
      </c>
      <c r="AP84" s="3">
        <v>4</v>
      </c>
      <c r="AQ84" s="17">
        <f t="shared" si="42"/>
        <v>1</v>
      </c>
      <c r="AR84" s="15">
        <v>4</v>
      </c>
      <c r="AS84" s="17">
        <f t="shared" si="43"/>
        <v>1</v>
      </c>
      <c r="AT84" s="19">
        <v>-3.2105883275898105E-2</v>
      </c>
      <c r="AU84" s="19">
        <v>-5.0961719485552552E-2</v>
      </c>
      <c r="AV84" s="19">
        <v>-4.0363523483018714E-2</v>
      </c>
      <c r="AW84" s="19">
        <v>8.2576402071206107E-3</v>
      </c>
      <c r="AX84" s="19">
        <v>87.341651348696587</v>
      </c>
      <c r="AY84" s="19">
        <v>116.30728248437676</v>
      </c>
      <c r="AZ84" s="19">
        <v>0.19754225936807032</v>
      </c>
      <c r="BA84" s="19">
        <v>1.75</v>
      </c>
      <c r="BB84" s="19">
        <v>11.111111111111111</v>
      </c>
      <c r="BC84" s="18">
        <v>0.6428571428571429</v>
      </c>
      <c r="BD84" s="18">
        <v>0.6428571428571429</v>
      </c>
      <c r="BE84" s="19">
        <v>1.5162185069355283</v>
      </c>
      <c r="BF84" s="18">
        <v>0.42857142857142855</v>
      </c>
      <c r="BG84" s="18">
        <v>0</v>
      </c>
      <c r="BH84" s="19">
        <v>0.64004096262160781</v>
      </c>
      <c r="BI84" s="19">
        <v>0.32002048131080391</v>
      </c>
      <c r="BJ84" s="19">
        <v>0.46938440235630968</v>
      </c>
      <c r="BK84" s="19">
        <v>0.76745970836531074</v>
      </c>
      <c r="BL84" s="19">
        <v>0</v>
      </c>
      <c r="BM84" s="19">
        <v>0</v>
      </c>
      <c r="BN84" s="19">
        <v>36.363636363636367</v>
      </c>
      <c r="BO84" s="20" t="s">
        <v>257</v>
      </c>
      <c r="BP84" s="21"/>
      <c r="BQ84" s="31" t="s">
        <v>306</v>
      </c>
      <c r="BR84" s="31">
        <v>14.99</v>
      </c>
      <c r="BS84" s="31">
        <v>23.79</v>
      </c>
      <c r="BT84" s="31">
        <v>8.8000000000000007</v>
      </c>
      <c r="BU84" s="35">
        <f t="shared" si="44"/>
        <v>3.7474999999999996</v>
      </c>
      <c r="BV84" s="35">
        <f t="shared" si="45"/>
        <v>5.9474999999999998</v>
      </c>
      <c r="BW84" s="35">
        <f t="shared" si="46"/>
        <v>2.2000000000000002</v>
      </c>
      <c r="BX84" s="36">
        <f t="shared" si="47"/>
        <v>23.793650793650791</v>
      </c>
      <c r="BY84" s="36">
        <f t="shared" si="48"/>
        <v>37.761904761904759</v>
      </c>
      <c r="BZ84" s="36">
        <f t="shared" si="49"/>
        <v>13.968253968253968</v>
      </c>
      <c r="CA84" s="31">
        <v>1</v>
      </c>
      <c r="CB84" s="31">
        <v>3</v>
      </c>
    </row>
    <row r="85" spans="1:80" x14ac:dyDescent="0.4">
      <c r="A85" s="11" t="s">
        <v>53</v>
      </c>
      <c r="B85" s="11" t="s">
        <v>259</v>
      </c>
      <c r="C85" s="11" t="s">
        <v>56</v>
      </c>
      <c r="D85" s="15">
        <v>47</v>
      </c>
      <c r="E85" s="15">
        <v>19</v>
      </c>
      <c r="F85" s="15">
        <v>4</v>
      </c>
      <c r="G85" s="16">
        <v>53768</v>
      </c>
      <c r="H85" s="16">
        <v>270</v>
      </c>
      <c r="I85" s="17">
        <f t="shared" si="50"/>
        <v>5.7446808510638299</v>
      </c>
      <c r="J85" s="15">
        <v>101</v>
      </c>
      <c r="K85" s="15">
        <v>230</v>
      </c>
      <c r="L85" s="17">
        <f t="shared" si="51"/>
        <v>2.1489361702127661</v>
      </c>
      <c r="M85" s="17">
        <f t="shared" si="52"/>
        <v>4.8936170212765955</v>
      </c>
      <c r="N85" s="18">
        <f t="shared" si="53"/>
        <v>0.43913043478260871</v>
      </c>
      <c r="O85" s="16">
        <v>101</v>
      </c>
      <c r="P85" s="15">
        <v>224</v>
      </c>
      <c r="Q85" s="17">
        <f t="shared" si="27"/>
        <v>2.1489361702127661</v>
      </c>
      <c r="R85" s="17">
        <f t="shared" si="28"/>
        <v>4.7659574468085104</v>
      </c>
      <c r="S85" s="18">
        <f t="shared" si="29"/>
        <v>0.45089285714285715</v>
      </c>
      <c r="T85" s="15">
        <v>0</v>
      </c>
      <c r="U85" s="15">
        <v>6</v>
      </c>
      <c r="V85" s="17">
        <f t="shared" si="30"/>
        <v>0</v>
      </c>
      <c r="W85" s="17">
        <f t="shared" si="31"/>
        <v>0.1276595744680851</v>
      </c>
      <c r="X85" s="18">
        <f t="shared" si="32"/>
        <v>0</v>
      </c>
      <c r="Y85" s="15">
        <v>68</v>
      </c>
      <c r="Z85" s="15">
        <v>75</v>
      </c>
      <c r="AA85" s="17">
        <f t="shared" si="33"/>
        <v>1.446808510638298</v>
      </c>
      <c r="AB85" s="17">
        <f t="shared" si="34"/>
        <v>1.5957446808510638</v>
      </c>
      <c r="AC85" s="18">
        <f t="shared" si="35"/>
        <v>0.90666666666666662</v>
      </c>
      <c r="AD85" s="15">
        <v>201</v>
      </c>
      <c r="AE85" s="17">
        <f t="shared" si="36"/>
        <v>4.2765957446808507</v>
      </c>
      <c r="AF85" s="15">
        <v>67</v>
      </c>
      <c r="AG85" s="17">
        <f t="shared" si="37"/>
        <v>1.425531914893617</v>
      </c>
      <c r="AH85" s="15">
        <v>134</v>
      </c>
      <c r="AI85" s="17">
        <f t="shared" si="38"/>
        <v>2.8510638297872339</v>
      </c>
      <c r="AJ85" s="15">
        <v>31</v>
      </c>
      <c r="AK85" s="17">
        <f t="shared" si="39"/>
        <v>0.65957446808510634</v>
      </c>
      <c r="AL85" s="15">
        <v>22</v>
      </c>
      <c r="AM85" s="17">
        <f t="shared" si="40"/>
        <v>0.46808510638297873</v>
      </c>
      <c r="AN85" s="15">
        <v>8</v>
      </c>
      <c r="AO85" s="17">
        <f t="shared" si="41"/>
        <v>0.1702127659574468</v>
      </c>
      <c r="AP85" s="4">
        <v>31</v>
      </c>
      <c r="AQ85" s="17">
        <f t="shared" si="42"/>
        <v>0.65957446808510634</v>
      </c>
      <c r="AR85" s="15">
        <v>119</v>
      </c>
      <c r="AS85" s="17">
        <f t="shared" si="43"/>
        <v>2.5319148936170213</v>
      </c>
      <c r="AT85" s="19">
        <v>1.4381628469736354</v>
      </c>
      <c r="AU85" s="19">
        <v>6.4194145825337098E-2</v>
      </c>
      <c r="AV85" s="19">
        <v>0.44063174441379077</v>
      </c>
      <c r="AW85" s="19">
        <v>0.99753110255984467</v>
      </c>
      <c r="AX85" s="19">
        <v>108.15463274704533</v>
      </c>
      <c r="AY85" s="19">
        <v>108.40781137835485</v>
      </c>
      <c r="AZ85" s="19">
        <v>6.0090178734614117</v>
      </c>
      <c r="BA85" s="19">
        <v>7.7659574468085104</v>
      </c>
      <c r="BB85" s="19">
        <v>16.292218419877994</v>
      </c>
      <c r="BC85" s="18">
        <v>0.51330798479087447</v>
      </c>
      <c r="BD85" s="18">
        <v>0.43913043478260871</v>
      </c>
      <c r="BE85" s="19">
        <v>13.390050469863249</v>
      </c>
      <c r="BF85" s="18">
        <v>2.6086956521739129E-2</v>
      </c>
      <c r="BG85" s="18">
        <v>0.32608695652173914</v>
      </c>
      <c r="BH85" s="19">
        <v>7.0846492217459964</v>
      </c>
      <c r="BI85" s="19">
        <v>14.169298443491993</v>
      </c>
      <c r="BJ85" s="19">
        <v>10.391284417898513</v>
      </c>
      <c r="BK85" s="19">
        <v>4.4298370963132321</v>
      </c>
      <c r="BL85" s="19">
        <v>1.3556944007947365</v>
      </c>
      <c r="BM85" s="19">
        <v>0.79128792000079129</v>
      </c>
      <c r="BN85" s="19">
        <v>10.544217687074831</v>
      </c>
      <c r="BO85" s="20" t="s">
        <v>257</v>
      </c>
      <c r="BP85" s="21">
        <v>270000</v>
      </c>
      <c r="BQ85" s="30" t="s">
        <v>305</v>
      </c>
      <c r="BR85" s="30">
        <v>636.53</v>
      </c>
      <c r="BS85" s="30">
        <v>817.03</v>
      </c>
      <c r="BT85" s="30">
        <v>180.5</v>
      </c>
      <c r="BU85" s="35">
        <f t="shared" si="44"/>
        <v>13.543191489361702</v>
      </c>
      <c r="BV85" s="35">
        <f t="shared" si="45"/>
        <v>17.383617021276596</v>
      </c>
      <c r="BW85" s="35">
        <f t="shared" si="46"/>
        <v>3.8404255319148937</v>
      </c>
      <c r="BX85" s="36">
        <f t="shared" si="47"/>
        <v>28.412289837821753</v>
      </c>
      <c r="BY85" s="36">
        <f t="shared" si="48"/>
        <v>36.469126618062788</v>
      </c>
      <c r="BZ85" s="36">
        <f t="shared" si="49"/>
        <v>8.056836780241035</v>
      </c>
      <c r="CA85" s="30">
        <v>28</v>
      </c>
      <c r="CB85" s="30">
        <v>19</v>
      </c>
    </row>
    <row r="86" spans="1:80" x14ac:dyDescent="0.4">
      <c r="A86" s="11" t="s">
        <v>53</v>
      </c>
      <c r="B86" s="11" t="s">
        <v>259</v>
      </c>
      <c r="C86" s="11" t="s">
        <v>57</v>
      </c>
      <c r="D86" s="15">
        <v>48</v>
      </c>
      <c r="E86" s="15">
        <v>22</v>
      </c>
      <c r="F86" s="15">
        <v>55</v>
      </c>
      <c r="G86" s="16">
        <v>66000</v>
      </c>
      <c r="H86" s="16">
        <v>174</v>
      </c>
      <c r="I86" s="17">
        <f t="shared" si="50"/>
        <v>3.625</v>
      </c>
      <c r="J86" s="15">
        <v>62</v>
      </c>
      <c r="K86" s="15">
        <v>161</v>
      </c>
      <c r="L86" s="17">
        <f t="shared" si="51"/>
        <v>1.2916666666666667</v>
      </c>
      <c r="M86" s="17">
        <f t="shared" si="52"/>
        <v>3.3541666666666665</v>
      </c>
      <c r="N86" s="18">
        <f t="shared" si="53"/>
        <v>0.38509316770186336</v>
      </c>
      <c r="O86" s="16">
        <v>28</v>
      </c>
      <c r="P86" s="15">
        <v>63</v>
      </c>
      <c r="Q86" s="17">
        <f t="shared" si="27"/>
        <v>0.58333333333333337</v>
      </c>
      <c r="R86" s="17">
        <f t="shared" si="28"/>
        <v>1.3125</v>
      </c>
      <c r="S86" s="18">
        <f t="shared" si="29"/>
        <v>0.44444444444444442</v>
      </c>
      <c r="T86" s="15">
        <v>34</v>
      </c>
      <c r="U86" s="15">
        <v>98</v>
      </c>
      <c r="V86" s="17">
        <f t="shared" si="30"/>
        <v>0.70833333333333337</v>
      </c>
      <c r="W86" s="17">
        <f t="shared" si="31"/>
        <v>2.0416666666666665</v>
      </c>
      <c r="X86" s="18">
        <f t="shared" si="32"/>
        <v>0.34693877551020408</v>
      </c>
      <c r="Y86" s="15">
        <v>16</v>
      </c>
      <c r="Z86" s="15">
        <v>21</v>
      </c>
      <c r="AA86" s="17">
        <f t="shared" si="33"/>
        <v>0.33333333333333331</v>
      </c>
      <c r="AB86" s="17">
        <f t="shared" si="34"/>
        <v>0.4375</v>
      </c>
      <c r="AC86" s="18">
        <f t="shared" si="35"/>
        <v>0.76190476190476186</v>
      </c>
      <c r="AD86" s="15">
        <v>137</v>
      </c>
      <c r="AE86" s="17">
        <f t="shared" si="36"/>
        <v>2.8541666666666665</v>
      </c>
      <c r="AF86" s="15">
        <v>55</v>
      </c>
      <c r="AG86" s="17">
        <f t="shared" si="37"/>
        <v>1.1458333333333333</v>
      </c>
      <c r="AH86" s="15">
        <v>82</v>
      </c>
      <c r="AI86" s="17">
        <f t="shared" si="38"/>
        <v>1.7083333333333333</v>
      </c>
      <c r="AJ86" s="15">
        <v>147</v>
      </c>
      <c r="AK86" s="17">
        <f t="shared" si="39"/>
        <v>3.0625</v>
      </c>
      <c r="AL86" s="15">
        <v>44</v>
      </c>
      <c r="AM86" s="17">
        <f t="shared" si="40"/>
        <v>0.91666666666666663</v>
      </c>
      <c r="AN86" s="15">
        <v>2</v>
      </c>
      <c r="AO86" s="17">
        <f t="shared" si="41"/>
        <v>4.1666666666666664E-2</v>
      </c>
      <c r="AP86" s="4">
        <v>48</v>
      </c>
      <c r="AQ86" s="17">
        <f t="shared" si="42"/>
        <v>1</v>
      </c>
      <c r="AR86" s="15">
        <v>137</v>
      </c>
      <c r="AS86" s="17">
        <f t="shared" si="43"/>
        <v>2.8541666666666665</v>
      </c>
      <c r="AT86" s="19">
        <v>1.5598540294969698</v>
      </c>
      <c r="AU86" s="19">
        <v>5.6721964708980721E-2</v>
      </c>
      <c r="AV86" s="19">
        <v>0.50194195786142048</v>
      </c>
      <c r="AW86" s="19">
        <v>1.0579120716355492</v>
      </c>
      <c r="AX86" s="19">
        <v>110.01746385243794</v>
      </c>
      <c r="AY86" s="19">
        <v>109.93056982356045</v>
      </c>
      <c r="AZ86" s="19">
        <v>4.9285035370063612</v>
      </c>
      <c r="BA86" s="19">
        <v>7.333333333333333</v>
      </c>
      <c r="BB86" s="19">
        <v>12.8</v>
      </c>
      <c r="BC86" s="18">
        <v>0.51104323308270672</v>
      </c>
      <c r="BD86" s="18">
        <v>0.49068322981366458</v>
      </c>
      <c r="BE86" s="19">
        <v>8.2697534670059127</v>
      </c>
      <c r="BF86" s="18">
        <v>0.60869565217391308</v>
      </c>
      <c r="BG86" s="18">
        <v>0.13043478260869565</v>
      </c>
      <c r="BH86" s="19">
        <v>4.838709677419355</v>
      </c>
      <c r="BI86" s="19">
        <v>7.2140762463343115</v>
      </c>
      <c r="BJ86" s="19">
        <v>5.8927371297997224</v>
      </c>
      <c r="BK86" s="19">
        <v>16.324264297612441</v>
      </c>
      <c r="BL86" s="19">
        <v>2.2088780770282241</v>
      </c>
      <c r="BM86" s="19">
        <v>0.16458788736016458</v>
      </c>
      <c r="BN86" s="19">
        <v>21.994134897360702</v>
      </c>
      <c r="BO86" s="20" t="s">
        <v>257</v>
      </c>
      <c r="BP86" s="21">
        <v>200000</v>
      </c>
      <c r="BQ86" s="30" t="s">
        <v>306</v>
      </c>
      <c r="BR86" s="30">
        <v>718.87</v>
      </c>
      <c r="BS86" s="30">
        <v>887.47</v>
      </c>
      <c r="BT86" s="30">
        <v>168.6</v>
      </c>
      <c r="BU86" s="35">
        <f t="shared" si="44"/>
        <v>14.976458333333333</v>
      </c>
      <c r="BV86" s="35">
        <f t="shared" si="45"/>
        <v>18.488958333333333</v>
      </c>
      <c r="BW86" s="35">
        <f t="shared" si="46"/>
        <v>3.5124999999999997</v>
      </c>
      <c r="BX86" s="36">
        <f t="shared" si="47"/>
        <v>26.140727272727268</v>
      </c>
      <c r="BY86" s="36">
        <f t="shared" si="48"/>
        <v>32.271636363636361</v>
      </c>
      <c r="BZ86" s="36">
        <f t="shared" si="49"/>
        <v>6.1309090909090909</v>
      </c>
      <c r="CA86" s="30">
        <v>28</v>
      </c>
      <c r="CB86" s="30">
        <v>20</v>
      </c>
    </row>
    <row r="87" spans="1:80" x14ac:dyDescent="0.4">
      <c r="A87" s="11" t="s">
        <v>53</v>
      </c>
      <c r="B87" s="11" t="s">
        <v>259</v>
      </c>
      <c r="C87" s="11" t="s">
        <v>58</v>
      </c>
      <c r="D87" s="10">
        <v>35</v>
      </c>
      <c r="E87" s="10">
        <v>22</v>
      </c>
      <c r="F87" s="10">
        <v>24</v>
      </c>
      <c r="G87" s="16">
        <v>47040</v>
      </c>
      <c r="H87" s="16">
        <v>291</v>
      </c>
      <c r="I87" s="17">
        <f t="shared" si="50"/>
        <v>8.3142857142857149</v>
      </c>
      <c r="J87" s="15">
        <v>106</v>
      </c>
      <c r="K87" s="15">
        <v>221</v>
      </c>
      <c r="L87" s="17">
        <f t="shared" si="51"/>
        <v>3.0285714285714285</v>
      </c>
      <c r="M87" s="17">
        <f t="shared" si="52"/>
        <v>6.3142857142857141</v>
      </c>
      <c r="N87" s="18">
        <f t="shared" si="53"/>
        <v>0.47963800904977377</v>
      </c>
      <c r="O87" s="16">
        <v>64</v>
      </c>
      <c r="P87" s="15">
        <v>117</v>
      </c>
      <c r="Q87" s="17">
        <f t="shared" si="27"/>
        <v>1.8285714285714285</v>
      </c>
      <c r="R87" s="17">
        <f t="shared" si="28"/>
        <v>3.342857142857143</v>
      </c>
      <c r="S87" s="18">
        <f t="shared" si="29"/>
        <v>0.54700854700854706</v>
      </c>
      <c r="T87" s="15">
        <v>42</v>
      </c>
      <c r="U87" s="15">
        <v>104</v>
      </c>
      <c r="V87" s="17">
        <f t="shared" si="30"/>
        <v>1.2</v>
      </c>
      <c r="W87" s="17">
        <f t="shared" si="31"/>
        <v>2.9714285714285715</v>
      </c>
      <c r="X87" s="18">
        <f t="shared" si="32"/>
        <v>0.40384615384615385</v>
      </c>
      <c r="Y87" s="9">
        <v>37</v>
      </c>
      <c r="Z87" s="9">
        <v>44</v>
      </c>
      <c r="AA87" s="17">
        <f t="shared" si="33"/>
        <v>1.0571428571428572</v>
      </c>
      <c r="AB87" s="17">
        <f t="shared" si="34"/>
        <v>1.2571428571428571</v>
      </c>
      <c r="AC87" s="18">
        <f t="shared" si="35"/>
        <v>0.84090909090909094</v>
      </c>
      <c r="AD87" s="15">
        <v>107</v>
      </c>
      <c r="AE87" s="17">
        <f t="shared" si="36"/>
        <v>3.0571428571428569</v>
      </c>
      <c r="AF87" s="15">
        <v>38</v>
      </c>
      <c r="AG87" s="17">
        <f t="shared" si="37"/>
        <v>1.0857142857142856</v>
      </c>
      <c r="AH87" s="15">
        <v>69</v>
      </c>
      <c r="AI87" s="17">
        <f t="shared" si="38"/>
        <v>1.9714285714285715</v>
      </c>
      <c r="AJ87" s="15">
        <v>27</v>
      </c>
      <c r="AK87" s="17">
        <f t="shared" si="39"/>
        <v>0.77142857142857146</v>
      </c>
      <c r="AL87" s="15">
        <v>22</v>
      </c>
      <c r="AM87" s="17">
        <f t="shared" si="40"/>
        <v>0.62857142857142856</v>
      </c>
      <c r="AN87" s="7">
        <v>4</v>
      </c>
      <c r="AO87" s="17">
        <f t="shared" si="41"/>
        <v>0.11428571428571428</v>
      </c>
      <c r="AP87" s="28">
        <v>21</v>
      </c>
      <c r="AQ87" s="17">
        <f t="shared" si="42"/>
        <v>0.6</v>
      </c>
      <c r="AR87" s="15">
        <v>71</v>
      </c>
      <c r="AS87" s="17">
        <f t="shared" si="43"/>
        <v>2.0285714285714285</v>
      </c>
      <c r="AT87" s="19">
        <v>1.7911412689800228</v>
      </c>
      <c r="AU87" s="19">
        <v>9.1384758621429737E-2</v>
      </c>
      <c r="AV87" s="19">
        <v>1.103344503183618</v>
      </c>
      <c r="AW87" s="19">
        <v>0.68779676579640492</v>
      </c>
      <c r="AX87" s="19">
        <v>120.60735746326931</v>
      </c>
      <c r="AY87" s="19">
        <v>110.77985186645498</v>
      </c>
      <c r="AZ87" s="19">
        <v>6.0379712098850584</v>
      </c>
      <c r="BA87" s="19">
        <v>8.8000000000000007</v>
      </c>
      <c r="BB87" s="19">
        <v>15.714285714285714</v>
      </c>
      <c r="BC87" s="18">
        <v>0.60534198701947073</v>
      </c>
      <c r="BD87" s="18">
        <v>0.57466063348416285</v>
      </c>
      <c r="BE87" s="19">
        <v>10.132130172596668</v>
      </c>
      <c r="BF87" s="18">
        <v>0.47058823529411764</v>
      </c>
      <c r="BG87" s="18">
        <v>0.19909502262443438</v>
      </c>
      <c r="BH87" s="19">
        <v>3.4202188940092166</v>
      </c>
      <c r="BI87" s="19">
        <v>6.2103974654377874</v>
      </c>
      <c r="BJ87" s="19">
        <v>4.7085122861367319</v>
      </c>
      <c r="BK87" s="19">
        <v>3.2343076185912789</v>
      </c>
      <c r="BL87" s="19">
        <v>1.5495955897519427</v>
      </c>
      <c r="BM87" s="19">
        <v>0.33676837071462251</v>
      </c>
      <c r="BN87" s="19">
        <v>8.0348943985307617</v>
      </c>
      <c r="BO87" s="20" t="s">
        <v>257</v>
      </c>
      <c r="BP87" s="21">
        <v>40000</v>
      </c>
      <c r="BQ87" s="30" t="s">
        <v>305</v>
      </c>
      <c r="BR87" s="30">
        <v>533.65</v>
      </c>
      <c r="BS87" s="30">
        <v>679.55</v>
      </c>
      <c r="BT87" s="30">
        <v>145.9</v>
      </c>
      <c r="BU87" s="35">
        <f t="shared" si="44"/>
        <v>15.247142857142855</v>
      </c>
      <c r="BV87" s="35">
        <f t="shared" si="45"/>
        <v>19.415714285714284</v>
      </c>
      <c r="BW87" s="35">
        <f t="shared" si="46"/>
        <v>4.168571428571429</v>
      </c>
      <c r="BX87" s="36">
        <f t="shared" si="47"/>
        <v>27.227040816326529</v>
      </c>
      <c r="BY87" s="36">
        <f t="shared" si="48"/>
        <v>34.670918367346935</v>
      </c>
      <c r="BZ87" s="36">
        <f t="shared" si="49"/>
        <v>7.4438775510204085</v>
      </c>
      <c r="CA87" s="31">
        <v>18</v>
      </c>
      <c r="CB87" s="31">
        <v>17</v>
      </c>
    </row>
    <row r="88" spans="1:80" x14ac:dyDescent="0.4">
      <c r="A88" s="11" t="s">
        <v>53</v>
      </c>
      <c r="B88" s="11" t="s">
        <v>259</v>
      </c>
      <c r="C88" s="14" t="s">
        <v>176</v>
      </c>
      <c r="D88" s="10">
        <v>4</v>
      </c>
      <c r="E88" s="10">
        <v>6</v>
      </c>
      <c r="F88" s="10">
        <v>31</v>
      </c>
      <c r="G88" s="16">
        <v>1564</v>
      </c>
      <c r="H88" s="16">
        <v>3</v>
      </c>
      <c r="I88" s="17">
        <f t="shared" si="50"/>
        <v>0.75</v>
      </c>
      <c r="J88" s="15">
        <v>1</v>
      </c>
      <c r="K88" s="15">
        <v>6</v>
      </c>
      <c r="L88" s="17">
        <f t="shared" si="51"/>
        <v>0.25</v>
      </c>
      <c r="M88" s="17">
        <f t="shared" si="52"/>
        <v>1.5</v>
      </c>
      <c r="N88" s="18">
        <f t="shared" si="53"/>
        <v>0.16666666666666666</v>
      </c>
      <c r="O88" s="16">
        <v>1</v>
      </c>
      <c r="P88" s="15">
        <v>2</v>
      </c>
      <c r="Q88" s="17">
        <f t="shared" si="27"/>
        <v>0.25</v>
      </c>
      <c r="R88" s="17">
        <f t="shared" si="28"/>
        <v>0.5</v>
      </c>
      <c r="S88" s="18">
        <f t="shared" si="29"/>
        <v>0.5</v>
      </c>
      <c r="T88" s="15">
        <v>0</v>
      </c>
      <c r="U88" s="15">
        <v>4</v>
      </c>
      <c r="V88" s="17">
        <f t="shared" si="30"/>
        <v>0</v>
      </c>
      <c r="W88" s="17">
        <f t="shared" si="31"/>
        <v>1</v>
      </c>
      <c r="X88" s="18">
        <f t="shared" si="32"/>
        <v>0</v>
      </c>
      <c r="Y88" s="9">
        <v>1</v>
      </c>
      <c r="Z88" s="9">
        <v>2</v>
      </c>
      <c r="AA88" s="17">
        <f t="shared" si="33"/>
        <v>0.25</v>
      </c>
      <c r="AB88" s="17">
        <f t="shared" si="34"/>
        <v>0.5</v>
      </c>
      <c r="AC88" s="18">
        <f t="shared" si="35"/>
        <v>0.5</v>
      </c>
      <c r="AD88" s="15">
        <v>3</v>
      </c>
      <c r="AE88" s="17">
        <f t="shared" si="36"/>
        <v>0.75</v>
      </c>
      <c r="AF88" s="15">
        <v>1</v>
      </c>
      <c r="AG88" s="17">
        <f t="shared" si="37"/>
        <v>0.25</v>
      </c>
      <c r="AH88" s="15">
        <v>2</v>
      </c>
      <c r="AI88" s="17">
        <f t="shared" si="38"/>
        <v>0.5</v>
      </c>
      <c r="AJ88" s="15">
        <v>1</v>
      </c>
      <c r="AK88" s="17">
        <f t="shared" si="39"/>
        <v>0.25</v>
      </c>
      <c r="AL88" s="15">
        <v>1</v>
      </c>
      <c r="AM88" s="17">
        <f t="shared" si="40"/>
        <v>0.25</v>
      </c>
      <c r="AN88" s="7">
        <v>0</v>
      </c>
      <c r="AO88" s="17">
        <f t="shared" si="41"/>
        <v>0</v>
      </c>
      <c r="AP88" s="6">
        <v>2</v>
      </c>
      <c r="AQ88" s="17">
        <f t="shared" si="42"/>
        <v>0.5</v>
      </c>
      <c r="AR88" s="15">
        <v>4</v>
      </c>
      <c r="AS88" s="17">
        <f t="shared" si="43"/>
        <v>1</v>
      </c>
      <c r="AT88" s="19">
        <v>-8.7069045566841335E-2</v>
      </c>
      <c r="AU88" s="19">
        <v>-0.13360978859361841</v>
      </c>
      <c r="AV88" s="19">
        <v>-0.11177323623804583</v>
      </c>
      <c r="AW88" s="19">
        <v>2.4704190671204489E-2</v>
      </c>
      <c r="AX88" s="19">
        <v>48.875700542264042</v>
      </c>
      <c r="AY88" s="19">
        <v>110.07144037405511</v>
      </c>
      <c r="AZ88" s="19">
        <v>-0.36578869442105255</v>
      </c>
      <c r="BA88" s="19">
        <v>0</v>
      </c>
      <c r="BB88" s="19">
        <v>0</v>
      </c>
      <c r="BC88" s="18">
        <v>0.21802325581395349</v>
      </c>
      <c r="BD88" s="18">
        <v>0.16666666666666666</v>
      </c>
      <c r="BE88" s="19">
        <v>1.183306135577789</v>
      </c>
      <c r="BF88" s="18">
        <v>0.66666666666666663</v>
      </c>
      <c r="BG88" s="18">
        <v>0.33333333333333331</v>
      </c>
      <c r="BH88" s="19">
        <v>0.30938041415724776</v>
      </c>
      <c r="BI88" s="19">
        <v>0.61876082831449553</v>
      </c>
      <c r="BJ88" s="19">
        <v>0.45377827133167536</v>
      </c>
      <c r="BK88" s="19">
        <v>0.36670333700036672</v>
      </c>
      <c r="BL88" s="19">
        <v>2.1184892043109569</v>
      </c>
      <c r="BM88" s="19">
        <v>0</v>
      </c>
      <c r="BN88" s="19">
        <v>22.522522522522525</v>
      </c>
      <c r="BO88" s="20" t="s">
        <v>257</v>
      </c>
      <c r="BP88" s="21">
        <v>45000</v>
      </c>
      <c r="BQ88" s="30" t="s">
        <v>306</v>
      </c>
      <c r="BR88" s="30"/>
      <c r="BS88" s="30"/>
      <c r="BT88" s="30"/>
      <c r="BU88" s="35"/>
      <c r="BV88" s="35"/>
      <c r="BW88" s="35"/>
      <c r="BX88" s="36"/>
      <c r="BY88" s="36"/>
      <c r="BZ88" s="36"/>
      <c r="CA88" s="30">
        <v>1</v>
      </c>
      <c r="CB88" s="30">
        <v>3</v>
      </c>
    </row>
    <row r="89" spans="1:80" x14ac:dyDescent="0.4">
      <c r="A89" s="11" t="s">
        <v>53</v>
      </c>
      <c r="B89" s="11" t="s">
        <v>263</v>
      </c>
      <c r="C89" s="11" t="s">
        <v>180</v>
      </c>
      <c r="D89" s="15">
        <v>6</v>
      </c>
      <c r="E89" s="15">
        <v>3</v>
      </c>
      <c r="F89" s="15">
        <v>18</v>
      </c>
      <c r="G89" s="16">
        <v>1188</v>
      </c>
      <c r="H89" s="16">
        <v>3</v>
      </c>
      <c r="I89" s="17">
        <f t="shared" si="50"/>
        <v>0.5</v>
      </c>
      <c r="J89" s="15">
        <v>1</v>
      </c>
      <c r="K89" s="15">
        <v>2</v>
      </c>
      <c r="L89" s="17">
        <f t="shared" si="51"/>
        <v>0.16666666666666666</v>
      </c>
      <c r="M89" s="17">
        <f t="shared" si="52"/>
        <v>0.33333333333333331</v>
      </c>
      <c r="N89" s="18">
        <f t="shared" si="53"/>
        <v>0.5</v>
      </c>
      <c r="O89" s="16">
        <v>0</v>
      </c>
      <c r="P89" s="15">
        <v>1</v>
      </c>
      <c r="Q89" s="17">
        <f t="shared" si="27"/>
        <v>0</v>
      </c>
      <c r="R89" s="17">
        <f t="shared" si="28"/>
        <v>0.16666666666666666</v>
      </c>
      <c r="S89" s="18">
        <f t="shared" si="29"/>
        <v>0</v>
      </c>
      <c r="T89" s="15">
        <v>1</v>
      </c>
      <c r="U89" s="15">
        <v>1</v>
      </c>
      <c r="V89" s="17">
        <f t="shared" si="30"/>
        <v>0.16666666666666666</v>
      </c>
      <c r="W89" s="17">
        <f t="shared" si="31"/>
        <v>0.16666666666666666</v>
      </c>
      <c r="X89" s="18">
        <f t="shared" si="32"/>
        <v>1</v>
      </c>
      <c r="Y89" s="15">
        <v>0</v>
      </c>
      <c r="Z89" s="15">
        <v>0</v>
      </c>
      <c r="AA89" s="17">
        <f t="shared" si="33"/>
        <v>0</v>
      </c>
      <c r="AB89" s="17">
        <f t="shared" si="34"/>
        <v>0</v>
      </c>
      <c r="AC89" s="18" t="e">
        <f t="shared" si="35"/>
        <v>#DIV/0!</v>
      </c>
      <c r="AD89" s="15">
        <v>2</v>
      </c>
      <c r="AE89" s="17">
        <f t="shared" si="36"/>
        <v>0.33333333333333331</v>
      </c>
      <c r="AF89" s="15">
        <v>1</v>
      </c>
      <c r="AG89" s="17">
        <f t="shared" si="37"/>
        <v>0.16666666666666666</v>
      </c>
      <c r="AH89" s="15">
        <v>1</v>
      </c>
      <c r="AI89" s="17">
        <f t="shared" si="38"/>
        <v>0.16666666666666666</v>
      </c>
      <c r="AJ89" s="15">
        <v>2</v>
      </c>
      <c r="AK89" s="17">
        <f t="shared" si="39"/>
        <v>0.33333333333333331</v>
      </c>
      <c r="AL89" s="15">
        <v>0</v>
      </c>
      <c r="AM89" s="17">
        <f t="shared" si="40"/>
        <v>0</v>
      </c>
      <c r="AN89" s="15">
        <v>1</v>
      </c>
      <c r="AO89" s="17">
        <f t="shared" si="41"/>
        <v>0.16666666666666666</v>
      </c>
      <c r="AP89" s="4">
        <v>3</v>
      </c>
      <c r="AQ89" s="17">
        <f t="shared" si="42"/>
        <v>0.5</v>
      </c>
      <c r="AR89" s="15">
        <v>5</v>
      </c>
      <c r="AS89" s="17">
        <f t="shared" si="43"/>
        <v>0.83333333333333337</v>
      </c>
      <c r="AT89" s="19">
        <v>-4.9872361412086778E-2</v>
      </c>
      <c r="AU89" s="19">
        <v>-0.10075224527694299</v>
      </c>
      <c r="AV89" s="19">
        <v>-4.2463983026939926E-2</v>
      </c>
      <c r="AW89" s="19">
        <v>-7.408378385146853E-3</v>
      </c>
      <c r="AX89" s="19">
        <v>75.5961838404654</v>
      </c>
      <c r="AY89" s="19">
        <v>122.88301028900385</v>
      </c>
      <c r="AZ89" s="19">
        <v>-0.29352690945416077</v>
      </c>
      <c r="BA89" s="19">
        <v>0.66666666666666663</v>
      </c>
      <c r="BB89" s="19">
        <v>8.0808080808080813</v>
      </c>
      <c r="BC89" s="18">
        <v>0.75</v>
      </c>
      <c r="BD89" s="18">
        <v>0.75</v>
      </c>
      <c r="BE89" s="19">
        <v>1.3157268035390948</v>
      </c>
      <c r="BF89" s="18">
        <v>0.5</v>
      </c>
      <c r="BG89" s="18">
        <v>0</v>
      </c>
      <c r="BH89" s="19">
        <v>0.6109481915933529</v>
      </c>
      <c r="BI89" s="19">
        <v>0.6109481915933529</v>
      </c>
      <c r="BJ89" s="19">
        <v>0.59739833027166689</v>
      </c>
      <c r="BK89" s="19">
        <v>1.4534883720930234</v>
      </c>
      <c r="BL89" s="19">
        <v>0</v>
      </c>
      <c r="BM89" s="19">
        <v>0.57148572000057152</v>
      </c>
      <c r="BN89" s="19">
        <v>60</v>
      </c>
      <c r="BO89" s="20" t="s">
        <v>257</v>
      </c>
      <c r="BP89" s="21">
        <v>284795</v>
      </c>
      <c r="BQ89" s="30" t="s">
        <v>306</v>
      </c>
      <c r="BR89" s="30">
        <v>8.94</v>
      </c>
      <c r="BS89" s="30">
        <v>14.44</v>
      </c>
      <c r="BT89" s="30">
        <v>5.5</v>
      </c>
      <c r="BU89" s="35">
        <f t="shared" si="44"/>
        <v>1.4900000000000002</v>
      </c>
      <c r="BV89" s="35">
        <f t="shared" si="45"/>
        <v>2.4066666666666667</v>
      </c>
      <c r="BW89" s="35">
        <f t="shared" si="46"/>
        <v>0.91666666666666663</v>
      </c>
      <c r="BX89" s="36">
        <f t="shared" si="47"/>
        <v>18.060606060606062</v>
      </c>
      <c r="BY89" s="36">
        <f t="shared" si="48"/>
        <v>29.171717171717173</v>
      </c>
      <c r="BZ89" s="36">
        <f t="shared" si="49"/>
        <v>11.111111111111111</v>
      </c>
      <c r="CA89" s="30">
        <v>2</v>
      </c>
      <c r="CB89" s="30">
        <v>4</v>
      </c>
    </row>
    <row r="90" spans="1:80" x14ac:dyDescent="0.4">
      <c r="A90" s="11" t="s">
        <v>53</v>
      </c>
      <c r="B90" s="11" t="s">
        <v>263</v>
      </c>
      <c r="C90" s="11" t="s">
        <v>245</v>
      </c>
      <c r="D90" s="15">
        <v>3</v>
      </c>
      <c r="E90" s="15">
        <v>1</v>
      </c>
      <c r="F90" s="15">
        <v>45</v>
      </c>
      <c r="G90" s="16">
        <v>315</v>
      </c>
      <c r="H90" s="16">
        <v>0</v>
      </c>
      <c r="I90" s="17">
        <f t="shared" si="50"/>
        <v>0</v>
      </c>
      <c r="J90" s="15">
        <v>0</v>
      </c>
      <c r="K90" s="15">
        <v>2</v>
      </c>
      <c r="L90" s="17">
        <f t="shared" si="51"/>
        <v>0</v>
      </c>
      <c r="M90" s="17">
        <f t="shared" si="52"/>
        <v>0.66666666666666663</v>
      </c>
      <c r="N90" s="18">
        <f t="shared" si="53"/>
        <v>0</v>
      </c>
      <c r="O90" s="16">
        <v>0</v>
      </c>
      <c r="P90" s="15">
        <v>0</v>
      </c>
      <c r="Q90" s="17">
        <f t="shared" si="27"/>
        <v>0</v>
      </c>
      <c r="R90" s="17">
        <f t="shared" si="28"/>
        <v>0</v>
      </c>
      <c r="S90" s="18" t="e">
        <f t="shared" si="29"/>
        <v>#DIV/0!</v>
      </c>
      <c r="T90" s="15">
        <v>0</v>
      </c>
      <c r="U90" s="15">
        <v>2</v>
      </c>
      <c r="V90" s="17">
        <f t="shared" si="30"/>
        <v>0</v>
      </c>
      <c r="W90" s="17">
        <f t="shared" si="31"/>
        <v>0.66666666666666663</v>
      </c>
      <c r="X90" s="18">
        <f t="shared" si="32"/>
        <v>0</v>
      </c>
      <c r="Y90" s="15">
        <v>0</v>
      </c>
      <c r="Z90" s="15">
        <v>0</v>
      </c>
      <c r="AA90" s="17">
        <f t="shared" si="33"/>
        <v>0</v>
      </c>
      <c r="AB90" s="17">
        <f t="shared" si="34"/>
        <v>0</v>
      </c>
      <c r="AC90" s="18" t="e">
        <f t="shared" si="35"/>
        <v>#DIV/0!</v>
      </c>
      <c r="AD90" s="15">
        <v>0</v>
      </c>
      <c r="AE90" s="17">
        <f t="shared" si="36"/>
        <v>0</v>
      </c>
      <c r="AF90" s="15">
        <v>0</v>
      </c>
      <c r="AG90" s="17">
        <f t="shared" si="37"/>
        <v>0</v>
      </c>
      <c r="AH90" s="15">
        <v>0</v>
      </c>
      <c r="AI90" s="17">
        <f t="shared" si="38"/>
        <v>0</v>
      </c>
      <c r="AJ90" s="15">
        <v>0</v>
      </c>
      <c r="AK90" s="17">
        <f t="shared" si="39"/>
        <v>0</v>
      </c>
      <c r="AL90" s="15">
        <v>0</v>
      </c>
      <c r="AM90" s="17">
        <f t="shared" si="40"/>
        <v>0</v>
      </c>
      <c r="AN90" s="15">
        <v>0</v>
      </c>
      <c r="AO90" s="17">
        <f t="shared" si="41"/>
        <v>0</v>
      </c>
      <c r="AP90" s="4">
        <v>0</v>
      </c>
      <c r="AQ90" s="17">
        <f t="shared" si="42"/>
        <v>0</v>
      </c>
      <c r="AR90" s="15">
        <v>0</v>
      </c>
      <c r="AS90" s="17">
        <f t="shared" si="43"/>
        <v>0</v>
      </c>
      <c r="AT90" s="19">
        <v>-5.1989387321270127E-2</v>
      </c>
      <c r="AU90" s="19">
        <v>-0.39610961768586761</v>
      </c>
      <c r="AV90" s="19">
        <v>-4.6799495763008611E-2</v>
      </c>
      <c r="AW90" s="19">
        <v>-5.1898915582615172E-3</v>
      </c>
      <c r="AX90" s="19">
        <v>0</v>
      </c>
      <c r="AY90" s="19">
        <v>128.26925038000573</v>
      </c>
      <c r="AZ90" s="19">
        <v>-0.72966797884927026</v>
      </c>
      <c r="BA90" s="19">
        <v>-0.66666666666666663</v>
      </c>
      <c r="BB90" s="19">
        <v>-15.238095238095237</v>
      </c>
      <c r="BC90" s="18">
        <v>0</v>
      </c>
      <c r="BD90" s="18">
        <v>0</v>
      </c>
      <c r="BE90" s="19">
        <v>0.99243393181234574</v>
      </c>
      <c r="BF90" s="18">
        <v>1</v>
      </c>
      <c r="BG90" s="18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20" t="s">
        <v>257</v>
      </c>
      <c r="BP90" s="21">
        <v>70000</v>
      </c>
      <c r="BQ90" s="31" t="s">
        <v>306</v>
      </c>
      <c r="BR90" s="31">
        <v>-0.49</v>
      </c>
      <c r="BS90" s="31">
        <v>1.31</v>
      </c>
      <c r="BT90" s="31">
        <v>1.8</v>
      </c>
      <c r="BU90" s="35">
        <f t="shared" si="44"/>
        <v>-0.16333333333333327</v>
      </c>
      <c r="BV90" s="35">
        <f t="shared" si="45"/>
        <v>0.4366666666666667</v>
      </c>
      <c r="BW90" s="35">
        <f t="shared" si="46"/>
        <v>0.6</v>
      </c>
      <c r="BX90" s="36">
        <f t="shared" si="47"/>
        <v>-3.7333333333333325</v>
      </c>
      <c r="BY90" s="36">
        <f t="shared" si="48"/>
        <v>9.980952380952381</v>
      </c>
      <c r="BZ90" s="36">
        <f t="shared" si="49"/>
        <v>13.714285714285714</v>
      </c>
      <c r="CA90" s="30">
        <v>2</v>
      </c>
      <c r="CB90" s="30">
        <v>1</v>
      </c>
    </row>
    <row r="91" spans="1:80" x14ac:dyDescent="0.4">
      <c r="A91" s="11" t="s">
        <v>53</v>
      </c>
      <c r="B91" s="11" t="s">
        <v>263</v>
      </c>
      <c r="C91" s="11" t="s">
        <v>179</v>
      </c>
      <c r="D91" s="15">
        <v>11</v>
      </c>
      <c r="E91" s="15">
        <v>5</v>
      </c>
      <c r="F91" s="15">
        <v>43</v>
      </c>
      <c r="G91" s="16">
        <v>3773</v>
      </c>
      <c r="H91" s="16">
        <v>7</v>
      </c>
      <c r="I91" s="17">
        <f t="shared" si="50"/>
        <v>0.63636363636363635</v>
      </c>
      <c r="J91" s="15">
        <v>2</v>
      </c>
      <c r="K91" s="15">
        <v>14</v>
      </c>
      <c r="L91" s="17">
        <f t="shared" si="51"/>
        <v>0.18181818181818182</v>
      </c>
      <c r="M91" s="17">
        <f t="shared" si="52"/>
        <v>1.2727272727272727</v>
      </c>
      <c r="N91" s="18">
        <f t="shared" si="53"/>
        <v>0.14285714285714285</v>
      </c>
      <c r="O91" s="16">
        <v>1</v>
      </c>
      <c r="P91" s="15">
        <v>9</v>
      </c>
      <c r="Q91" s="17">
        <f t="shared" si="27"/>
        <v>9.0909090909090912E-2</v>
      </c>
      <c r="R91" s="17">
        <f t="shared" si="28"/>
        <v>0.81818181818181823</v>
      </c>
      <c r="S91" s="18">
        <f t="shared" si="29"/>
        <v>0.1111111111111111</v>
      </c>
      <c r="T91" s="15">
        <v>1</v>
      </c>
      <c r="U91" s="15">
        <v>5</v>
      </c>
      <c r="V91" s="17">
        <f t="shared" si="30"/>
        <v>9.0909090909090912E-2</v>
      </c>
      <c r="W91" s="17">
        <f t="shared" si="31"/>
        <v>0.45454545454545453</v>
      </c>
      <c r="X91" s="18">
        <f t="shared" si="32"/>
        <v>0.2</v>
      </c>
      <c r="Y91" s="15">
        <v>2</v>
      </c>
      <c r="Z91" s="15">
        <v>6</v>
      </c>
      <c r="AA91" s="17">
        <f t="shared" si="33"/>
        <v>0.18181818181818182</v>
      </c>
      <c r="AB91" s="17">
        <f t="shared" si="34"/>
        <v>0.54545454545454541</v>
      </c>
      <c r="AC91" s="18">
        <f t="shared" si="35"/>
        <v>0.33333333333333331</v>
      </c>
      <c r="AD91" s="15">
        <v>4</v>
      </c>
      <c r="AE91" s="17">
        <f t="shared" si="36"/>
        <v>0.36363636363636365</v>
      </c>
      <c r="AF91" s="15">
        <v>2</v>
      </c>
      <c r="AG91" s="17">
        <f t="shared" si="37"/>
        <v>0.18181818181818182</v>
      </c>
      <c r="AH91" s="15">
        <v>2</v>
      </c>
      <c r="AI91" s="17">
        <f t="shared" si="38"/>
        <v>0.18181818181818182</v>
      </c>
      <c r="AJ91" s="15">
        <v>3</v>
      </c>
      <c r="AK91" s="17">
        <f t="shared" si="39"/>
        <v>0.27272727272727271</v>
      </c>
      <c r="AL91" s="15">
        <v>0</v>
      </c>
      <c r="AM91" s="17">
        <f t="shared" si="40"/>
        <v>0</v>
      </c>
      <c r="AN91" s="15">
        <v>0</v>
      </c>
      <c r="AO91" s="17">
        <f t="shared" si="41"/>
        <v>0</v>
      </c>
      <c r="AP91" s="4">
        <v>1</v>
      </c>
      <c r="AQ91" s="17">
        <f t="shared" si="42"/>
        <v>9.0909090909090912E-2</v>
      </c>
      <c r="AR91" s="15">
        <v>15</v>
      </c>
      <c r="AS91" s="17">
        <f t="shared" si="43"/>
        <v>1.3636363636363635</v>
      </c>
      <c r="AT91" s="19">
        <v>-0.24719416630321828</v>
      </c>
      <c r="AU91" s="19">
        <v>-0.15723986194744868</v>
      </c>
      <c r="AV91" s="19">
        <v>-0.19873267646020437</v>
      </c>
      <c r="AW91" s="19">
        <v>-4.8461489843013898E-2</v>
      </c>
      <c r="AX91" s="19">
        <v>59.586005938326004</v>
      </c>
      <c r="AY91" s="19">
        <v>126.35901918318343</v>
      </c>
      <c r="AZ91" s="19">
        <v>-1.5626309308251725</v>
      </c>
      <c r="BA91" s="19">
        <v>-0.27272727272727271</v>
      </c>
      <c r="BB91" s="19">
        <v>-1.9082957858468064</v>
      </c>
      <c r="BC91" s="18">
        <v>0.21033653846153846</v>
      </c>
      <c r="BD91" s="18">
        <v>0.17857142857142858</v>
      </c>
      <c r="BE91" s="19">
        <v>2.6795716158933338</v>
      </c>
      <c r="BF91" s="18">
        <v>0.35714285714285715</v>
      </c>
      <c r="BG91" s="18">
        <v>0.42857142857142855</v>
      </c>
      <c r="BH91" s="19">
        <v>0.70535126492993505</v>
      </c>
      <c r="BI91" s="19">
        <v>0.70535126492993505</v>
      </c>
      <c r="BJ91" s="19">
        <v>0.68970769325825099</v>
      </c>
      <c r="BK91" s="19">
        <v>1.2599748005039899</v>
      </c>
      <c r="BL91" s="19">
        <v>0</v>
      </c>
      <c r="BM91" s="19">
        <v>0</v>
      </c>
      <c r="BN91" s="19">
        <v>5.6689342403628116</v>
      </c>
      <c r="BO91" s="20" t="s">
        <v>257</v>
      </c>
      <c r="BP91" s="21">
        <v>60000</v>
      </c>
      <c r="BQ91" s="30" t="s">
        <v>306</v>
      </c>
      <c r="BR91" s="30">
        <v>15.92</v>
      </c>
      <c r="BS91" s="30">
        <v>32.22</v>
      </c>
      <c r="BT91" s="30">
        <v>16.3</v>
      </c>
      <c r="BU91" s="35">
        <f t="shared" si="44"/>
        <v>1.4472727272727273</v>
      </c>
      <c r="BV91" s="35">
        <f t="shared" si="45"/>
        <v>2.9290909090909092</v>
      </c>
      <c r="BW91" s="35">
        <f t="shared" si="46"/>
        <v>1.4818181818181819</v>
      </c>
      <c r="BX91" s="36">
        <f t="shared" si="47"/>
        <v>10.126689636893719</v>
      </c>
      <c r="BY91" s="36">
        <f t="shared" si="48"/>
        <v>20.4950967399947</v>
      </c>
      <c r="BZ91" s="36">
        <f t="shared" si="49"/>
        <v>10.368407103100981</v>
      </c>
      <c r="CA91" s="30">
        <v>1</v>
      </c>
      <c r="CB91" s="30">
        <v>10</v>
      </c>
    </row>
    <row r="92" spans="1:80" x14ac:dyDescent="0.4">
      <c r="A92" s="11" t="s">
        <v>53</v>
      </c>
      <c r="B92" s="11" t="s">
        <v>263</v>
      </c>
      <c r="C92" s="11" t="s">
        <v>172</v>
      </c>
      <c r="D92" s="15">
        <v>24</v>
      </c>
      <c r="E92" s="15">
        <v>7</v>
      </c>
      <c r="F92" s="15">
        <v>9</v>
      </c>
      <c r="G92" s="16">
        <v>10296</v>
      </c>
      <c r="H92" s="16">
        <v>10</v>
      </c>
      <c r="I92" s="17">
        <f t="shared" si="50"/>
        <v>0.41666666666666669</v>
      </c>
      <c r="J92" s="15">
        <v>2</v>
      </c>
      <c r="K92" s="15">
        <v>10</v>
      </c>
      <c r="L92" s="17">
        <f t="shared" si="51"/>
        <v>8.3333333333333329E-2</v>
      </c>
      <c r="M92" s="17">
        <f t="shared" si="52"/>
        <v>0.41666666666666669</v>
      </c>
      <c r="N92" s="18">
        <f t="shared" si="53"/>
        <v>0.2</v>
      </c>
      <c r="O92" s="16">
        <v>2</v>
      </c>
      <c r="P92" s="15">
        <v>10</v>
      </c>
      <c r="Q92" s="17">
        <f t="shared" si="27"/>
        <v>8.3333333333333329E-2</v>
      </c>
      <c r="R92" s="17">
        <f t="shared" si="28"/>
        <v>0.41666666666666669</v>
      </c>
      <c r="S92" s="18">
        <f t="shared" si="29"/>
        <v>0.2</v>
      </c>
      <c r="T92" s="15">
        <v>0</v>
      </c>
      <c r="U92" s="15">
        <v>0</v>
      </c>
      <c r="V92" s="17">
        <f t="shared" si="30"/>
        <v>0</v>
      </c>
      <c r="W92" s="17">
        <f t="shared" si="31"/>
        <v>0</v>
      </c>
      <c r="X92" s="18" t="e">
        <f t="shared" si="32"/>
        <v>#DIV/0!</v>
      </c>
      <c r="Y92" s="15">
        <v>6</v>
      </c>
      <c r="Z92" s="15">
        <v>8</v>
      </c>
      <c r="AA92" s="17">
        <f t="shared" si="33"/>
        <v>0.25</v>
      </c>
      <c r="AB92" s="17">
        <f t="shared" si="34"/>
        <v>0.33333333333333331</v>
      </c>
      <c r="AC92" s="18">
        <f t="shared" si="35"/>
        <v>0.75</v>
      </c>
      <c r="AD92" s="15">
        <v>41</v>
      </c>
      <c r="AE92" s="17">
        <f t="shared" si="36"/>
        <v>1.7083333333333333</v>
      </c>
      <c r="AF92" s="15">
        <v>19</v>
      </c>
      <c r="AG92" s="17">
        <f t="shared" si="37"/>
        <v>0.79166666666666663</v>
      </c>
      <c r="AH92" s="15">
        <v>22</v>
      </c>
      <c r="AI92" s="17">
        <f t="shared" si="38"/>
        <v>0.91666666666666663</v>
      </c>
      <c r="AJ92" s="15">
        <v>14</v>
      </c>
      <c r="AK92" s="17">
        <f t="shared" si="39"/>
        <v>0.58333333333333337</v>
      </c>
      <c r="AL92" s="15">
        <v>6</v>
      </c>
      <c r="AM92" s="17">
        <f t="shared" si="40"/>
        <v>0.25</v>
      </c>
      <c r="AN92" s="15">
        <v>3</v>
      </c>
      <c r="AO92" s="17">
        <f t="shared" si="41"/>
        <v>0.125</v>
      </c>
      <c r="AP92" s="4">
        <v>7</v>
      </c>
      <c r="AQ92" s="17">
        <f t="shared" si="42"/>
        <v>0.29166666666666669</v>
      </c>
      <c r="AR92" s="15">
        <v>31</v>
      </c>
      <c r="AS92" s="17">
        <f t="shared" si="43"/>
        <v>1.2916666666666667</v>
      </c>
      <c r="AT92" s="19">
        <v>8.9267047799697546E-2</v>
      </c>
      <c r="AU92" s="19">
        <v>2.0808169650279148E-2</v>
      </c>
      <c r="AV92" s="19">
        <v>4.5244201805180316E-2</v>
      </c>
      <c r="AW92" s="19">
        <v>4.402284599451723E-2</v>
      </c>
      <c r="AX92" s="19">
        <v>107.48487559910285</v>
      </c>
      <c r="AY92" s="19">
        <v>117.35375143987596</v>
      </c>
      <c r="AZ92" s="19">
        <v>1.7296173019522019</v>
      </c>
      <c r="BA92" s="19">
        <v>2.375</v>
      </c>
      <c r="BB92" s="19">
        <v>13.286713286713287</v>
      </c>
      <c r="BC92" s="18">
        <v>0.36982248520710059</v>
      </c>
      <c r="BD92" s="18">
        <v>0.2</v>
      </c>
      <c r="BE92" s="19">
        <v>2.492188985411282</v>
      </c>
      <c r="BF92" s="18">
        <v>0</v>
      </c>
      <c r="BG92" s="18">
        <v>0.8</v>
      </c>
      <c r="BH92" s="19">
        <v>5.357545680126325</v>
      </c>
      <c r="BI92" s="19">
        <v>6.2034739454094296</v>
      </c>
      <c r="BJ92" s="19">
        <v>5.6523072787242326</v>
      </c>
      <c r="BK92" s="19">
        <v>4.6932618169627887</v>
      </c>
      <c r="BL92" s="19">
        <v>1.9308374799197763</v>
      </c>
      <c r="BM92" s="19">
        <v>0.79128792000079129</v>
      </c>
      <c r="BN92" s="19">
        <v>34.113060428849906</v>
      </c>
      <c r="BO92" s="20" t="s">
        <v>257</v>
      </c>
      <c r="BP92" s="21"/>
      <c r="BQ92" s="31" t="s">
        <v>307</v>
      </c>
      <c r="BR92" s="31">
        <v>113.33</v>
      </c>
      <c r="BS92" s="31">
        <v>133.43</v>
      </c>
      <c r="BT92" s="31">
        <v>20.100000000000001</v>
      </c>
      <c r="BU92" s="35">
        <f t="shared" si="44"/>
        <v>4.722083333333333</v>
      </c>
      <c r="BV92" s="35">
        <f t="shared" si="45"/>
        <v>5.5595833333333333</v>
      </c>
      <c r="BW92" s="35">
        <f t="shared" si="46"/>
        <v>0.83750000000000002</v>
      </c>
      <c r="BX92" s="36">
        <f t="shared" si="47"/>
        <v>26.417249417249415</v>
      </c>
      <c r="BY92" s="36">
        <f t="shared" si="48"/>
        <v>31.102564102564102</v>
      </c>
      <c r="BZ92" s="36">
        <f t="shared" si="49"/>
        <v>4.685314685314685</v>
      </c>
      <c r="CA92" s="31">
        <v>5</v>
      </c>
      <c r="CB92" s="31">
        <v>19</v>
      </c>
    </row>
    <row r="93" spans="1:80" x14ac:dyDescent="0.4">
      <c r="A93" s="11" t="s">
        <v>53</v>
      </c>
      <c r="B93" s="11" t="s">
        <v>263</v>
      </c>
      <c r="C93" s="11" t="s">
        <v>174</v>
      </c>
      <c r="D93" s="15">
        <v>36</v>
      </c>
      <c r="E93" s="15">
        <v>21</v>
      </c>
      <c r="F93" s="15">
        <v>28</v>
      </c>
      <c r="G93" s="16">
        <v>46368</v>
      </c>
      <c r="H93" s="16">
        <v>219</v>
      </c>
      <c r="I93" s="17">
        <f t="shared" si="50"/>
        <v>6.083333333333333</v>
      </c>
      <c r="J93" s="15">
        <v>66</v>
      </c>
      <c r="K93" s="15">
        <v>214</v>
      </c>
      <c r="L93" s="17">
        <f t="shared" si="51"/>
        <v>1.8333333333333333</v>
      </c>
      <c r="M93" s="17">
        <f t="shared" si="52"/>
        <v>5.9444444444444446</v>
      </c>
      <c r="N93" s="18">
        <f t="shared" si="53"/>
        <v>0.30841121495327101</v>
      </c>
      <c r="O93" s="16">
        <v>34</v>
      </c>
      <c r="P93" s="15">
        <v>93</v>
      </c>
      <c r="Q93" s="17">
        <f t="shared" si="27"/>
        <v>0.94444444444444442</v>
      </c>
      <c r="R93" s="17">
        <f t="shared" si="28"/>
        <v>2.5833333333333335</v>
      </c>
      <c r="S93" s="18">
        <f t="shared" si="29"/>
        <v>0.36559139784946237</v>
      </c>
      <c r="T93" s="15">
        <v>32</v>
      </c>
      <c r="U93" s="15">
        <v>121</v>
      </c>
      <c r="V93" s="17">
        <f t="shared" si="30"/>
        <v>0.88888888888888884</v>
      </c>
      <c r="W93" s="17">
        <f t="shared" si="31"/>
        <v>3.3611111111111112</v>
      </c>
      <c r="X93" s="18">
        <f t="shared" si="32"/>
        <v>0.26446280991735538</v>
      </c>
      <c r="Y93" s="15">
        <v>55</v>
      </c>
      <c r="Z93" s="15">
        <v>66</v>
      </c>
      <c r="AA93" s="17">
        <f t="shared" si="33"/>
        <v>1.5277777777777777</v>
      </c>
      <c r="AB93" s="17">
        <f t="shared" si="34"/>
        <v>1.8333333333333333</v>
      </c>
      <c r="AC93" s="18">
        <f t="shared" si="35"/>
        <v>0.83333333333333337</v>
      </c>
      <c r="AD93" s="15">
        <v>90</v>
      </c>
      <c r="AE93" s="17">
        <f t="shared" si="36"/>
        <v>2.5</v>
      </c>
      <c r="AF93" s="15">
        <v>14</v>
      </c>
      <c r="AG93" s="17">
        <f t="shared" si="37"/>
        <v>0.3888888888888889</v>
      </c>
      <c r="AH93" s="15">
        <v>76</v>
      </c>
      <c r="AI93" s="17">
        <f t="shared" si="38"/>
        <v>2.1111111111111112</v>
      </c>
      <c r="AJ93" s="15">
        <v>124</v>
      </c>
      <c r="AK93" s="17">
        <f t="shared" si="39"/>
        <v>3.4444444444444446</v>
      </c>
      <c r="AL93" s="15">
        <v>21</v>
      </c>
      <c r="AM93" s="17">
        <f t="shared" si="40"/>
        <v>0.58333333333333337</v>
      </c>
      <c r="AN93" s="15">
        <v>0</v>
      </c>
      <c r="AO93" s="17">
        <f t="shared" si="41"/>
        <v>0</v>
      </c>
      <c r="AP93" s="4">
        <v>47</v>
      </c>
      <c r="AQ93" s="17">
        <f t="shared" si="42"/>
        <v>1.3055555555555556</v>
      </c>
      <c r="AR93" s="15">
        <v>83</v>
      </c>
      <c r="AS93" s="17">
        <f t="shared" si="43"/>
        <v>2.3055555555555554</v>
      </c>
      <c r="AT93" s="19">
        <v>-0.38346132206635697</v>
      </c>
      <c r="AU93" s="19">
        <v>-1.9847894516892183E-2</v>
      </c>
      <c r="AV93" s="19">
        <v>-0.29248302061118403</v>
      </c>
      <c r="AW93" s="19">
        <v>-9.0978301455172939E-2</v>
      </c>
      <c r="AX93" s="19">
        <v>98.369148430648465</v>
      </c>
      <c r="AY93" s="19">
        <v>120.63489458606476</v>
      </c>
      <c r="AZ93" s="19">
        <v>3.9499333731717936</v>
      </c>
      <c r="BA93" s="19">
        <v>6.8888888888888893</v>
      </c>
      <c r="BB93" s="19">
        <v>12.836438923395445</v>
      </c>
      <c r="BC93" s="18">
        <v>0.45054312047399608</v>
      </c>
      <c r="BD93" s="18">
        <v>0.38317757009345793</v>
      </c>
      <c r="BE93" s="19">
        <v>11.732834412344539</v>
      </c>
      <c r="BF93" s="18">
        <v>0.56542056074766356</v>
      </c>
      <c r="BG93" s="18">
        <v>0.30841121495327101</v>
      </c>
      <c r="BH93" s="19">
        <v>1.3148667601683028</v>
      </c>
      <c r="BI93" s="19">
        <v>7.1378481266279294</v>
      </c>
      <c r="BJ93" s="19">
        <v>4.1326235424849003</v>
      </c>
      <c r="BK93" s="19">
        <v>14.839636189564386</v>
      </c>
      <c r="BL93" s="19">
        <v>1.5005965197202609</v>
      </c>
      <c r="BM93" s="19">
        <v>0</v>
      </c>
      <c r="BN93" s="19">
        <v>16.204661426010208</v>
      </c>
      <c r="BO93" s="20" t="s">
        <v>257</v>
      </c>
      <c r="BP93" s="21">
        <v>60000</v>
      </c>
      <c r="BQ93" s="30" t="s">
        <v>306</v>
      </c>
      <c r="BR93" s="30">
        <v>503.85</v>
      </c>
      <c r="BS93" s="30">
        <v>722.25</v>
      </c>
      <c r="BT93" s="30">
        <v>218.4</v>
      </c>
      <c r="BU93" s="35">
        <f t="shared" si="44"/>
        <v>13.995833333333334</v>
      </c>
      <c r="BV93" s="35">
        <f t="shared" si="45"/>
        <v>20.0625</v>
      </c>
      <c r="BW93" s="35">
        <f t="shared" si="46"/>
        <v>6.0666666666666664</v>
      </c>
      <c r="BX93" s="36">
        <f t="shared" si="47"/>
        <v>26.079192546583851</v>
      </c>
      <c r="BY93" s="36">
        <f t="shared" si="48"/>
        <v>37.383540372670808</v>
      </c>
      <c r="BZ93" s="36">
        <f t="shared" si="49"/>
        <v>11.304347826086957</v>
      </c>
      <c r="CA93" s="31">
        <v>5</v>
      </c>
      <c r="CB93" s="31">
        <v>31</v>
      </c>
    </row>
    <row r="94" spans="1:80" x14ac:dyDescent="0.4">
      <c r="A94" s="11" t="s">
        <v>53</v>
      </c>
      <c r="B94" s="11" t="s">
        <v>263</v>
      </c>
      <c r="C94" s="11" t="s">
        <v>246</v>
      </c>
      <c r="D94" s="15">
        <v>2</v>
      </c>
      <c r="E94" s="15">
        <v>6</v>
      </c>
      <c r="F94" s="15">
        <v>37</v>
      </c>
      <c r="G94" s="16">
        <v>794</v>
      </c>
      <c r="H94" s="16">
        <v>0</v>
      </c>
      <c r="I94" s="17">
        <f t="shared" si="50"/>
        <v>0</v>
      </c>
      <c r="J94" s="15">
        <v>0</v>
      </c>
      <c r="K94" s="15">
        <v>4</v>
      </c>
      <c r="L94" s="17">
        <f t="shared" si="51"/>
        <v>0</v>
      </c>
      <c r="M94" s="17">
        <f t="shared" si="52"/>
        <v>2</v>
      </c>
      <c r="N94" s="18">
        <f t="shared" si="53"/>
        <v>0</v>
      </c>
      <c r="O94" s="16">
        <v>0</v>
      </c>
      <c r="P94" s="15">
        <v>2</v>
      </c>
      <c r="Q94" s="17">
        <f t="shared" si="27"/>
        <v>0</v>
      </c>
      <c r="R94" s="17">
        <f t="shared" si="28"/>
        <v>1</v>
      </c>
      <c r="S94" s="18">
        <f t="shared" si="29"/>
        <v>0</v>
      </c>
      <c r="T94" s="15">
        <v>0</v>
      </c>
      <c r="U94" s="15">
        <v>2</v>
      </c>
      <c r="V94" s="17">
        <f t="shared" si="30"/>
        <v>0</v>
      </c>
      <c r="W94" s="17">
        <f t="shared" si="31"/>
        <v>1</v>
      </c>
      <c r="X94" s="18">
        <f t="shared" si="32"/>
        <v>0</v>
      </c>
      <c r="Y94" s="15">
        <v>0</v>
      </c>
      <c r="Z94" s="15">
        <v>0</v>
      </c>
      <c r="AA94" s="17">
        <f t="shared" si="33"/>
        <v>0</v>
      </c>
      <c r="AB94" s="17">
        <f t="shared" si="34"/>
        <v>0</v>
      </c>
      <c r="AC94" s="18" t="e">
        <f t="shared" si="35"/>
        <v>#DIV/0!</v>
      </c>
      <c r="AD94" s="15">
        <v>2</v>
      </c>
      <c r="AE94" s="17">
        <f t="shared" si="36"/>
        <v>1</v>
      </c>
      <c r="AF94" s="15">
        <v>0</v>
      </c>
      <c r="AG94" s="17">
        <f t="shared" si="37"/>
        <v>0</v>
      </c>
      <c r="AH94" s="15">
        <v>2</v>
      </c>
      <c r="AI94" s="17">
        <f t="shared" si="38"/>
        <v>1</v>
      </c>
      <c r="AJ94" s="15">
        <v>0</v>
      </c>
      <c r="AK94" s="17">
        <f t="shared" si="39"/>
        <v>0</v>
      </c>
      <c r="AL94" s="15">
        <v>0</v>
      </c>
      <c r="AM94" s="17">
        <f t="shared" si="40"/>
        <v>0</v>
      </c>
      <c r="AN94" s="15">
        <v>0</v>
      </c>
      <c r="AO94" s="17">
        <f t="shared" si="41"/>
        <v>0</v>
      </c>
      <c r="AP94" s="4">
        <v>1</v>
      </c>
      <c r="AQ94" s="17">
        <f t="shared" si="42"/>
        <v>0.5</v>
      </c>
      <c r="AR94" s="15">
        <v>3</v>
      </c>
      <c r="AS94" s="17">
        <f t="shared" si="43"/>
        <v>1.5</v>
      </c>
      <c r="AT94" s="19">
        <v>-0.12770126078304492</v>
      </c>
      <c r="AU94" s="19">
        <v>-0.38599877314774289</v>
      </c>
      <c r="AV94" s="19">
        <v>-0.12501772174385375</v>
      </c>
      <c r="AW94" s="19">
        <v>-2.6835390391911689E-3</v>
      </c>
      <c r="AX94" s="19">
        <v>0</v>
      </c>
      <c r="AY94" s="19">
        <v>121.38060593911095</v>
      </c>
      <c r="AZ94" s="19">
        <v>-0.6577440041249083</v>
      </c>
      <c r="BA94" s="19">
        <v>-1.5</v>
      </c>
      <c r="BB94" s="19">
        <v>-9.0680100755667521</v>
      </c>
      <c r="BC94" s="18">
        <v>0</v>
      </c>
      <c r="BD94" s="18">
        <v>0</v>
      </c>
      <c r="BE94" s="19">
        <v>0.65620631511521588</v>
      </c>
      <c r="BF94" s="18">
        <v>0.5</v>
      </c>
      <c r="BG94" s="18">
        <v>0</v>
      </c>
      <c r="BH94" s="19">
        <v>0</v>
      </c>
      <c r="BI94" s="19">
        <v>0.60940927927195898</v>
      </c>
      <c r="BJ94" s="19">
        <v>0.29794677429166255</v>
      </c>
      <c r="BK94" s="19">
        <v>0</v>
      </c>
      <c r="BL94" s="19">
        <v>0</v>
      </c>
      <c r="BM94" s="19">
        <v>0</v>
      </c>
      <c r="BN94" s="19">
        <v>20</v>
      </c>
      <c r="BO94" s="20" t="s">
        <v>257</v>
      </c>
      <c r="BP94" s="21">
        <v>85000</v>
      </c>
      <c r="BQ94" s="30" t="s">
        <v>306</v>
      </c>
      <c r="BR94" s="30">
        <v>0</v>
      </c>
      <c r="BS94" s="30">
        <v>5.3</v>
      </c>
      <c r="BT94" s="30">
        <v>5.3</v>
      </c>
      <c r="BU94" s="35">
        <f t="shared" si="44"/>
        <v>0</v>
      </c>
      <c r="BV94" s="35">
        <f t="shared" si="45"/>
        <v>2.65</v>
      </c>
      <c r="BW94" s="35">
        <f t="shared" si="46"/>
        <v>2.65</v>
      </c>
      <c r="BX94" s="36">
        <f t="shared" si="47"/>
        <v>0</v>
      </c>
      <c r="BY94" s="36">
        <f t="shared" si="48"/>
        <v>16.020151133501258</v>
      </c>
      <c r="BZ94" s="36">
        <f t="shared" si="49"/>
        <v>16.020151133501258</v>
      </c>
      <c r="CA94" s="30">
        <v>0</v>
      </c>
      <c r="CB94" s="30">
        <v>2</v>
      </c>
    </row>
    <row r="95" spans="1:80" x14ac:dyDescent="0.4">
      <c r="A95" s="11" t="s">
        <v>53</v>
      </c>
      <c r="B95" s="11" t="s">
        <v>263</v>
      </c>
      <c r="C95" s="11" t="s">
        <v>181</v>
      </c>
      <c r="D95" s="10">
        <v>2</v>
      </c>
      <c r="E95" s="10">
        <v>7</v>
      </c>
      <c r="F95" s="10">
        <v>0</v>
      </c>
      <c r="G95" s="16">
        <v>840</v>
      </c>
      <c r="H95" s="16">
        <v>4</v>
      </c>
      <c r="I95" s="17">
        <f t="shared" si="50"/>
        <v>2</v>
      </c>
      <c r="J95" s="15">
        <v>2</v>
      </c>
      <c r="K95" s="15">
        <v>6</v>
      </c>
      <c r="L95" s="17">
        <f t="shared" si="51"/>
        <v>1</v>
      </c>
      <c r="M95" s="17">
        <f t="shared" si="52"/>
        <v>3</v>
      </c>
      <c r="N95" s="18">
        <f t="shared" si="53"/>
        <v>0.33333333333333331</v>
      </c>
      <c r="O95" s="16">
        <v>2</v>
      </c>
      <c r="P95" s="15">
        <v>6</v>
      </c>
      <c r="Q95" s="17">
        <f t="shared" si="27"/>
        <v>1</v>
      </c>
      <c r="R95" s="17">
        <f t="shared" si="28"/>
        <v>3</v>
      </c>
      <c r="S95" s="18">
        <f t="shared" si="29"/>
        <v>0.33333333333333331</v>
      </c>
      <c r="T95" s="15">
        <v>0</v>
      </c>
      <c r="U95" s="15">
        <v>0</v>
      </c>
      <c r="V95" s="17">
        <f t="shared" si="30"/>
        <v>0</v>
      </c>
      <c r="W95" s="17">
        <f t="shared" si="31"/>
        <v>0</v>
      </c>
      <c r="X95" s="18" t="e">
        <f t="shared" si="32"/>
        <v>#DIV/0!</v>
      </c>
      <c r="Y95" s="9">
        <v>0</v>
      </c>
      <c r="Z95" s="9">
        <v>0</v>
      </c>
      <c r="AA95" s="17">
        <f t="shared" si="33"/>
        <v>0</v>
      </c>
      <c r="AB95" s="17">
        <f t="shared" si="34"/>
        <v>0</v>
      </c>
      <c r="AC95" s="18" t="e">
        <f t="shared" si="35"/>
        <v>#DIV/0!</v>
      </c>
      <c r="AD95" s="15">
        <v>1</v>
      </c>
      <c r="AE95" s="17">
        <f t="shared" si="36"/>
        <v>0.5</v>
      </c>
      <c r="AF95" s="15">
        <v>1</v>
      </c>
      <c r="AG95" s="17">
        <f t="shared" si="37"/>
        <v>0.5</v>
      </c>
      <c r="AH95" s="15">
        <v>0</v>
      </c>
      <c r="AI95" s="17">
        <f t="shared" si="38"/>
        <v>0</v>
      </c>
      <c r="AJ95" s="15">
        <v>0</v>
      </c>
      <c r="AK95" s="17">
        <f t="shared" si="39"/>
        <v>0</v>
      </c>
      <c r="AL95" s="15">
        <v>0</v>
      </c>
      <c r="AM95" s="17">
        <f t="shared" si="40"/>
        <v>0</v>
      </c>
      <c r="AN95" s="7">
        <v>0</v>
      </c>
      <c r="AO95" s="17">
        <f t="shared" si="41"/>
        <v>0</v>
      </c>
      <c r="AP95" s="6">
        <v>0</v>
      </c>
      <c r="AQ95" s="17">
        <f t="shared" si="42"/>
        <v>0</v>
      </c>
      <c r="AR95" s="15">
        <v>1</v>
      </c>
      <c r="AS95" s="17">
        <f t="shared" si="43"/>
        <v>0.5</v>
      </c>
      <c r="AT95" s="19">
        <v>-4.8446116751289667E-2</v>
      </c>
      <c r="AU95" s="19">
        <v>-0.13841747643225619</v>
      </c>
      <c r="AV95" s="19">
        <v>-3.4881705518903683E-2</v>
      </c>
      <c r="AW95" s="19">
        <v>-1.3564411232385986E-2</v>
      </c>
      <c r="AX95" s="19">
        <v>78.675766927153489</v>
      </c>
      <c r="AY95" s="19">
        <v>128.09685765981325</v>
      </c>
      <c r="AZ95" s="19">
        <v>4.5252361084678006E-2</v>
      </c>
      <c r="BA95" s="19">
        <v>0.5</v>
      </c>
      <c r="BB95" s="19">
        <v>2.8571428571428568</v>
      </c>
      <c r="BC95" s="18">
        <v>0.33333333333333331</v>
      </c>
      <c r="BD95" s="18">
        <v>0.33333333333333331</v>
      </c>
      <c r="BE95" s="19">
        <v>0.74432544885925922</v>
      </c>
      <c r="BF95" s="18">
        <v>0</v>
      </c>
      <c r="BG95" s="18">
        <v>0</v>
      </c>
      <c r="BH95" s="19">
        <v>0.28801843317972353</v>
      </c>
      <c r="BI95" s="19">
        <v>0</v>
      </c>
      <c r="BJ95" s="19">
        <v>0.1408153207068929</v>
      </c>
      <c r="BK95" s="19">
        <v>0</v>
      </c>
      <c r="BL95" s="19">
        <v>0</v>
      </c>
      <c r="BM95" s="19">
        <v>0</v>
      </c>
      <c r="BN95" s="19">
        <v>0</v>
      </c>
      <c r="BO95" s="20" t="s">
        <v>257</v>
      </c>
      <c r="BP95" s="21">
        <v>90000</v>
      </c>
      <c r="BQ95" s="30" t="s">
        <v>307</v>
      </c>
      <c r="BR95" s="30">
        <v>5</v>
      </c>
      <c r="BS95" s="30">
        <v>9</v>
      </c>
      <c r="BT95" s="30">
        <v>4</v>
      </c>
      <c r="BU95" s="35">
        <f t="shared" si="44"/>
        <v>2.5</v>
      </c>
      <c r="BV95" s="35">
        <f t="shared" si="45"/>
        <v>4.5</v>
      </c>
      <c r="BW95" s="35">
        <f t="shared" si="46"/>
        <v>2</v>
      </c>
      <c r="BX95" s="36">
        <f t="shared" si="47"/>
        <v>14.285714285714286</v>
      </c>
      <c r="BY95" s="36">
        <f t="shared" si="48"/>
        <v>25.714285714285715</v>
      </c>
      <c r="BZ95" s="36">
        <f t="shared" si="49"/>
        <v>11.428571428571429</v>
      </c>
      <c r="CA95" s="30">
        <v>0</v>
      </c>
      <c r="CB95" s="30">
        <v>2</v>
      </c>
    </row>
    <row r="96" spans="1:80" x14ac:dyDescent="0.4">
      <c r="A96" s="11" t="s">
        <v>53</v>
      </c>
      <c r="B96" s="11" t="s">
        <v>263</v>
      </c>
      <c r="C96" s="14" t="s">
        <v>69</v>
      </c>
      <c r="D96" s="15">
        <v>3</v>
      </c>
      <c r="E96" s="15">
        <v>8</v>
      </c>
      <c r="F96" s="15">
        <v>33</v>
      </c>
      <c r="G96" s="16">
        <v>1539</v>
      </c>
      <c r="H96" s="16">
        <v>11</v>
      </c>
      <c r="I96" s="17">
        <f t="shared" si="50"/>
        <v>3.6666666666666665</v>
      </c>
      <c r="J96" s="15">
        <v>3</v>
      </c>
      <c r="K96" s="15">
        <v>8</v>
      </c>
      <c r="L96" s="17">
        <f t="shared" si="51"/>
        <v>1</v>
      </c>
      <c r="M96" s="17">
        <f t="shared" si="52"/>
        <v>2.6666666666666665</v>
      </c>
      <c r="N96" s="18">
        <f t="shared" si="53"/>
        <v>0.375</v>
      </c>
      <c r="O96" s="16">
        <v>0</v>
      </c>
      <c r="P96" s="15">
        <v>1</v>
      </c>
      <c r="Q96" s="17">
        <f t="shared" si="27"/>
        <v>0</v>
      </c>
      <c r="R96" s="17">
        <f t="shared" si="28"/>
        <v>0.33333333333333331</v>
      </c>
      <c r="S96" s="18">
        <f t="shared" si="29"/>
        <v>0</v>
      </c>
      <c r="T96" s="15">
        <v>3</v>
      </c>
      <c r="U96" s="15">
        <v>7</v>
      </c>
      <c r="V96" s="17">
        <f t="shared" si="30"/>
        <v>1</v>
      </c>
      <c r="W96" s="17">
        <f t="shared" si="31"/>
        <v>2.3333333333333335</v>
      </c>
      <c r="X96" s="18">
        <f t="shared" si="32"/>
        <v>0.42857142857142855</v>
      </c>
      <c r="Y96" s="15">
        <v>2</v>
      </c>
      <c r="Z96" s="15">
        <v>2</v>
      </c>
      <c r="AA96" s="17">
        <f t="shared" si="33"/>
        <v>0.66666666666666663</v>
      </c>
      <c r="AB96" s="17">
        <f t="shared" si="34"/>
        <v>0.66666666666666663</v>
      </c>
      <c r="AC96" s="18">
        <f t="shared" si="35"/>
        <v>1</v>
      </c>
      <c r="AD96" s="15">
        <v>3</v>
      </c>
      <c r="AE96" s="17">
        <f t="shared" si="36"/>
        <v>1</v>
      </c>
      <c r="AF96" s="15">
        <v>1</v>
      </c>
      <c r="AG96" s="17">
        <f t="shared" si="37"/>
        <v>0.33333333333333331</v>
      </c>
      <c r="AH96" s="15">
        <v>2</v>
      </c>
      <c r="AI96" s="17">
        <f t="shared" si="38"/>
        <v>0.66666666666666663</v>
      </c>
      <c r="AJ96" s="15">
        <v>0</v>
      </c>
      <c r="AK96" s="17">
        <f t="shared" si="39"/>
        <v>0</v>
      </c>
      <c r="AL96" s="15">
        <v>0</v>
      </c>
      <c r="AM96" s="17">
        <f t="shared" si="40"/>
        <v>0</v>
      </c>
      <c r="AN96" s="15">
        <v>0</v>
      </c>
      <c r="AO96" s="17">
        <f t="shared" si="41"/>
        <v>0</v>
      </c>
      <c r="AP96" s="4">
        <v>1</v>
      </c>
      <c r="AQ96" s="17">
        <f t="shared" si="42"/>
        <v>0.33333333333333331</v>
      </c>
      <c r="AR96" s="15">
        <v>5</v>
      </c>
      <c r="AS96" s="17">
        <f t="shared" si="43"/>
        <v>1.6666666666666667</v>
      </c>
      <c r="AT96" s="19">
        <v>1.6069993038857176E-2</v>
      </c>
      <c r="AU96" s="19">
        <v>2.5060417994319184E-2</v>
      </c>
      <c r="AV96" s="19">
        <v>3.0477438330202888E-2</v>
      </c>
      <c r="AW96" s="19">
        <v>-1.4407445291345713E-2</v>
      </c>
      <c r="AX96" s="19">
        <v>114.30673399796029</v>
      </c>
      <c r="AY96" s="19">
        <v>124.52707789397988</v>
      </c>
      <c r="AZ96" s="19">
        <v>0.27994528824467818</v>
      </c>
      <c r="BA96" s="19">
        <v>2.6666666666666665</v>
      </c>
      <c r="BB96" s="19">
        <v>12.475633528265108</v>
      </c>
      <c r="BC96" s="18">
        <v>0.61936936936936926</v>
      </c>
      <c r="BD96" s="18">
        <v>0.5625</v>
      </c>
      <c r="BE96" s="19">
        <v>1.0034609754991497</v>
      </c>
      <c r="BF96" s="18">
        <v>0.875</v>
      </c>
      <c r="BG96" s="18">
        <v>0.25</v>
      </c>
      <c r="BH96" s="19">
        <v>0.23580456517638182</v>
      </c>
      <c r="BI96" s="19">
        <v>0.47160913035276364</v>
      </c>
      <c r="BJ96" s="19">
        <v>0.34586219120991241</v>
      </c>
      <c r="BK96" s="19">
        <v>0</v>
      </c>
      <c r="BL96" s="19">
        <v>0</v>
      </c>
      <c r="BM96" s="19">
        <v>0</v>
      </c>
      <c r="BN96" s="19">
        <v>10.121457489878543</v>
      </c>
      <c r="BO96" s="20" t="s">
        <v>257</v>
      </c>
      <c r="BP96" s="21"/>
      <c r="BQ96" s="30" t="s">
        <v>305</v>
      </c>
      <c r="BU96" s="35"/>
      <c r="BV96" s="35"/>
      <c r="BW96" s="35"/>
      <c r="BX96" s="36"/>
      <c r="BY96" s="36"/>
      <c r="BZ96" s="36"/>
      <c r="CA96" s="44">
        <v>0</v>
      </c>
      <c r="CB96" s="44">
        <v>3</v>
      </c>
    </row>
    <row r="97" spans="1:80" x14ac:dyDescent="0.4">
      <c r="A97" s="11" t="s">
        <v>53</v>
      </c>
      <c r="B97" s="11" t="s">
        <v>263</v>
      </c>
      <c r="C97" s="11" t="s">
        <v>173</v>
      </c>
      <c r="D97" s="15">
        <v>43</v>
      </c>
      <c r="E97" s="15">
        <v>25</v>
      </c>
      <c r="F97" s="15">
        <v>29</v>
      </c>
      <c r="G97" s="16">
        <v>65747</v>
      </c>
      <c r="H97" s="16">
        <v>292</v>
      </c>
      <c r="I97" s="17">
        <f t="shared" si="50"/>
        <v>6.7906976744186043</v>
      </c>
      <c r="J97" s="15">
        <v>107</v>
      </c>
      <c r="K97" s="15">
        <v>279</v>
      </c>
      <c r="L97" s="17">
        <f t="shared" si="51"/>
        <v>2.4883720930232558</v>
      </c>
      <c r="M97" s="17">
        <f t="shared" si="52"/>
        <v>6.4883720930232558</v>
      </c>
      <c r="N97" s="18">
        <f t="shared" si="53"/>
        <v>0.38351254480286739</v>
      </c>
      <c r="O97" s="16">
        <v>50</v>
      </c>
      <c r="P97" s="15">
        <v>115</v>
      </c>
      <c r="Q97" s="17">
        <f t="shared" si="27"/>
        <v>1.1627906976744187</v>
      </c>
      <c r="R97" s="17">
        <f t="shared" si="28"/>
        <v>2.6744186046511627</v>
      </c>
      <c r="S97" s="18">
        <f t="shared" si="29"/>
        <v>0.43478260869565216</v>
      </c>
      <c r="T97" s="15">
        <v>57</v>
      </c>
      <c r="U97" s="15">
        <v>164</v>
      </c>
      <c r="V97" s="17">
        <f t="shared" si="30"/>
        <v>1.3255813953488371</v>
      </c>
      <c r="W97" s="17">
        <f t="shared" si="31"/>
        <v>3.8139534883720931</v>
      </c>
      <c r="X97" s="18">
        <f t="shared" si="32"/>
        <v>0.34756097560975607</v>
      </c>
      <c r="Y97" s="15">
        <v>21</v>
      </c>
      <c r="Z97" s="15">
        <v>31</v>
      </c>
      <c r="AA97" s="17">
        <f t="shared" si="33"/>
        <v>0.48837209302325579</v>
      </c>
      <c r="AB97" s="17">
        <f t="shared" si="34"/>
        <v>0.72093023255813948</v>
      </c>
      <c r="AC97" s="18">
        <f t="shared" si="35"/>
        <v>0.67741935483870963</v>
      </c>
      <c r="AD97" s="15">
        <v>108</v>
      </c>
      <c r="AE97" s="17">
        <f t="shared" si="36"/>
        <v>2.5116279069767442</v>
      </c>
      <c r="AF97" s="15">
        <v>16</v>
      </c>
      <c r="AG97" s="17">
        <f t="shared" si="37"/>
        <v>0.37209302325581395</v>
      </c>
      <c r="AH97" s="15">
        <v>92</v>
      </c>
      <c r="AI97" s="17">
        <f t="shared" si="38"/>
        <v>2.13953488372093</v>
      </c>
      <c r="AJ97" s="15">
        <v>57</v>
      </c>
      <c r="AK97" s="17">
        <f t="shared" si="39"/>
        <v>1.3255813953488371</v>
      </c>
      <c r="AL97" s="15">
        <v>22</v>
      </c>
      <c r="AM97" s="17">
        <f t="shared" si="40"/>
        <v>0.51162790697674421</v>
      </c>
      <c r="AN97" s="15">
        <v>7</v>
      </c>
      <c r="AO97" s="17">
        <f t="shared" si="41"/>
        <v>0.16279069767441862</v>
      </c>
      <c r="AP97" s="4">
        <v>28</v>
      </c>
      <c r="AQ97" s="17">
        <f t="shared" si="42"/>
        <v>0.65116279069767447</v>
      </c>
      <c r="AR97" s="15">
        <v>94</v>
      </c>
      <c r="AS97" s="17">
        <f t="shared" si="43"/>
        <v>2.1860465116279069</v>
      </c>
      <c r="AT97" s="19">
        <v>-0.32441935371494185</v>
      </c>
      <c r="AU97" s="19">
        <v>-1.1842463517968279E-2</v>
      </c>
      <c r="AV97" s="19">
        <v>-4.9415477714445301E-2</v>
      </c>
      <c r="AW97" s="19">
        <v>-0.27500387600049653</v>
      </c>
      <c r="AX97" s="19">
        <v>101.28848855180195</v>
      </c>
      <c r="AY97" s="19">
        <v>121.80298392511938</v>
      </c>
      <c r="AZ97" s="19">
        <v>4.4129864376486019</v>
      </c>
      <c r="BA97" s="19">
        <v>6.4186046511627906</v>
      </c>
      <c r="BB97" s="19">
        <v>10.074984409935055</v>
      </c>
      <c r="BC97" s="18">
        <v>0.49890650628758887</v>
      </c>
      <c r="BD97" s="18">
        <v>0.48566308243727596</v>
      </c>
      <c r="BE97" s="19">
        <v>10.926249728290584</v>
      </c>
      <c r="BF97" s="18">
        <v>0.58781362007168458</v>
      </c>
      <c r="BG97" s="18">
        <v>0.1111111111111111</v>
      </c>
      <c r="BH97" s="19">
        <v>1.2658494904955802</v>
      </c>
      <c r="BI97" s="19">
        <v>7.2786345703495865</v>
      </c>
      <c r="BJ97" s="19">
        <v>4.1774904821874834</v>
      </c>
      <c r="BK97" s="19">
        <v>5.9171597633136095</v>
      </c>
      <c r="BL97" s="19">
        <v>1.1086890130641913</v>
      </c>
      <c r="BM97" s="19">
        <v>0.51803741525231661</v>
      </c>
      <c r="BN97" s="19">
        <v>8.732534930139721</v>
      </c>
      <c r="BO97" s="20" t="s">
        <v>257</v>
      </c>
      <c r="BP97" s="21"/>
      <c r="BQ97" s="31" t="s">
        <v>305</v>
      </c>
      <c r="BR97" s="31">
        <v>585.16999999999996</v>
      </c>
      <c r="BS97" s="31">
        <v>796.47</v>
      </c>
      <c r="BT97" s="31">
        <v>211.3</v>
      </c>
      <c r="BU97" s="35">
        <f t="shared" si="44"/>
        <v>13.608604651162789</v>
      </c>
      <c r="BV97" s="35">
        <f t="shared" si="45"/>
        <v>18.522558139534883</v>
      </c>
      <c r="BW97" s="35">
        <f t="shared" si="46"/>
        <v>4.9139534883720932</v>
      </c>
      <c r="BX97" s="36">
        <f t="shared" si="47"/>
        <v>21.360792127397449</v>
      </c>
      <c r="BY97" s="36">
        <f t="shared" si="48"/>
        <v>29.073995771670191</v>
      </c>
      <c r="BZ97" s="36">
        <f t="shared" si="49"/>
        <v>7.7132036442727427</v>
      </c>
      <c r="CA97" s="30">
        <v>13</v>
      </c>
      <c r="CB97" s="30">
        <v>30</v>
      </c>
    </row>
    <row r="98" spans="1:80" x14ac:dyDescent="0.4">
      <c r="A98" s="11" t="s">
        <v>53</v>
      </c>
      <c r="B98" s="11" t="s">
        <v>263</v>
      </c>
      <c r="C98" s="11" t="s">
        <v>177</v>
      </c>
      <c r="D98" s="15">
        <v>36</v>
      </c>
      <c r="E98" s="15">
        <v>12</v>
      </c>
      <c r="F98" s="15">
        <v>7</v>
      </c>
      <c r="G98" s="16">
        <v>26172</v>
      </c>
      <c r="H98" s="16">
        <v>136</v>
      </c>
      <c r="I98" s="17">
        <f t="shared" si="50"/>
        <v>3.7777777777777777</v>
      </c>
      <c r="J98" s="15">
        <v>53</v>
      </c>
      <c r="K98" s="15">
        <v>162</v>
      </c>
      <c r="L98" s="17">
        <f t="shared" si="51"/>
        <v>1.4722222222222223</v>
      </c>
      <c r="M98" s="17">
        <f t="shared" si="52"/>
        <v>4.5</v>
      </c>
      <c r="N98" s="18">
        <f t="shared" si="53"/>
        <v>0.3271604938271605</v>
      </c>
      <c r="O98" s="16">
        <v>31</v>
      </c>
      <c r="P98" s="15">
        <v>83</v>
      </c>
      <c r="Q98" s="17">
        <f t="shared" si="27"/>
        <v>0.86111111111111116</v>
      </c>
      <c r="R98" s="17">
        <f t="shared" si="28"/>
        <v>2.3055555555555554</v>
      </c>
      <c r="S98" s="18">
        <f t="shared" si="29"/>
        <v>0.37349397590361444</v>
      </c>
      <c r="T98" s="15">
        <v>22</v>
      </c>
      <c r="U98" s="15">
        <v>79</v>
      </c>
      <c r="V98" s="17">
        <f t="shared" si="30"/>
        <v>0.61111111111111116</v>
      </c>
      <c r="W98" s="17">
        <f t="shared" si="31"/>
        <v>2.1944444444444446</v>
      </c>
      <c r="X98" s="18">
        <f t="shared" si="32"/>
        <v>0.27848101265822783</v>
      </c>
      <c r="Y98" s="15">
        <v>8</v>
      </c>
      <c r="Z98" s="15">
        <v>13</v>
      </c>
      <c r="AA98" s="17">
        <f t="shared" si="33"/>
        <v>0.22222222222222221</v>
      </c>
      <c r="AB98" s="17">
        <f t="shared" si="34"/>
        <v>0.3611111111111111</v>
      </c>
      <c r="AC98" s="18">
        <f t="shared" si="35"/>
        <v>0.61538461538461542</v>
      </c>
      <c r="AD98" s="15">
        <v>30</v>
      </c>
      <c r="AE98" s="17">
        <f t="shared" si="36"/>
        <v>0.83333333333333337</v>
      </c>
      <c r="AF98" s="15">
        <v>9</v>
      </c>
      <c r="AG98" s="17">
        <f t="shared" si="37"/>
        <v>0.25</v>
      </c>
      <c r="AH98" s="15">
        <v>21</v>
      </c>
      <c r="AI98" s="17">
        <f t="shared" si="38"/>
        <v>0.58333333333333337</v>
      </c>
      <c r="AJ98" s="15">
        <v>42</v>
      </c>
      <c r="AK98" s="17">
        <f t="shared" si="39"/>
        <v>1.1666666666666667</v>
      </c>
      <c r="AL98" s="15">
        <v>9</v>
      </c>
      <c r="AM98" s="17">
        <f t="shared" si="40"/>
        <v>0.25</v>
      </c>
      <c r="AN98" s="15">
        <v>1</v>
      </c>
      <c r="AO98" s="17">
        <f t="shared" si="41"/>
        <v>2.7777777777777776E-2</v>
      </c>
      <c r="AP98" s="4">
        <v>28</v>
      </c>
      <c r="AQ98" s="17">
        <f t="shared" si="42"/>
        <v>0.77777777777777779</v>
      </c>
      <c r="AR98" s="15">
        <v>32</v>
      </c>
      <c r="AS98" s="17">
        <f t="shared" si="43"/>
        <v>0.88888888888888884</v>
      </c>
      <c r="AT98" s="19">
        <v>-1.183056746390506</v>
      </c>
      <c r="AU98" s="19">
        <v>-0.10848755125084877</v>
      </c>
      <c r="AV98" s="19">
        <v>-0.98990415934365295</v>
      </c>
      <c r="AW98" s="19">
        <v>-0.19315258704685312</v>
      </c>
      <c r="AX98" s="19">
        <v>82.96708579422156</v>
      </c>
      <c r="AY98" s="19">
        <v>123.48482410936057</v>
      </c>
      <c r="AZ98" s="19">
        <v>2.1686510448724063</v>
      </c>
      <c r="BA98" s="19">
        <v>2.1111111111111112</v>
      </c>
      <c r="BB98" s="19">
        <v>6.9692801467216867</v>
      </c>
      <c r="BC98" s="18">
        <v>0.40543763415215839</v>
      </c>
      <c r="BD98" s="18">
        <v>0.39506172839506171</v>
      </c>
      <c r="BE98" s="19">
        <v>14.026900109424204</v>
      </c>
      <c r="BF98" s="18">
        <v>0.48765432098765432</v>
      </c>
      <c r="BG98" s="18">
        <v>8.0246913580246909E-2</v>
      </c>
      <c r="BH98" s="19">
        <v>1.4975373829702268</v>
      </c>
      <c r="BI98" s="19">
        <v>3.4942538935971954</v>
      </c>
      <c r="BJ98" s="19">
        <v>2.4405406339846638</v>
      </c>
      <c r="BK98" s="19">
        <v>9.2125466110989258</v>
      </c>
      <c r="BL98" s="19">
        <v>1.1393800259774194</v>
      </c>
      <c r="BM98" s="19">
        <v>0.15564535427800985</v>
      </c>
      <c r="BN98" s="19">
        <v>14.306151645207439</v>
      </c>
      <c r="BO98" s="20" t="s">
        <v>244</v>
      </c>
      <c r="BP98" s="21"/>
      <c r="BQ98" s="30" t="s">
        <v>306</v>
      </c>
      <c r="BR98" s="30">
        <v>206.31</v>
      </c>
      <c r="BS98" s="30">
        <v>355.61</v>
      </c>
      <c r="BT98" s="30">
        <v>149.30000000000001</v>
      </c>
      <c r="BU98" s="35">
        <f t="shared" si="44"/>
        <v>5.730833333333333</v>
      </c>
      <c r="BV98" s="35">
        <f t="shared" si="45"/>
        <v>9.8780555555555551</v>
      </c>
      <c r="BW98" s="35">
        <f t="shared" si="46"/>
        <v>4.1472222222222221</v>
      </c>
      <c r="BX98" s="36">
        <f t="shared" si="47"/>
        <v>18.918844566712515</v>
      </c>
      <c r="BY98" s="36">
        <f t="shared" si="48"/>
        <v>32.609812012838148</v>
      </c>
      <c r="BZ98" s="36">
        <f t="shared" si="49"/>
        <v>13.690967446125631</v>
      </c>
      <c r="CA98" s="31">
        <v>7</v>
      </c>
      <c r="CB98" s="31">
        <v>29</v>
      </c>
    </row>
    <row r="99" spans="1:80" x14ac:dyDescent="0.4">
      <c r="A99" s="11" t="s">
        <v>53</v>
      </c>
      <c r="B99" s="11" t="s">
        <v>263</v>
      </c>
      <c r="C99" s="11" t="s">
        <v>171</v>
      </c>
      <c r="D99" s="15">
        <v>44</v>
      </c>
      <c r="E99" s="15">
        <v>12</v>
      </c>
      <c r="F99" s="15">
        <v>53</v>
      </c>
      <c r="G99" s="16">
        <v>34012</v>
      </c>
      <c r="H99" s="16">
        <v>141</v>
      </c>
      <c r="I99" s="17">
        <f t="shared" si="50"/>
        <v>3.2045454545454546</v>
      </c>
      <c r="J99" s="15">
        <v>53</v>
      </c>
      <c r="K99" s="15">
        <v>145</v>
      </c>
      <c r="L99" s="17">
        <f t="shared" si="51"/>
        <v>1.2045454545454546</v>
      </c>
      <c r="M99" s="17">
        <f t="shared" si="52"/>
        <v>3.2954545454545454</v>
      </c>
      <c r="N99" s="18">
        <f t="shared" si="53"/>
        <v>0.36551724137931035</v>
      </c>
      <c r="O99" s="16">
        <v>25</v>
      </c>
      <c r="P99" s="15">
        <v>49</v>
      </c>
      <c r="Q99" s="17">
        <f t="shared" si="27"/>
        <v>0.56818181818181823</v>
      </c>
      <c r="R99" s="17">
        <f t="shared" si="28"/>
        <v>1.1136363636363635</v>
      </c>
      <c r="S99" s="18">
        <f t="shared" si="29"/>
        <v>0.51020408163265307</v>
      </c>
      <c r="T99" s="15">
        <v>28</v>
      </c>
      <c r="U99" s="15">
        <v>96</v>
      </c>
      <c r="V99" s="17">
        <f t="shared" si="30"/>
        <v>0.63636363636363635</v>
      </c>
      <c r="W99" s="17">
        <f t="shared" si="31"/>
        <v>2.1818181818181817</v>
      </c>
      <c r="X99" s="18">
        <f t="shared" si="32"/>
        <v>0.29166666666666669</v>
      </c>
      <c r="Y99" s="15">
        <v>7</v>
      </c>
      <c r="Z99" s="15">
        <v>9</v>
      </c>
      <c r="AA99" s="17">
        <f t="shared" si="33"/>
        <v>0.15909090909090909</v>
      </c>
      <c r="AB99" s="17">
        <f t="shared" si="34"/>
        <v>0.20454545454545456</v>
      </c>
      <c r="AC99" s="18">
        <f t="shared" si="35"/>
        <v>0.77777777777777779</v>
      </c>
      <c r="AD99" s="15">
        <v>85</v>
      </c>
      <c r="AE99" s="17">
        <f t="shared" si="36"/>
        <v>1.9318181818181819</v>
      </c>
      <c r="AF99" s="15">
        <v>23</v>
      </c>
      <c r="AG99" s="17">
        <f t="shared" si="37"/>
        <v>0.52272727272727271</v>
      </c>
      <c r="AH99" s="15">
        <v>62</v>
      </c>
      <c r="AI99" s="17">
        <f t="shared" si="38"/>
        <v>1.4090909090909092</v>
      </c>
      <c r="AJ99" s="15">
        <v>19</v>
      </c>
      <c r="AK99" s="17">
        <f t="shared" si="39"/>
        <v>0.43181818181818182</v>
      </c>
      <c r="AL99" s="15">
        <v>15</v>
      </c>
      <c r="AM99" s="17">
        <f t="shared" si="40"/>
        <v>0.34090909090909088</v>
      </c>
      <c r="AN99" s="15">
        <v>3</v>
      </c>
      <c r="AO99" s="17">
        <f t="shared" si="41"/>
        <v>6.8181818181818177E-2</v>
      </c>
      <c r="AP99" s="4">
        <v>13</v>
      </c>
      <c r="AQ99" s="17">
        <f t="shared" si="42"/>
        <v>0.29545454545454547</v>
      </c>
      <c r="AR99" s="15">
        <v>82</v>
      </c>
      <c r="AS99" s="17">
        <f t="shared" si="43"/>
        <v>1.8636363636363635</v>
      </c>
      <c r="AT99" s="19">
        <v>-0.13591888190257836</v>
      </c>
      <c r="AU99" s="19">
        <v>-9.5908889970065872E-3</v>
      </c>
      <c r="AV99" s="19">
        <v>-0.11741992326901354</v>
      </c>
      <c r="AW99" s="19">
        <v>-1.8498958633564832E-2</v>
      </c>
      <c r="AX99" s="19">
        <v>99.111253468649636</v>
      </c>
      <c r="AY99" s="19">
        <v>119.88891091847081</v>
      </c>
      <c r="AZ99" s="19">
        <v>3.5992823643127672</v>
      </c>
      <c r="BA99" s="19">
        <v>3.5454545454545454</v>
      </c>
      <c r="BB99" s="19">
        <v>11.007879571915796</v>
      </c>
      <c r="BC99" s="18">
        <v>0.47328141783028999</v>
      </c>
      <c r="BD99" s="18">
        <v>0.46206896551724136</v>
      </c>
      <c r="BE99" s="19">
        <v>10.916644862622501</v>
      </c>
      <c r="BF99" s="18">
        <v>0.66206896551724137</v>
      </c>
      <c r="BG99" s="18">
        <v>6.2068965517241378E-2</v>
      </c>
      <c r="BH99" s="19">
        <v>3.5992989191670497</v>
      </c>
      <c r="BI99" s="19">
        <v>9.7024579560155235</v>
      </c>
      <c r="BJ99" s="19">
        <v>6.5033725087142003</v>
      </c>
      <c r="BK99" s="19">
        <v>3.8926449498053675</v>
      </c>
      <c r="BL99" s="19">
        <v>1.4612418185680065</v>
      </c>
      <c r="BM99" s="19">
        <v>0.43914944072488937</v>
      </c>
      <c r="BN99" s="19">
        <v>8.0266732526549767</v>
      </c>
      <c r="BO99" s="20" t="s">
        <v>257</v>
      </c>
      <c r="BP99" s="21">
        <v>35000</v>
      </c>
      <c r="BQ99" s="31" t="s">
        <v>305</v>
      </c>
      <c r="BR99" s="31">
        <v>320.93</v>
      </c>
      <c r="BS99" s="31">
        <v>427.23</v>
      </c>
      <c r="BT99" s="31">
        <v>106.3</v>
      </c>
      <c r="BU99" s="35">
        <f t="shared" si="44"/>
        <v>7.2938636363636373</v>
      </c>
      <c r="BV99" s="35">
        <f t="shared" si="45"/>
        <v>9.7097727272727283</v>
      </c>
      <c r="BW99" s="35">
        <f t="shared" si="46"/>
        <v>2.415909090909091</v>
      </c>
      <c r="BX99" s="36">
        <f t="shared" si="47"/>
        <v>22.645889685993179</v>
      </c>
      <c r="BY99" s="36">
        <f t="shared" si="48"/>
        <v>30.146771727625545</v>
      </c>
      <c r="BZ99" s="36">
        <f t="shared" si="49"/>
        <v>7.5008820416323649</v>
      </c>
      <c r="CA99" s="31">
        <v>12</v>
      </c>
      <c r="CB99" s="31">
        <v>32</v>
      </c>
    </row>
    <row r="100" spans="1:80" x14ac:dyDescent="0.4">
      <c r="A100" s="11" t="s">
        <v>53</v>
      </c>
      <c r="B100" s="11" t="s">
        <v>263</v>
      </c>
      <c r="C100" s="11" t="s">
        <v>170</v>
      </c>
      <c r="D100" s="15">
        <v>54</v>
      </c>
      <c r="E100" s="15">
        <v>20</v>
      </c>
      <c r="F100" s="15">
        <v>54</v>
      </c>
      <c r="G100" s="16">
        <v>67716</v>
      </c>
      <c r="H100" s="16">
        <v>245</v>
      </c>
      <c r="I100" s="17">
        <f t="shared" si="50"/>
        <v>4.5370370370370372</v>
      </c>
      <c r="J100" s="15">
        <v>81</v>
      </c>
      <c r="K100" s="15">
        <v>275</v>
      </c>
      <c r="L100" s="17">
        <f t="shared" si="51"/>
        <v>1.5</v>
      </c>
      <c r="M100" s="17">
        <f t="shared" si="52"/>
        <v>5.0925925925925926</v>
      </c>
      <c r="N100" s="18">
        <f t="shared" si="53"/>
        <v>0.29454545454545455</v>
      </c>
      <c r="O100" s="16">
        <v>44</v>
      </c>
      <c r="P100" s="15">
        <v>128</v>
      </c>
      <c r="Q100" s="17">
        <f t="shared" si="27"/>
        <v>0.81481481481481477</v>
      </c>
      <c r="R100" s="17">
        <f t="shared" si="28"/>
        <v>2.3703703703703702</v>
      </c>
      <c r="S100" s="18">
        <f t="shared" si="29"/>
        <v>0.34375</v>
      </c>
      <c r="T100" s="15">
        <v>37</v>
      </c>
      <c r="U100" s="15">
        <v>147</v>
      </c>
      <c r="V100" s="17">
        <f t="shared" si="30"/>
        <v>0.68518518518518523</v>
      </c>
      <c r="W100" s="17">
        <f t="shared" si="31"/>
        <v>2.7222222222222223</v>
      </c>
      <c r="X100" s="18">
        <f t="shared" si="32"/>
        <v>0.25170068027210885</v>
      </c>
      <c r="Y100" s="15">
        <v>46</v>
      </c>
      <c r="Z100" s="15">
        <v>63</v>
      </c>
      <c r="AA100" s="17">
        <f t="shared" si="33"/>
        <v>0.85185185185185186</v>
      </c>
      <c r="AB100" s="17">
        <f t="shared" si="34"/>
        <v>1.1666666666666667</v>
      </c>
      <c r="AC100" s="18">
        <f t="shared" si="35"/>
        <v>0.73015873015873012</v>
      </c>
      <c r="AD100" s="15">
        <v>116</v>
      </c>
      <c r="AE100" s="17">
        <f t="shared" si="36"/>
        <v>2.1481481481481484</v>
      </c>
      <c r="AF100" s="15">
        <v>31</v>
      </c>
      <c r="AG100" s="17">
        <f t="shared" si="37"/>
        <v>0.57407407407407407</v>
      </c>
      <c r="AH100" s="15">
        <v>85</v>
      </c>
      <c r="AI100" s="17">
        <f t="shared" si="38"/>
        <v>1.5740740740740742</v>
      </c>
      <c r="AJ100" s="15">
        <v>109</v>
      </c>
      <c r="AK100" s="17">
        <f t="shared" si="39"/>
        <v>2.0185185185185186</v>
      </c>
      <c r="AL100" s="15">
        <v>32</v>
      </c>
      <c r="AM100" s="17">
        <f t="shared" si="40"/>
        <v>0.59259259259259256</v>
      </c>
      <c r="AN100" s="15">
        <v>3</v>
      </c>
      <c r="AO100" s="17">
        <f t="shared" si="41"/>
        <v>5.5555555555555552E-2</v>
      </c>
      <c r="AP100" s="4">
        <v>52</v>
      </c>
      <c r="AQ100" s="17">
        <f t="shared" si="42"/>
        <v>0.96296296296296291</v>
      </c>
      <c r="AR100" s="15">
        <v>117</v>
      </c>
      <c r="AS100" s="17">
        <f t="shared" si="43"/>
        <v>2.1666666666666665</v>
      </c>
      <c r="AT100" s="19">
        <v>-1.463106458946863</v>
      </c>
      <c r="AU100" s="19">
        <v>-5.1855624984825918E-2</v>
      </c>
      <c r="AV100" s="19">
        <v>-1.2408494663057836</v>
      </c>
      <c r="AW100" s="19">
        <v>-0.22225699264107945</v>
      </c>
      <c r="AX100" s="19">
        <v>89.364859334759316</v>
      </c>
      <c r="AY100" s="19">
        <v>121.32927861140045</v>
      </c>
      <c r="AZ100" s="19">
        <v>3.2914468219911295</v>
      </c>
      <c r="BA100" s="19">
        <v>4.4814814814814818</v>
      </c>
      <c r="BB100" s="19">
        <v>8.5769980506822616</v>
      </c>
      <c r="BC100" s="18">
        <v>0.40466437632135305</v>
      </c>
      <c r="BD100" s="18">
        <v>0.36181818181818182</v>
      </c>
      <c r="BE100" s="19">
        <v>14.738356160570138</v>
      </c>
      <c r="BF100" s="18">
        <v>0.53454545454545455</v>
      </c>
      <c r="BG100" s="18">
        <v>0.2290909090909091</v>
      </c>
      <c r="BH100" s="19">
        <v>2.9904306220095696</v>
      </c>
      <c r="BI100" s="19">
        <v>8.1995678345423677</v>
      </c>
      <c r="BJ100" s="19">
        <v>5.4709110245931596</v>
      </c>
      <c r="BK100" s="19">
        <v>13.679718875502008</v>
      </c>
      <c r="BL100" s="19">
        <v>1.5657473521376746</v>
      </c>
      <c r="BM100" s="19">
        <v>0.27070376210553387</v>
      </c>
      <c r="BN100" s="19">
        <v>14.659449706811005</v>
      </c>
      <c r="BO100" s="20" t="s">
        <v>257</v>
      </c>
      <c r="BP100" s="21">
        <v>123945</v>
      </c>
      <c r="BQ100" s="31" t="s">
        <v>306</v>
      </c>
      <c r="BR100" s="31">
        <v>588.65</v>
      </c>
      <c r="BS100" s="31">
        <v>863.25</v>
      </c>
      <c r="BT100" s="31">
        <v>274.60000000000002</v>
      </c>
      <c r="BU100" s="35">
        <f t="shared" si="44"/>
        <v>10.900925925925925</v>
      </c>
      <c r="BV100" s="35">
        <f t="shared" si="45"/>
        <v>15.986111111111111</v>
      </c>
      <c r="BW100" s="35">
        <f t="shared" si="46"/>
        <v>5.0851851851851855</v>
      </c>
      <c r="BX100" s="36">
        <f t="shared" si="47"/>
        <v>20.863016126174021</v>
      </c>
      <c r="BY100" s="36">
        <f t="shared" si="48"/>
        <v>30.595427963849016</v>
      </c>
      <c r="BZ100" s="36">
        <f t="shared" si="49"/>
        <v>9.7324118376749951</v>
      </c>
      <c r="CA100" s="30">
        <v>14</v>
      </c>
      <c r="CB100" s="30">
        <v>40</v>
      </c>
    </row>
    <row r="101" spans="1:80" x14ac:dyDescent="0.4">
      <c r="A101" s="11" t="s">
        <v>53</v>
      </c>
      <c r="B101" s="11" t="s">
        <v>263</v>
      </c>
      <c r="C101" s="11" t="s">
        <v>168</v>
      </c>
      <c r="D101" s="15">
        <v>54</v>
      </c>
      <c r="E101" s="15">
        <v>13</v>
      </c>
      <c r="F101" s="15">
        <v>14</v>
      </c>
      <c r="G101" s="16">
        <v>42876</v>
      </c>
      <c r="H101" s="16">
        <v>523</v>
      </c>
      <c r="I101" s="17">
        <f t="shared" si="50"/>
        <v>9.6851851851851851</v>
      </c>
      <c r="J101" s="15">
        <v>224</v>
      </c>
      <c r="K101" s="15">
        <v>428</v>
      </c>
      <c r="L101" s="17">
        <f t="shared" si="51"/>
        <v>4.1481481481481479</v>
      </c>
      <c r="M101" s="17">
        <f t="shared" si="52"/>
        <v>7.9259259259259256</v>
      </c>
      <c r="N101" s="18">
        <f t="shared" si="53"/>
        <v>0.52336448598130836</v>
      </c>
      <c r="O101" s="16">
        <v>192</v>
      </c>
      <c r="P101" s="15">
        <v>321</v>
      </c>
      <c r="Q101" s="17">
        <f t="shared" si="27"/>
        <v>3.5555555555555554</v>
      </c>
      <c r="R101" s="17">
        <f t="shared" si="28"/>
        <v>5.9444444444444446</v>
      </c>
      <c r="S101" s="18">
        <f t="shared" si="29"/>
        <v>0.59813084112149528</v>
      </c>
      <c r="T101" s="15">
        <v>32</v>
      </c>
      <c r="U101" s="15">
        <v>107</v>
      </c>
      <c r="V101" s="17">
        <f t="shared" si="30"/>
        <v>0.59259259259259256</v>
      </c>
      <c r="W101" s="17">
        <f t="shared" si="31"/>
        <v>1.9814814814814814</v>
      </c>
      <c r="X101" s="18">
        <f t="shared" si="32"/>
        <v>0.29906542056074764</v>
      </c>
      <c r="Y101" s="15">
        <v>43</v>
      </c>
      <c r="Z101" s="15">
        <v>78</v>
      </c>
      <c r="AA101" s="17">
        <f t="shared" si="33"/>
        <v>0.79629629629629628</v>
      </c>
      <c r="AB101" s="17">
        <f t="shared" si="34"/>
        <v>1.4444444444444444</v>
      </c>
      <c r="AC101" s="18">
        <f t="shared" si="35"/>
        <v>0.55128205128205132</v>
      </c>
      <c r="AD101" s="15">
        <v>247</v>
      </c>
      <c r="AE101" s="17">
        <f t="shared" si="36"/>
        <v>4.5740740740740744</v>
      </c>
      <c r="AF101" s="15">
        <v>82</v>
      </c>
      <c r="AG101" s="17">
        <f t="shared" si="37"/>
        <v>1.5185185185185186</v>
      </c>
      <c r="AH101" s="15">
        <v>165</v>
      </c>
      <c r="AI101" s="17">
        <f t="shared" si="38"/>
        <v>3.0555555555555554</v>
      </c>
      <c r="AJ101" s="15">
        <v>35</v>
      </c>
      <c r="AK101" s="17">
        <f t="shared" si="39"/>
        <v>0.64814814814814814</v>
      </c>
      <c r="AL101" s="15">
        <v>24</v>
      </c>
      <c r="AM101" s="17">
        <f t="shared" si="40"/>
        <v>0.44444444444444442</v>
      </c>
      <c r="AN101" s="15">
        <v>21</v>
      </c>
      <c r="AO101" s="17">
        <f t="shared" si="41"/>
        <v>0.3888888888888889</v>
      </c>
      <c r="AP101" s="4">
        <v>60</v>
      </c>
      <c r="AQ101" s="17">
        <f t="shared" si="42"/>
        <v>1.1111111111111112</v>
      </c>
      <c r="AR101" s="15">
        <v>59</v>
      </c>
      <c r="AS101" s="17">
        <f t="shared" si="43"/>
        <v>1.0925925925925926</v>
      </c>
      <c r="AT101" s="19">
        <v>0.82833392462619315</v>
      </c>
      <c r="AU101" s="19">
        <v>4.6366298607679435E-2</v>
      </c>
      <c r="AV101" s="19">
        <v>0.27545722603516964</v>
      </c>
      <c r="AW101" s="19">
        <v>0.55287669859102351</v>
      </c>
      <c r="AX101" s="19">
        <v>103.96048179651787</v>
      </c>
      <c r="AY101" s="19">
        <v>112.82005416026001</v>
      </c>
      <c r="AZ101" s="19">
        <v>21.402091101078597</v>
      </c>
      <c r="BA101" s="19">
        <v>10.203703703703704</v>
      </c>
      <c r="BB101" s="19">
        <v>30.842429331094316</v>
      </c>
      <c r="BC101" s="18">
        <v>0.56562554075099503</v>
      </c>
      <c r="BD101" s="18">
        <v>0.56074766355140182</v>
      </c>
      <c r="BE101" s="19">
        <v>34.274968251097953</v>
      </c>
      <c r="BF101" s="18">
        <v>0.25</v>
      </c>
      <c r="BG101" s="18">
        <v>0.1822429906542056</v>
      </c>
      <c r="BH101" s="19">
        <v>12.492890225075161</v>
      </c>
      <c r="BI101" s="19">
        <v>25.138132769968312</v>
      </c>
      <c r="BJ101" s="19">
        <v>18.398213312510165</v>
      </c>
      <c r="BK101" s="19">
        <v>10.548523206751057</v>
      </c>
      <c r="BL101" s="19">
        <v>1.8546415424250409</v>
      </c>
      <c r="BM101" s="19">
        <v>2.9927425991969474</v>
      </c>
      <c r="BN101" s="19">
        <v>11.487210905192221</v>
      </c>
      <c r="BO101" s="20" t="s">
        <v>239</v>
      </c>
      <c r="BP101" s="21">
        <v>45000</v>
      </c>
      <c r="BQ101" s="31" t="s">
        <v>305</v>
      </c>
      <c r="BR101" s="31">
        <v>774.25</v>
      </c>
      <c r="BS101" s="31">
        <v>1088.75</v>
      </c>
      <c r="BT101" s="31">
        <v>314.5</v>
      </c>
      <c r="BU101" s="35">
        <f t="shared" si="44"/>
        <v>14.337962962962964</v>
      </c>
      <c r="BV101" s="35">
        <f t="shared" si="45"/>
        <v>20.162037037037038</v>
      </c>
      <c r="BW101" s="35">
        <f t="shared" si="46"/>
        <v>5.8240740740740744</v>
      </c>
      <c r="BX101" s="36">
        <f t="shared" si="47"/>
        <v>43.338930870417016</v>
      </c>
      <c r="BY101" s="36">
        <f t="shared" si="48"/>
        <v>60.943184998600614</v>
      </c>
      <c r="BZ101" s="36">
        <f t="shared" si="49"/>
        <v>17.604254128183598</v>
      </c>
      <c r="CA101" s="30">
        <v>14</v>
      </c>
      <c r="CB101" s="30">
        <v>40</v>
      </c>
    </row>
    <row r="102" spans="1:80" x14ac:dyDescent="0.4">
      <c r="A102" s="11" t="s">
        <v>53</v>
      </c>
      <c r="B102" s="11" t="s">
        <v>263</v>
      </c>
      <c r="C102" s="11" t="s">
        <v>167</v>
      </c>
      <c r="D102" s="15">
        <v>40</v>
      </c>
      <c r="E102" s="15">
        <v>22</v>
      </c>
      <c r="F102" s="15">
        <v>53</v>
      </c>
      <c r="G102" s="16">
        <v>54920</v>
      </c>
      <c r="H102" s="16">
        <v>308</v>
      </c>
      <c r="I102" s="17">
        <f t="shared" si="50"/>
        <v>7.7</v>
      </c>
      <c r="J102" s="15">
        <v>117</v>
      </c>
      <c r="K102" s="15">
        <v>290</v>
      </c>
      <c r="L102" s="17">
        <f t="shared" si="51"/>
        <v>2.9249999999999998</v>
      </c>
      <c r="M102" s="17">
        <f t="shared" si="52"/>
        <v>7.25</v>
      </c>
      <c r="N102" s="18">
        <f t="shared" si="53"/>
        <v>0.40344827586206894</v>
      </c>
      <c r="O102" s="16">
        <v>108</v>
      </c>
      <c r="P102" s="15">
        <v>243</v>
      </c>
      <c r="Q102" s="17">
        <f t="shared" si="27"/>
        <v>2.7</v>
      </c>
      <c r="R102" s="17">
        <f t="shared" si="28"/>
        <v>6.0750000000000002</v>
      </c>
      <c r="S102" s="18">
        <f t="shared" si="29"/>
        <v>0.44444444444444442</v>
      </c>
      <c r="T102" s="15">
        <v>9</v>
      </c>
      <c r="U102" s="15">
        <v>47</v>
      </c>
      <c r="V102" s="17">
        <f t="shared" si="30"/>
        <v>0.22500000000000001</v>
      </c>
      <c r="W102" s="17">
        <f t="shared" si="31"/>
        <v>1.175</v>
      </c>
      <c r="X102" s="18">
        <f t="shared" si="32"/>
        <v>0.19148936170212766</v>
      </c>
      <c r="Y102" s="15">
        <v>65</v>
      </c>
      <c r="Z102" s="15">
        <v>107</v>
      </c>
      <c r="AA102" s="17">
        <f t="shared" si="33"/>
        <v>1.625</v>
      </c>
      <c r="AB102" s="17">
        <f t="shared" si="34"/>
        <v>2.6749999999999998</v>
      </c>
      <c r="AC102" s="18">
        <f t="shared" si="35"/>
        <v>0.60747663551401865</v>
      </c>
      <c r="AD102" s="15">
        <v>239</v>
      </c>
      <c r="AE102" s="17">
        <f t="shared" si="36"/>
        <v>5.9749999999999996</v>
      </c>
      <c r="AF102" s="15">
        <v>94</v>
      </c>
      <c r="AG102" s="17">
        <f t="shared" si="37"/>
        <v>2.35</v>
      </c>
      <c r="AH102" s="15">
        <v>145</v>
      </c>
      <c r="AI102" s="17">
        <f t="shared" si="38"/>
        <v>3.625</v>
      </c>
      <c r="AJ102" s="15">
        <v>43</v>
      </c>
      <c r="AK102" s="17">
        <f t="shared" si="39"/>
        <v>1.075</v>
      </c>
      <c r="AL102" s="15">
        <v>23</v>
      </c>
      <c r="AM102" s="17">
        <f t="shared" si="40"/>
        <v>0.57499999999999996</v>
      </c>
      <c r="AN102" s="15">
        <v>26</v>
      </c>
      <c r="AO102" s="17">
        <f t="shared" si="41"/>
        <v>0.65</v>
      </c>
      <c r="AP102" s="4">
        <v>51</v>
      </c>
      <c r="AQ102" s="17">
        <f t="shared" si="42"/>
        <v>1.2749999999999999</v>
      </c>
      <c r="AR102" s="15">
        <v>102</v>
      </c>
      <c r="AS102" s="17">
        <f t="shared" si="43"/>
        <v>2.5499999999999998</v>
      </c>
      <c r="AT102" s="19">
        <v>-0.37487635724869384</v>
      </c>
      <c r="AU102" s="19">
        <v>-1.638206950831874E-2</v>
      </c>
      <c r="AV102" s="19">
        <v>-0.66180636751976996</v>
      </c>
      <c r="AW102" s="19">
        <v>0.28693001027107612</v>
      </c>
      <c r="AX102" s="19">
        <v>95.741007978094999</v>
      </c>
      <c r="AY102" s="19">
        <v>116.85468240586283</v>
      </c>
      <c r="AZ102" s="19">
        <v>6.3624672908845872</v>
      </c>
      <c r="BA102" s="19">
        <v>9.3249999999999993</v>
      </c>
      <c r="BB102" s="19">
        <v>16.300072833211946</v>
      </c>
      <c r="BC102" s="18">
        <v>0.45686483920730986</v>
      </c>
      <c r="BD102" s="18">
        <v>0.41896551724137931</v>
      </c>
      <c r="BE102" s="19">
        <v>14.726909988005165</v>
      </c>
      <c r="BF102" s="18">
        <v>0.16206896551724137</v>
      </c>
      <c r="BG102" s="18">
        <v>0.36896551724137933</v>
      </c>
      <c r="BH102" s="19">
        <v>8.2818410356412855</v>
      </c>
      <c r="BI102" s="19">
        <v>12.775180320936025</v>
      </c>
      <c r="BJ102" s="19">
        <v>10.295005020071311</v>
      </c>
      <c r="BK102" s="19">
        <v>5.0941831536547797</v>
      </c>
      <c r="BL102" s="19">
        <v>1.3875872843676937</v>
      </c>
      <c r="BM102" s="19">
        <v>2.1427592764478822</v>
      </c>
      <c r="BN102" s="19">
        <v>13.141620284477428</v>
      </c>
      <c r="BO102" s="20" t="s">
        <v>257</v>
      </c>
      <c r="BP102" s="21"/>
      <c r="BQ102" s="30" t="s">
        <v>307</v>
      </c>
      <c r="BR102" s="30">
        <v>669.08</v>
      </c>
      <c r="BS102" s="30">
        <v>948.38</v>
      </c>
      <c r="BT102" s="30">
        <v>279.3</v>
      </c>
      <c r="BU102" s="35">
        <f t="shared" si="44"/>
        <v>16.726999999999997</v>
      </c>
      <c r="BV102" s="35">
        <f t="shared" si="45"/>
        <v>23.709499999999998</v>
      </c>
      <c r="BW102" s="35">
        <f t="shared" si="46"/>
        <v>6.9824999999999999</v>
      </c>
      <c r="BX102" s="36">
        <f t="shared" si="47"/>
        <v>29.238747268754551</v>
      </c>
      <c r="BY102" s="36">
        <f t="shared" si="48"/>
        <v>41.444136926438453</v>
      </c>
      <c r="BZ102" s="36">
        <f t="shared" si="49"/>
        <v>12.205389657683904</v>
      </c>
      <c r="CA102" s="30">
        <v>10</v>
      </c>
      <c r="CB102" s="30">
        <v>30</v>
      </c>
    </row>
    <row r="103" spans="1:80" x14ac:dyDescent="0.4">
      <c r="A103" s="11" t="s">
        <v>53</v>
      </c>
      <c r="B103" s="11" t="s">
        <v>263</v>
      </c>
      <c r="C103" s="11" t="s">
        <v>150</v>
      </c>
      <c r="D103" s="15">
        <v>54</v>
      </c>
      <c r="E103" s="15">
        <v>25</v>
      </c>
      <c r="F103" s="15">
        <v>36</v>
      </c>
      <c r="G103" s="16">
        <v>82944</v>
      </c>
      <c r="H103" s="16">
        <v>588</v>
      </c>
      <c r="I103" s="17">
        <f t="shared" si="50"/>
        <v>10.888888888888889</v>
      </c>
      <c r="J103" s="15">
        <v>190</v>
      </c>
      <c r="K103" s="15">
        <v>527</v>
      </c>
      <c r="L103" s="17">
        <f t="shared" si="51"/>
        <v>3.5185185185185186</v>
      </c>
      <c r="M103" s="17">
        <f t="shared" si="52"/>
        <v>9.7592592592592595</v>
      </c>
      <c r="N103" s="18">
        <f t="shared" si="53"/>
        <v>0.36053130929791272</v>
      </c>
      <c r="O103" s="16">
        <v>106</v>
      </c>
      <c r="P103" s="15">
        <v>240</v>
      </c>
      <c r="Q103" s="17">
        <f t="shared" si="27"/>
        <v>1.962962962962963</v>
      </c>
      <c r="R103" s="17">
        <f t="shared" si="28"/>
        <v>4.4444444444444446</v>
      </c>
      <c r="S103" s="18">
        <f t="shared" si="29"/>
        <v>0.44166666666666665</v>
      </c>
      <c r="T103" s="15">
        <v>84</v>
      </c>
      <c r="U103" s="15">
        <v>287</v>
      </c>
      <c r="V103" s="17">
        <f t="shared" si="30"/>
        <v>1.5555555555555556</v>
      </c>
      <c r="W103" s="17">
        <f t="shared" si="31"/>
        <v>5.3148148148148149</v>
      </c>
      <c r="X103" s="18">
        <f t="shared" si="32"/>
        <v>0.29268292682926828</v>
      </c>
      <c r="Y103" s="15">
        <v>124</v>
      </c>
      <c r="Z103" s="15">
        <v>157</v>
      </c>
      <c r="AA103" s="17">
        <f t="shared" si="33"/>
        <v>2.2962962962962963</v>
      </c>
      <c r="AB103" s="17">
        <f t="shared" si="34"/>
        <v>2.9074074074074074</v>
      </c>
      <c r="AC103" s="18">
        <f t="shared" si="35"/>
        <v>0.78980891719745228</v>
      </c>
      <c r="AD103" s="15">
        <v>180</v>
      </c>
      <c r="AE103" s="17">
        <f t="shared" si="36"/>
        <v>3.3333333333333335</v>
      </c>
      <c r="AF103" s="15">
        <v>15</v>
      </c>
      <c r="AG103" s="17">
        <f t="shared" si="37"/>
        <v>0.27777777777777779</v>
      </c>
      <c r="AH103" s="15">
        <v>165</v>
      </c>
      <c r="AI103" s="17">
        <f t="shared" si="38"/>
        <v>3.0555555555555554</v>
      </c>
      <c r="AJ103" s="15">
        <v>270</v>
      </c>
      <c r="AK103" s="17">
        <f t="shared" si="39"/>
        <v>5</v>
      </c>
      <c r="AL103" s="15">
        <v>33</v>
      </c>
      <c r="AM103" s="17">
        <f t="shared" si="40"/>
        <v>0.61111111111111116</v>
      </c>
      <c r="AN103" s="15">
        <v>3</v>
      </c>
      <c r="AO103" s="17">
        <f t="shared" si="41"/>
        <v>5.5555555555555552E-2</v>
      </c>
      <c r="AP103" s="4">
        <v>110</v>
      </c>
      <c r="AQ103" s="17">
        <f t="shared" si="42"/>
        <v>2.0370370370370372</v>
      </c>
      <c r="AR103" s="15">
        <v>121</v>
      </c>
      <c r="AS103" s="17">
        <f t="shared" si="43"/>
        <v>2.2407407407407409</v>
      </c>
      <c r="AT103" s="19">
        <v>9.5712417393456067E-3</v>
      </c>
      <c r="AU103" s="19">
        <v>2.7694565218013906E-4</v>
      </c>
      <c r="AV103" s="19">
        <v>8.5089036090468681E-2</v>
      </c>
      <c r="AW103" s="19">
        <v>-7.5517794351123074E-2</v>
      </c>
      <c r="AX103" s="19">
        <v>102.31180316363209</v>
      </c>
      <c r="AY103" s="19">
        <v>120.0817309484848</v>
      </c>
      <c r="AZ103" s="19">
        <v>9.8236031806029782</v>
      </c>
      <c r="BA103" s="19">
        <v>11</v>
      </c>
      <c r="BB103" s="19">
        <v>17.187499999999996</v>
      </c>
      <c r="BC103" s="18">
        <v>0.49322238625687825</v>
      </c>
      <c r="BD103" s="18">
        <v>0.44022770398481975</v>
      </c>
      <c r="BE103" s="19">
        <v>23.950997334074351</v>
      </c>
      <c r="BF103" s="18">
        <v>0.54459203036053128</v>
      </c>
      <c r="BG103" s="18">
        <v>0.29791271347248577</v>
      </c>
      <c r="BH103" s="19">
        <v>1.1813256048387097</v>
      </c>
      <c r="BI103" s="19">
        <v>12.994581653225806</v>
      </c>
      <c r="BJ103" s="19">
        <v>6.9307540660423852</v>
      </c>
      <c r="BK103" s="19">
        <v>30.501581563488475</v>
      </c>
      <c r="BL103" s="19">
        <v>1.3182323593375904</v>
      </c>
      <c r="BM103" s="19">
        <v>0.22100424328147095</v>
      </c>
      <c r="BN103" s="19">
        <v>15.578971221391344</v>
      </c>
      <c r="BO103" s="20" t="s">
        <v>257</v>
      </c>
      <c r="BP103" s="21"/>
      <c r="BQ103" s="31" t="s">
        <v>306</v>
      </c>
      <c r="BR103" s="31">
        <v>1055.5</v>
      </c>
      <c r="BS103" s="31">
        <v>1563.6</v>
      </c>
      <c r="BT103" s="31">
        <v>508.1</v>
      </c>
      <c r="BU103" s="35">
        <f t="shared" si="44"/>
        <v>19.546296296296291</v>
      </c>
      <c r="BV103" s="35">
        <f t="shared" si="45"/>
        <v>28.955555555555552</v>
      </c>
      <c r="BW103" s="35">
        <f t="shared" si="46"/>
        <v>9.4092592592592599</v>
      </c>
      <c r="BX103" s="36">
        <f t="shared" si="47"/>
        <v>30.541087962962962</v>
      </c>
      <c r="BY103" s="36">
        <f t="shared" si="48"/>
        <v>45.243055555555557</v>
      </c>
      <c r="BZ103" s="36">
        <f t="shared" si="49"/>
        <v>14.701967592592593</v>
      </c>
      <c r="CA103" s="31">
        <v>14</v>
      </c>
      <c r="CB103" s="31">
        <v>40</v>
      </c>
    </row>
    <row r="104" spans="1:80" x14ac:dyDescent="0.4">
      <c r="A104" s="11" t="s">
        <v>53</v>
      </c>
      <c r="B104" s="11" t="s">
        <v>263</v>
      </c>
      <c r="C104" s="11" t="s">
        <v>175</v>
      </c>
      <c r="D104" s="10">
        <v>11</v>
      </c>
      <c r="E104" s="10">
        <v>10</v>
      </c>
      <c r="F104" s="10">
        <v>6</v>
      </c>
      <c r="G104" s="16">
        <v>6666</v>
      </c>
      <c r="H104" s="16">
        <v>18</v>
      </c>
      <c r="I104" s="17">
        <f t="shared" si="50"/>
        <v>1.6363636363636365</v>
      </c>
      <c r="J104" s="15">
        <v>7</v>
      </c>
      <c r="K104" s="15">
        <v>19</v>
      </c>
      <c r="L104" s="17">
        <f t="shared" si="51"/>
        <v>0.63636363636363635</v>
      </c>
      <c r="M104" s="17">
        <f t="shared" si="52"/>
        <v>1.7272727272727273</v>
      </c>
      <c r="N104" s="18">
        <f t="shared" si="53"/>
        <v>0.36842105263157893</v>
      </c>
      <c r="O104" s="16">
        <v>7</v>
      </c>
      <c r="P104" s="15">
        <v>19</v>
      </c>
      <c r="Q104" s="17">
        <f t="shared" si="27"/>
        <v>0.63636363636363635</v>
      </c>
      <c r="R104" s="17">
        <f t="shared" si="28"/>
        <v>1.7272727272727273</v>
      </c>
      <c r="S104" s="18">
        <f t="shared" si="29"/>
        <v>0.36842105263157893</v>
      </c>
      <c r="T104" s="15">
        <v>0</v>
      </c>
      <c r="U104" s="15">
        <v>0</v>
      </c>
      <c r="V104" s="17">
        <f t="shared" si="30"/>
        <v>0</v>
      </c>
      <c r="W104" s="17">
        <f t="shared" si="31"/>
        <v>0</v>
      </c>
      <c r="X104" s="18" t="e">
        <f t="shared" si="32"/>
        <v>#DIV/0!</v>
      </c>
      <c r="Y104" s="9">
        <v>4</v>
      </c>
      <c r="Z104" s="9">
        <v>6</v>
      </c>
      <c r="AA104" s="17">
        <f t="shared" si="33"/>
        <v>0.36363636363636365</v>
      </c>
      <c r="AB104" s="17">
        <f t="shared" si="34"/>
        <v>0.54545454545454541</v>
      </c>
      <c r="AC104" s="18">
        <f t="shared" si="35"/>
        <v>0.66666666666666663</v>
      </c>
      <c r="AD104" s="15">
        <v>26</v>
      </c>
      <c r="AE104" s="17">
        <f t="shared" si="36"/>
        <v>2.3636363636363638</v>
      </c>
      <c r="AF104" s="15">
        <v>12</v>
      </c>
      <c r="AG104" s="17">
        <f t="shared" si="37"/>
        <v>1.0909090909090908</v>
      </c>
      <c r="AH104" s="15">
        <v>14</v>
      </c>
      <c r="AI104" s="17">
        <f t="shared" si="38"/>
        <v>1.2727272727272727</v>
      </c>
      <c r="AJ104" s="15">
        <v>4</v>
      </c>
      <c r="AK104" s="17">
        <f t="shared" si="39"/>
        <v>0.36363636363636365</v>
      </c>
      <c r="AL104" s="15">
        <v>0</v>
      </c>
      <c r="AM104" s="17">
        <f t="shared" si="40"/>
        <v>0</v>
      </c>
      <c r="AN104" s="7">
        <v>0</v>
      </c>
      <c r="AO104" s="17">
        <f t="shared" si="41"/>
        <v>0</v>
      </c>
      <c r="AP104" s="6">
        <v>5</v>
      </c>
      <c r="AQ104" s="17">
        <f t="shared" si="42"/>
        <v>0.45454545454545453</v>
      </c>
      <c r="AR104" s="15">
        <v>22</v>
      </c>
      <c r="AS104" s="17">
        <f t="shared" si="43"/>
        <v>2</v>
      </c>
      <c r="AT104" s="19">
        <v>-0.10101335458362315</v>
      </c>
      <c r="AU104" s="19">
        <v>-3.6368444494553787E-2</v>
      </c>
      <c r="AV104" s="19">
        <v>-6.4248643290822527E-2</v>
      </c>
      <c r="AW104" s="19">
        <v>-3.6764711292800616E-2</v>
      </c>
      <c r="AX104" s="19">
        <v>93.923232628301804</v>
      </c>
      <c r="AY104" s="19">
        <v>122.50388949079857</v>
      </c>
      <c r="AZ104" s="19">
        <v>0.20409500071349809</v>
      </c>
      <c r="BA104" s="19">
        <v>2.6363636363636362</v>
      </c>
      <c r="BB104" s="19">
        <v>10.441044104410441</v>
      </c>
      <c r="BC104" s="18">
        <v>0.41589648798521256</v>
      </c>
      <c r="BD104" s="18">
        <v>0.36842105263157893</v>
      </c>
      <c r="BE104" s="19">
        <v>2.2904589059946314</v>
      </c>
      <c r="BF104" s="18">
        <v>0</v>
      </c>
      <c r="BG104" s="18">
        <v>0.31578947368421051</v>
      </c>
      <c r="BH104" s="19">
        <v>2.3954008304056211</v>
      </c>
      <c r="BI104" s="19">
        <v>2.7946343021398912</v>
      </c>
      <c r="BJ104" s="19">
        <v>2.5374641949162879</v>
      </c>
      <c r="BK104" s="19">
        <v>0.95877277085330781</v>
      </c>
      <c r="BL104" s="19">
        <v>0</v>
      </c>
      <c r="BM104" s="19">
        <v>0</v>
      </c>
      <c r="BN104" s="19">
        <v>18.768768768768769</v>
      </c>
      <c r="BO104" s="20" t="s">
        <v>257</v>
      </c>
      <c r="BP104" s="21"/>
      <c r="BQ104" s="31" t="s">
        <v>307</v>
      </c>
      <c r="BR104" s="31">
        <v>62.69</v>
      </c>
      <c r="BS104" s="31">
        <v>83.79</v>
      </c>
      <c r="BT104" s="31">
        <v>21.1</v>
      </c>
      <c r="BU104" s="35">
        <f t="shared" si="44"/>
        <v>5.6990909090909101</v>
      </c>
      <c r="BV104" s="35">
        <f t="shared" si="45"/>
        <v>7.6172727272727281</v>
      </c>
      <c r="BW104" s="35">
        <f t="shared" si="46"/>
        <v>1.9181818181818182</v>
      </c>
      <c r="BX104" s="36">
        <f t="shared" si="47"/>
        <v>22.570657065706573</v>
      </c>
      <c r="BY104" s="36">
        <f t="shared" si="48"/>
        <v>30.16741674167417</v>
      </c>
      <c r="BZ104" s="36">
        <f t="shared" si="49"/>
        <v>7.596759675967597</v>
      </c>
      <c r="CA104" s="31">
        <v>1</v>
      </c>
      <c r="CB104" s="31">
        <v>10</v>
      </c>
    </row>
    <row r="105" spans="1:80" x14ac:dyDescent="0.4">
      <c r="A105" s="11" t="s">
        <v>53</v>
      </c>
      <c r="B105" s="11" t="s">
        <v>263</v>
      </c>
      <c r="C105" s="11" t="s">
        <v>178</v>
      </c>
      <c r="D105" s="15">
        <v>19</v>
      </c>
      <c r="E105" s="15">
        <v>8</v>
      </c>
      <c r="F105" s="15">
        <v>25</v>
      </c>
      <c r="G105" s="16">
        <v>9595</v>
      </c>
      <c r="H105" s="16">
        <v>53</v>
      </c>
      <c r="I105" s="17">
        <f t="shared" si="50"/>
        <v>2.7894736842105261</v>
      </c>
      <c r="J105" s="15">
        <v>18</v>
      </c>
      <c r="K105" s="15">
        <v>63</v>
      </c>
      <c r="L105" s="17">
        <f t="shared" si="51"/>
        <v>0.94736842105263153</v>
      </c>
      <c r="M105" s="17">
        <f t="shared" si="52"/>
        <v>3.3157894736842106</v>
      </c>
      <c r="N105" s="18">
        <f t="shared" si="53"/>
        <v>0.2857142857142857</v>
      </c>
      <c r="O105" s="16">
        <v>11</v>
      </c>
      <c r="P105" s="15">
        <v>29</v>
      </c>
      <c r="Q105" s="17">
        <f t="shared" si="27"/>
        <v>0.57894736842105265</v>
      </c>
      <c r="R105" s="17">
        <f t="shared" si="28"/>
        <v>1.5263157894736843</v>
      </c>
      <c r="S105" s="18">
        <f t="shared" si="29"/>
        <v>0.37931034482758619</v>
      </c>
      <c r="T105" s="15">
        <v>7</v>
      </c>
      <c r="U105" s="15">
        <v>34</v>
      </c>
      <c r="V105" s="17">
        <f t="shared" si="30"/>
        <v>0.36842105263157893</v>
      </c>
      <c r="W105" s="17">
        <f t="shared" si="31"/>
        <v>1.7894736842105263</v>
      </c>
      <c r="X105" s="18">
        <f t="shared" si="32"/>
        <v>0.20588235294117646</v>
      </c>
      <c r="Y105" s="15">
        <v>10</v>
      </c>
      <c r="Z105" s="15">
        <v>15</v>
      </c>
      <c r="AA105" s="17">
        <f t="shared" si="33"/>
        <v>0.52631578947368418</v>
      </c>
      <c r="AB105" s="17">
        <f t="shared" si="34"/>
        <v>0.78947368421052633</v>
      </c>
      <c r="AC105" s="18">
        <f t="shared" si="35"/>
        <v>0.66666666666666663</v>
      </c>
      <c r="AD105" s="15">
        <v>20</v>
      </c>
      <c r="AE105" s="17">
        <f t="shared" si="36"/>
        <v>1.0526315789473684</v>
      </c>
      <c r="AF105" s="15">
        <v>6</v>
      </c>
      <c r="AG105" s="17">
        <f t="shared" si="37"/>
        <v>0.31578947368421051</v>
      </c>
      <c r="AH105" s="15">
        <v>14</v>
      </c>
      <c r="AI105" s="17">
        <f t="shared" si="38"/>
        <v>0.73684210526315785</v>
      </c>
      <c r="AJ105" s="15">
        <v>6</v>
      </c>
      <c r="AK105" s="17">
        <f t="shared" si="39"/>
        <v>0.31578947368421051</v>
      </c>
      <c r="AL105" s="15">
        <v>8</v>
      </c>
      <c r="AM105" s="17">
        <f t="shared" si="40"/>
        <v>0.42105263157894735</v>
      </c>
      <c r="AN105" s="15">
        <v>1</v>
      </c>
      <c r="AO105" s="17">
        <f t="shared" si="41"/>
        <v>5.2631578947368418E-2</v>
      </c>
      <c r="AP105" s="5">
        <v>9</v>
      </c>
      <c r="AQ105" s="17">
        <f t="shared" si="42"/>
        <v>0.47368421052631576</v>
      </c>
      <c r="AR105" s="15">
        <v>23</v>
      </c>
      <c r="AS105" s="17">
        <f t="shared" si="43"/>
        <v>1.2105263157894737</v>
      </c>
      <c r="AT105" s="19">
        <v>-0.45514355655736377</v>
      </c>
      <c r="AU105" s="19">
        <v>-0.11384518350575021</v>
      </c>
      <c r="AV105" s="19">
        <v>-0.48549320902836995</v>
      </c>
      <c r="AW105" s="19">
        <v>3.0349652471006204E-2</v>
      </c>
      <c r="AX105" s="19">
        <v>78.005876869784046</v>
      </c>
      <c r="AY105" s="19">
        <v>117.93901654742749</v>
      </c>
      <c r="AZ105" s="19">
        <v>0.64208749199511239</v>
      </c>
      <c r="BA105" s="19">
        <v>1.5263157894736843</v>
      </c>
      <c r="BB105" s="19">
        <v>7.2537780093798858</v>
      </c>
      <c r="BC105" s="18">
        <v>0.38074712643678166</v>
      </c>
      <c r="BD105" s="18">
        <v>0.34126984126984128</v>
      </c>
      <c r="BE105" s="19">
        <v>8.1094626131161274</v>
      </c>
      <c r="BF105" s="18">
        <v>0.53968253968253965</v>
      </c>
      <c r="BG105" s="18">
        <v>0.23809523809523808</v>
      </c>
      <c r="BH105" s="19">
        <v>1.4372404982433726</v>
      </c>
      <c r="BI105" s="19">
        <v>3.3535611625678694</v>
      </c>
      <c r="BJ105" s="19">
        <v>2.3422746414611888</v>
      </c>
      <c r="BK105" s="19">
        <v>1.7883755588673622</v>
      </c>
      <c r="BL105" s="19">
        <v>2.7625364173359754</v>
      </c>
      <c r="BM105" s="19">
        <v>0.22406766843586762</v>
      </c>
      <c r="BN105" s="19">
        <v>11.450381679389313</v>
      </c>
      <c r="BO105" s="20" t="s">
        <v>257</v>
      </c>
      <c r="BP105" s="21"/>
      <c r="BQ105" s="31" t="s">
        <v>306</v>
      </c>
      <c r="BR105" s="31">
        <v>75.709999999999994</v>
      </c>
      <c r="BS105" s="31">
        <v>135.51</v>
      </c>
      <c r="BT105" s="31">
        <v>59.8</v>
      </c>
      <c r="BU105" s="35">
        <f t="shared" si="44"/>
        <v>3.9847368421052622</v>
      </c>
      <c r="BV105" s="35">
        <f t="shared" si="45"/>
        <v>7.1321052631578938</v>
      </c>
      <c r="BW105" s="35">
        <f t="shared" si="46"/>
        <v>3.1473684210526316</v>
      </c>
      <c r="BX105" s="36">
        <f t="shared" si="47"/>
        <v>18.937363210005213</v>
      </c>
      <c r="BY105" s="36">
        <f t="shared" si="48"/>
        <v>33.895153725898908</v>
      </c>
      <c r="BZ105" s="36">
        <f t="shared" si="49"/>
        <v>14.957790515893695</v>
      </c>
      <c r="CA105" s="31">
        <v>5</v>
      </c>
      <c r="CB105" s="31">
        <v>14</v>
      </c>
    </row>
    <row r="106" spans="1:80" x14ac:dyDescent="0.4">
      <c r="A106" s="11" t="s">
        <v>53</v>
      </c>
      <c r="B106" s="11" t="s">
        <v>263</v>
      </c>
      <c r="C106" s="11" t="s">
        <v>169</v>
      </c>
      <c r="D106" s="15">
        <v>22</v>
      </c>
      <c r="E106" s="15">
        <v>20</v>
      </c>
      <c r="F106" s="15">
        <v>39</v>
      </c>
      <c r="G106" s="16">
        <v>27258</v>
      </c>
      <c r="H106" s="16">
        <v>139</v>
      </c>
      <c r="I106" s="17">
        <f t="shared" si="50"/>
        <v>6.3181818181818183</v>
      </c>
      <c r="J106" s="15">
        <v>50</v>
      </c>
      <c r="K106" s="15">
        <v>111</v>
      </c>
      <c r="L106" s="17">
        <f t="shared" si="51"/>
        <v>2.2727272727272729</v>
      </c>
      <c r="M106" s="17">
        <f t="shared" si="52"/>
        <v>5.0454545454545459</v>
      </c>
      <c r="N106" s="18">
        <f t="shared" si="53"/>
        <v>0.45045045045045046</v>
      </c>
      <c r="O106" s="16">
        <v>43</v>
      </c>
      <c r="P106" s="15">
        <v>86</v>
      </c>
      <c r="Q106" s="17">
        <f t="shared" si="27"/>
        <v>1.9545454545454546</v>
      </c>
      <c r="R106" s="17">
        <f t="shared" si="28"/>
        <v>3.9090909090909092</v>
      </c>
      <c r="S106" s="18">
        <f t="shared" si="29"/>
        <v>0.5</v>
      </c>
      <c r="T106" s="15">
        <v>7</v>
      </c>
      <c r="U106" s="15">
        <v>25</v>
      </c>
      <c r="V106" s="17">
        <f t="shared" si="30"/>
        <v>0.31818181818181818</v>
      </c>
      <c r="W106" s="17">
        <f t="shared" si="31"/>
        <v>1.1363636363636365</v>
      </c>
      <c r="X106" s="18">
        <f t="shared" si="32"/>
        <v>0.28000000000000003</v>
      </c>
      <c r="Y106" s="15">
        <v>32</v>
      </c>
      <c r="Z106" s="15">
        <v>50</v>
      </c>
      <c r="AA106" s="17">
        <f t="shared" si="33"/>
        <v>1.4545454545454546</v>
      </c>
      <c r="AB106" s="17">
        <f t="shared" si="34"/>
        <v>2.2727272727272729</v>
      </c>
      <c r="AC106" s="18">
        <f t="shared" si="35"/>
        <v>0.64</v>
      </c>
      <c r="AD106" s="15">
        <v>93</v>
      </c>
      <c r="AE106" s="17">
        <f t="shared" si="36"/>
        <v>4.2272727272727275</v>
      </c>
      <c r="AF106" s="15">
        <v>38</v>
      </c>
      <c r="AG106" s="17">
        <f t="shared" si="37"/>
        <v>1.7272727272727273</v>
      </c>
      <c r="AH106" s="15">
        <v>55</v>
      </c>
      <c r="AI106" s="17">
        <f t="shared" si="38"/>
        <v>2.5</v>
      </c>
      <c r="AJ106" s="15">
        <v>17</v>
      </c>
      <c r="AK106" s="17">
        <f t="shared" si="39"/>
        <v>0.77272727272727271</v>
      </c>
      <c r="AL106" s="15">
        <v>6</v>
      </c>
      <c r="AM106" s="17">
        <f t="shared" si="40"/>
        <v>0.27272727272727271</v>
      </c>
      <c r="AN106" s="15">
        <v>1</v>
      </c>
      <c r="AO106" s="17">
        <f t="shared" si="41"/>
        <v>4.5454545454545456E-2</v>
      </c>
      <c r="AP106" s="5">
        <v>21</v>
      </c>
      <c r="AQ106" s="17">
        <f t="shared" si="42"/>
        <v>0.95454545454545459</v>
      </c>
      <c r="AR106" s="15">
        <v>69</v>
      </c>
      <c r="AS106" s="17">
        <f t="shared" si="43"/>
        <v>3.1363636363636362</v>
      </c>
      <c r="AT106" s="19">
        <v>4.2655646567340763E-2</v>
      </c>
      <c r="AU106" s="19">
        <v>3.7557249894202742E-3</v>
      </c>
      <c r="AV106" s="19">
        <v>0.12169485609929183</v>
      </c>
      <c r="AW106" s="19">
        <v>-7.9039209531951066E-2</v>
      </c>
      <c r="AX106" s="19">
        <v>104.73288348478916</v>
      </c>
      <c r="AY106" s="19">
        <v>121.12806831766582</v>
      </c>
      <c r="AZ106" s="19">
        <v>2.4188238430790889</v>
      </c>
      <c r="BA106" s="19">
        <v>7.0909090909090908</v>
      </c>
      <c r="BB106" s="19">
        <v>13.735417125247633</v>
      </c>
      <c r="BC106" s="18">
        <v>0.52255639097744366</v>
      </c>
      <c r="BD106" s="18">
        <v>0.481981981981982</v>
      </c>
      <c r="BE106" s="19">
        <v>6.4760519279280189</v>
      </c>
      <c r="BF106" s="18">
        <v>0.22522522522522523</v>
      </c>
      <c r="BG106" s="18">
        <v>0.45045045045045046</v>
      </c>
      <c r="BH106" s="19">
        <v>3.7100679528235569</v>
      </c>
      <c r="BI106" s="19">
        <v>5.3698351948762015</v>
      </c>
      <c r="BJ106" s="19">
        <v>4.4392626527935732</v>
      </c>
      <c r="BK106" s="19">
        <v>2.0800195766548391</v>
      </c>
      <c r="BL106" s="19">
        <v>0.72932360016340214</v>
      </c>
      <c r="BM106" s="19">
        <v>9.1327015787016283E-2</v>
      </c>
      <c r="BN106" s="19">
        <v>13.636363636363637</v>
      </c>
      <c r="BO106" s="20" t="s">
        <v>257</v>
      </c>
      <c r="BP106" s="21">
        <v>60000</v>
      </c>
      <c r="BQ106" s="31" t="s">
        <v>305</v>
      </c>
      <c r="BR106" s="31">
        <v>296.45</v>
      </c>
      <c r="BS106" s="31">
        <v>401.55</v>
      </c>
      <c r="BT106" s="31">
        <v>105.1</v>
      </c>
      <c r="BU106" s="35">
        <f t="shared" si="44"/>
        <v>13.475000000000001</v>
      </c>
      <c r="BV106" s="35">
        <f t="shared" si="45"/>
        <v>18.252272727272729</v>
      </c>
      <c r="BW106" s="35">
        <f t="shared" si="46"/>
        <v>4.7772727272727273</v>
      </c>
      <c r="BX106" s="36">
        <f t="shared" si="47"/>
        <v>26.101694915254235</v>
      </c>
      <c r="BY106" s="36">
        <f t="shared" si="48"/>
        <v>35.355491965661457</v>
      </c>
      <c r="BZ106" s="36">
        <f t="shared" si="49"/>
        <v>9.2537970504072202</v>
      </c>
      <c r="CA106" s="30">
        <v>9</v>
      </c>
      <c r="CB106" s="30">
        <v>13</v>
      </c>
    </row>
    <row r="107" spans="1:80" x14ac:dyDescent="0.4">
      <c r="A107" s="11" t="s">
        <v>53</v>
      </c>
      <c r="B107" s="11" t="s">
        <v>263</v>
      </c>
      <c r="C107" s="11" t="s">
        <v>268</v>
      </c>
      <c r="D107" s="15">
        <v>52</v>
      </c>
      <c r="E107" s="15">
        <v>17</v>
      </c>
      <c r="F107" s="15">
        <v>54</v>
      </c>
      <c r="G107" s="16">
        <v>55848</v>
      </c>
      <c r="H107" s="16">
        <v>270</v>
      </c>
      <c r="I107" s="17">
        <f t="shared" si="50"/>
        <v>5.1923076923076925</v>
      </c>
      <c r="J107" s="15">
        <v>108</v>
      </c>
      <c r="K107" s="15">
        <v>224</v>
      </c>
      <c r="L107" s="17">
        <f t="shared" si="51"/>
        <v>2.0769230769230771</v>
      </c>
      <c r="M107" s="17">
        <f t="shared" si="52"/>
        <v>4.3076923076923075</v>
      </c>
      <c r="N107" s="18">
        <f t="shared" si="53"/>
        <v>0.48214285714285715</v>
      </c>
      <c r="O107" s="16">
        <v>87</v>
      </c>
      <c r="P107" s="15">
        <v>162</v>
      </c>
      <c r="Q107" s="17">
        <f t="shared" si="27"/>
        <v>1.6730769230769231</v>
      </c>
      <c r="R107" s="17">
        <f t="shared" si="28"/>
        <v>3.1153846153846154</v>
      </c>
      <c r="S107" s="18">
        <f t="shared" si="29"/>
        <v>0.53703703703703709</v>
      </c>
      <c r="T107" s="15">
        <v>21</v>
      </c>
      <c r="U107" s="15">
        <v>62</v>
      </c>
      <c r="V107" s="17">
        <f t="shared" si="30"/>
        <v>0.40384615384615385</v>
      </c>
      <c r="W107" s="17">
        <f t="shared" si="31"/>
        <v>1.1923076923076923</v>
      </c>
      <c r="X107" s="18">
        <f t="shared" si="32"/>
        <v>0.33870967741935482</v>
      </c>
      <c r="Y107" s="15">
        <v>33</v>
      </c>
      <c r="Z107" s="15">
        <v>55</v>
      </c>
      <c r="AA107" s="17">
        <f t="shared" si="33"/>
        <v>0.63461538461538458</v>
      </c>
      <c r="AB107" s="17">
        <f t="shared" si="34"/>
        <v>1.0576923076923077</v>
      </c>
      <c r="AC107" s="18">
        <f t="shared" si="35"/>
        <v>0.6</v>
      </c>
      <c r="AD107" s="15">
        <v>160</v>
      </c>
      <c r="AE107" s="17">
        <f t="shared" si="36"/>
        <v>3.0769230769230771</v>
      </c>
      <c r="AF107" s="15">
        <v>63</v>
      </c>
      <c r="AG107" s="17">
        <f t="shared" si="37"/>
        <v>1.2115384615384615</v>
      </c>
      <c r="AH107" s="15">
        <v>97</v>
      </c>
      <c r="AI107" s="17">
        <f t="shared" si="38"/>
        <v>1.8653846153846154</v>
      </c>
      <c r="AJ107" s="15">
        <v>34</v>
      </c>
      <c r="AK107" s="17">
        <f t="shared" si="39"/>
        <v>0.65384615384615385</v>
      </c>
      <c r="AL107" s="15">
        <v>43</v>
      </c>
      <c r="AM107" s="17">
        <f t="shared" si="40"/>
        <v>0.82692307692307687</v>
      </c>
      <c r="AN107" s="15">
        <v>12</v>
      </c>
      <c r="AO107" s="17">
        <f t="shared" si="41"/>
        <v>0.23076923076923078</v>
      </c>
      <c r="AP107" s="4">
        <v>29</v>
      </c>
      <c r="AQ107" s="17">
        <f t="shared" si="42"/>
        <v>0.55769230769230771</v>
      </c>
      <c r="AR107" s="15">
        <v>97</v>
      </c>
      <c r="AS107" s="17">
        <f t="shared" si="43"/>
        <v>1.8653846153846154</v>
      </c>
      <c r="AT107" s="19">
        <v>0.83621297583187937</v>
      </c>
      <c r="AU107" s="19">
        <v>3.5935237465916606E-2</v>
      </c>
      <c r="AV107" s="19">
        <v>0.60698113186512948</v>
      </c>
      <c r="AW107" s="19">
        <v>0.22923184396674987</v>
      </c>
      <c r="AX107" s="19">
        <v>109.95720396315592</v>
      </c>
      <c r="AY107" s="19">
        <v>117.44378115823596</v>
      </c>
      <c r="AZ107" s="19">
        <v>9.01041024343583</v>
      </c>
      <c r="BA107" s="19">
        <v>6.7692307692307692</v>
      </c>
      <c r="BB107" s="19">
        <v>15.12677266867211</v>
      </c>
      <c r="BC107" s="18">
        <v>0.54391619661563262</v>
      </c>
      <c r="BD107" s="18">
        <v>0.5290178571428571</v>
      </c>
      <c r="BE107" s="19">
        <v>13.447756992239354</v>
      </c>
      <c r="BF107" s="18">
        <v>0.2767857142857143</v>
      </c>
      <c r="BG107" s="18">
        <v>0.24553571428571427</v>
      </c>
      <c r="BH107" s="19">
        <v>7.0958731302937466</v>
      </c>
      <c r="BI107" s="19">
        <v>10.925391962515768</v>
      </c>
      <c r="BJ107" s="19">
        <v>8.8107910162972107</v>
      </c>
      <c r="BK107" s="19">
        <v>5.2811432121776942</v>
      </c>
      <c r="BL107" s="19">
        <v>2.5510785698381402</v>
      </c>
      <c r="BM107" s="19">
        <v>1.2642924308392534</v>
      </c>
      <c r="BN107" s="19">
        <v>10.461760461760463</v>
      </c>
      <c r="BO107" s="20" t="s">
        <v>257</v>
      </c>
      <c r="BP107" s="21">
        <v>57000</v>
      </c>
      <c r="BQ107" s="31" t="s">
        <v>306</v>
      </c>
      <c r="BR107" s="31">
        <v>645.11</v>
      </c>
      <c r="BS107" s="31">
        <v>818.11</v>
      </c>
      <c r="BT107" s="31">
        <v>173</v>
      </c>
      <c r="BU107" s="35">
        <f t="shared" si="44"/>
        <v>12.40596153846154</v>
      </c>
      <c r="BV107" s="35">
        <f t="shared" si="45"/>
        <v>15.732884615384616</v>
      </c>
      <c r="BW107" s="35">
        <f t="shared" si="46"/>
        <v>3.3269230769230771</v>
      </c>
      <c r="BX107" s="36">
        <f t="shared" si="47"/>
        <v>27.722819080360978</v>
      </c>
      <c r="BY107" s="36">
        <f t="shared" si="48"/>
        <v>35.157284056725395</v>
      </c>
      <c r="BZ107" s="36">
        <f t="shared" si="49"/>
        <v>7.4344649763644179</v>
      </c>
      <c r="CA107" s="31">
        <v>13</v>
      </c>
      <c r="CB107" s="31">
        <v>39</v>
      </c>
    </row>
    <row r="108" spans="1:80" x14ac:dyDescent="0.4">
      <c r="A108" s="11" t="s">
        <v>53</v>
      </c>
      <c r="B108" s="11" t="s">
        <v>263</v>
      </c>
      <c r="C108" s="11" t="s">
        <v>166</v>
      </c>
      <c r="D108" s="15">
        <v>48</v>
      </c>
      <c r="E108" s="15">
        <v>28</v>
      </c>
      <c r="F108" s="15">
        <v>54</v>
      </c>
      <c r="G108" s="16">
        <v>83232</v>
      </c>
      <c r="H108" s="16">
        <v>1134</v>
      </c>
      <c r="I108" s="17">
        <f t="shared" si="50"/>
        <v>23.625</v>
      </c>
      <c r="J108" s="15">
        <v>467</v>
      </c>
      <c r="K108" s="15">
        <v>811</v>
      </c>
      <c r="L108" s="17">
        <f t="shared" si="51"/>
        <v>9.7291666666666661</v>
      </c>
      <c r="M108" s="17">
        <f t="shared" si="52"/>
        <v>16.895833333333332</v>
      </c>
      <c r="N108" s="18">
        <f t="shared" si="53"/>
        <v>0.57583230579531441</v>
      </c>
      <c r="O108" s="16">
        <v>467</v>
      </c>
      <c r="P108" s="15">
        <v>810</v>
      </c>
      <c r="Q108" s="17">
        <f t="shared" si="27"/>
        <v>9.7291666666666661</v>
      </c>
      <c r="R108" s="17">
        <f t="shared" si="28"/>
        <v>16.875</v>
      </c>
      <c r="S108" s="18">
        <f t="shared" si="29"/>
        <v>0.57654320987654317</v>
      </c>
      <c r="T108" s="15">
        <v>0</v>
      </c>
      <c r="U108" s="15">
        <v>1</v>
      </c>
      <c r="V108" s="17">
        <f t="shared" si="30"/>
        <v>0</v>
      </c>
      <c r="W108" s="17">
        <f t="shared" si="31"/>
        <v>2.0833333333333332E-2</v>
      </c>
      <c r="X108" s="18">
        <f t="shared" si="32"/>
        <v>0</v>
      </c>
      <c r="Y108" s="15">
        <v>200</v>
      </c>
      <c r="Z108" s="15">
        <v>321</v>
      </c>
      <c r="AA108" s="17">
        <f t="shared" si="33"/>
        <v>4.166666666666667</v>
      </c>
      <c r="AB108" s="17">
        <f t="shared" si="34"/>
        <v>6.6875</v>
      </c>
      <c r="AC108" s="18">
        <f t="shared" si="35"/>
        <v>0.62305295950155759</v>
      </c>
      <c r="AD108" s="15">
        <v>565</v>
      </c>
      <c r="AE108" s="17">
        <f t="shared" si="36"/>
        <v>11.770833333333334</v>
      </c>
      <c r="AF108" s="15">
        <v>261</v>
      </c>
      <c r="AG108" s="17">
        <f t="shared" si="37"/>
        <v>5.4375</v>
      </c>
      <c r="AH108" s="15">
        <v>304</v>
      </c>
      <c r="AI108" s="17">
        <f t="shared" si="38"/>
        <v>6.333333333333333</v>
      </c>
      <c r="AJ108" s="15">
        <v>110</v>
      </c>
      <c r="AK108" s="17">
        <f t="shared" si="39"/>
        <v>2.2916666666666665</v>
      </c>
      <c r="AL108" s="15">
        <v>22</v>
      </c>
      <c r="AM108" s="17">
        <f t="shared" si="40"/>
        <v>0.45833333333333331</v>
      </c>
      <c r="AN108" s="15">
        <v>36</v>
      </c>
      <c r="AO108" s="17">
        <f t="shared" si="41"/>
        <v>0.75</v>
      </c>
      <c r="AP108" s="4">
        <v>141</v>
      </c>
      <c r="AQ108" s="17">
        <f t="shared" si="42"/>
        <v>2.9375</v>
      </c>
      <c r="AR108" s="15">
        <v>91</v>
      </c>
      <c r="AS108" s="17">
        <f t="shared" si="43"/>
        <v>1.8958333333333333</v>
      </c>
      <c r="AT108" s="19">
        <v>4.1498223356327397</v>
      </c>
      <c r="AU108" s="19">
        <v>0.11966039030082871</v>
      </c>
      <c r="AV108" s="19">
        <v>3.5249946972648547</v>
      </c>
      <c r="AW108" s="19">
        <v>0.62482763836788535</v>
      </c>
      <c r="AX108" s="19">
        <v>113.82762085759464</v>
      </c>
      <c r="AY108" s="19">
        <v>115.65404114433014</v>
      </c>
      <c r="AZ108" s="19">
        <v>23.270121384766327</v>
      </c>
      <c r="BA108" s="19">
        <v>26.270833333333332</v>
      </c>
      <c r="BB108" s="19">
        <v>36.361014994232988</v>
      </c>
      <c r="BC108" s="18">
        <v>0.59543812484247671</v>
      </c>
      <c r="BD108" s="18">
        <v>0.57583230579531441</v>
      </c>
      <c r="BE108" s="19">
        <v>32.849391441616355</v>
      </c>
      <c r="BF108" s="18">
        <v>1.2330456226880395E-3</v>
      </c>
      <c r="BG108" s="18">
        <v>0.39580764488286069</v>
      </c>
      <c r="BH108" s="19">
        <v>18.207947315548612</v>
      </c>
      <c r="BI108" s="19">
        <v>21.207724076347805</v>
      </c>
      <c r="BJ108" s="19">
        <v>19.270747176323926</v>
      </c>
      <c r="BK108" s="19">
        <v>14.72951258703803</v>
      </c>
      <c r="BL108" s="19">
        <v>0.87578066779521579</v>
      </c>
      <c r="BM108" s="19">
        <v>2.3492215756424879</v>
      </c>
      <c r="BN108" s="19">
        <v>12.897442464600637</v>
      </c>
      <c r="BO108" s="20" t="s">
        <v>239</v>
      </c>
      <c r="BP108" s="21">
        <v>100000</v>
      </c>
      <c r="BQ108" s="31" t="s">
        <v>307</v>
      </c>
      <c r="BR108" s="31">
        <v>1747.03</v>
      </c>
      <c r="BS108" s="31">
        <v>2399.23</v>
      </c>
      <c r="BT108" s="31">
        <v>652.20000000000005</v>
      </c>
      <c r="BU108" s="35">
        <f t="shared" si="44"/>
        <v>36.396458333333335</v>
      </c>
      <c r="BV108" s="35">
        <f t="shared" si="45"/>
        <v>49.983958333333334</v>
      </c>
      <c r="BW108" s="35">
        <f t="shared" si="46"/>
        <v>13.5875</v>
      </c>
      <c r="BX108" s="36">
        <f t="shared" si="47"/>
        <v>50.37572087658593</v>
      </c>
      <c r="BY108" s="36">
        <f t="shared" si="48"/>
        <v>69.181949250288355</v>
      </c>
      <c r="BZ108" s="36">
        <f t="shared" si="49"/>
        <v>18.806228373702421</v>
      </c>
      <c r="CA108" s="31">
        <v>14</v>
      </c>
      <c r="CB108" s="31">
        <v>34</v>
      </c>
    </row>
    <row r="109" spans="1:80" x14ac:dyDescent="0.4">
      <c r="A109" s="11" t="s">
        <v>53</v>
      </c>
      <c r="B109" s="11" t="s">
        <v>263</v>
      </c>
      <c r="C109" s="14" t="s">
        <v>176</v>
      </c>
      <c r="D109" s="15">
        <v>30</v>
      </c>
      <c r="E109" s="15">
        <v>16</v>
      </c>
      <c r="F109" s="15">
        <v>51</v>
      </c>
      <c r="G109" s="16">
        <v>30330</v>
      </c>
      <c r="H109" s="16">
        <v>171</v>
      </c>
      <c r="I109" s="17">
        <f t="shared" si="50"/>
        <v>5.7</v>
      </c>
      <c r="J109" s="15">
        <v>62</v>
      </c>
      <c r="K109" s="15">
        <v>147</v>
      </c>
      <c r="L109" s="17">
        <f t="shared" si="51"/>
        <v>2.0666666666666669</v>
      </c>
      <c r="M109" s="17">
        <f t="shared" si="52"/>
        <v>4.9000000000000004</v>
      </c>
      <c r="N109" s="18">
        <f t="shared" si="53"/>
        <v>0.42176870748299322</v>
      </c>
      <c r="O109" s="16">
        <v>28</v>
      </c>
      <c r="P109" s="15">
        <v>58</v>
      </c>
      <c r="Q109" s="17">
        <f t="shared" si="27"/>
        <v>0.93333333333333335</v>
      </c>
      <c r="R109" s="17">
        <f t="shared" si="28"/>
        <v>1.9333333333333333</v>
      </c>
      <c r="S109" s="18">
        <f t="shared" si="29"/>
        <v>0.48275862068965519</v>
      </c>
      <c r="T109" s="15">
        <v>34</v>
      </c>
      <c r="U109" s="15">
        <v>89</v>
      </c>
      <c r="V109" s="17">
        <f t="shared" si="30"/>
        <v>1.1333333333333333</v>
      </c>
      <c r="W109" s="17">
        <f t="shared" si="31"/>
        <v>2.9666666666666668</v>
      </c>
      <c r="X109" s="18">
        <f t="shared" si="32"/>
        <v>0.38202247191011235</v>
      </c>
      <c r="Y109" s="15">
        <v>13</v>
      </c>
      <c r="Z109" s="15">
        <v>16</v>
      </c>
      <c r="AA109" s="17">
        <f t="shared" si="33"/>
        <v>0.43333333333333335</v>
      </c>
      <c r="AB109" s="17">
        <f t="shared" si="34"/>
        <v>0.53333333333333333</v>
      </c>
      <c r="AC109" s="18">
        <f t="shared" si="35"/>
        <v>0.8125</v>
      </c>
      <c r="AD109" s="15">
        <v>40</v>
      </c>
      <c r="AE109" s="17">
        <f t="shared" si="36"/>
        <v>1.3333333333333333</v>
      </c>
      <c r="AF109" s="15">
        <v>11</v>
      </c>
      <c r="AG109" s="17">
        <f t="shared" si="37"/>
        <v>0.36666666666666664</v>
      </c>
      <c r="AH109" s="15">
        <v>29</v>
      </c>
      <c r="AI109" s="17">
        <f t="shared" si="38"/>
        <v>0.96666666666666667</v>
      </c>
      <c r="AJ109" s="15">
        <v>45</v>
      </c>
      <c r="AK109" s="17">
        <f t="shared" si="39"/>
        <v>1.5</v>
      </c>
      <c r="AL109" s="15">
        <v>11</v>
      </c>
      <c r="AM109" s="17">
        <f t="shared" si="40"/>
        <v>0.36666666666666664</v>
      </c>
      <c r="AN109" s="15">
        <v>1</v>
      </c>
      <c r="AO109" s="17">
        <f t="shared" si="41"/>
        <v>3.3333333333333333E-2</v>
      </c>
      <c r="AP109" s="4">
        <v>25</v>
      </c>
      <c r="AQ109" s="17">
        <f t="shared" si="42"/>
        <v>0.83333333333333337</v>
      </c>
      <c r="AR109" s="15">
        <v>60</v>
      </c>
      <c r="AS109" s="17">
        <f t="shared" si="43"/>
        <v>2</v>
      </c>
      <c r="AT109" s="19">
        <v>3.5013447355858457E-2</v>
      </c>
      <c r="AU109" s="19">
        <v>2.7705991972983941E-3</v>
      </c>
      <c r="AV109" s="19">
        <v>0.22340103290626823</v>
      </c>
      <c r="AW109" s="19">
        <v>-0.18838758555040977</v>
      </c>
      <c r="AX109" s="19">
        <v>106.53188605369211</v>
      </c>
      <c r="AY109" s="19">
        <v>122.86999345369978</v>
      </c>
      <c r="AZ109" s="19">
        <v>3.7617428960990944</v>
      </c>
      <c r="BA109" s="19">
        <v>5.166666666666667</v>
      </c>
      <c r="BB109" s="19">
        <v>12.265084075173096</v>
      </c>
      <c r="BC109" s="18">
        <v>0.55505063619839001</v>
      </c>
      <c r="BD109" s="18">
        <v>0.5374149659863946</v>
      </c>
      <c r="BE109" s="19">
        <v>9.226985148826234</v>
      </c>
      <c r="BF109" s="18">
        <v>0.60544217687074831</v>
      </c>
      <c r="BG109" s="18">
        <v>0.10884353741496598</v>
      </c>
      <c r="BH109" s="19">
        <v>1.3161673207619411</v>
      </c>
      <c r="BI109" s="19">
        <v>3.4698956638269358</v>
      </c>
      <c r="BJ109" s="19">
        <v>2.3399578515091997</v>
      </c>
      <c r="BK109" s="19">
        <v>6.9691807340870371</v>
      </c>
      <c r="BL109" s="19">
        <v>1.201664631419904</v>
      </c>
      <c r="BM109" s="19">
        <v>0.11192301934729293</v>
      </c>
      <c r="BN109" s="19">
        <v>13.963360142984808</v>
      </c>
      <c r="BO109" s="20" t="s">
        <v>257</v>
      </c>
      <c r="BP109" s="21">
        <v>75000</v>
      </c>
      <c r="BQ109" s="31" t="s">
        <v>306</v>
      </c>
      <c r="BU109" s="35"/>
      <c r="BV109" s="35"/>
      <c r="BW109" s="35"/>
      <c r="BX109" s="36"/>
      <c r="BY109" s="36"/>
      <c r="BZ109" s="36"/>
      <c r="CA109" s="45">
        <v>11</v>
      </c>
      <c r="CB109" s="45">
        <v>19</v>
      </c>
    </row>
    <row r="110" spans="1:80" x14ac:dyDescent="0.4">
      <c r="A110" s="11" t="s">
        <v>53</v>
      </c>
      <c r="B110" s="11" t="s">
        <v>264</v>
      </c>
      <c r="C110" s="11" t="s">
        <v>85</v>
      </c>
      <c r="D110" s="15">
        <v>17</v>
      </c>
      <c r="E110" s="15">
        <v>8</v>
      </c>
      <c r="F110" s="15">
        <v>39</v>
      </c>
      <c r="G110" s="16">
        <v>8823</v>
      </c>
      <c r="H110" s="16">
        <v>69</v>
      </c>
      <c r="I110" s="17">
        <f t="shared" si="50"/>
        <v>4.0588235294117645</v>
      </c>
      <c r="J110" s="15">
        <v>25</v>
      </c>
      <c r="K110" s="15">
        <v>58</v>
      </c>
      <c r="L110" s="17">
        <f t="shared" si="51"/>
        <v>1.4705882352941178</v>
      </c>
      <c r="M110" s="17">
        <f t="shared" si="52"/>
        <v>3.4117647058823528</v>
      </c>
      <c r="N110" s="18">
        <f t="shared" si="53"/>
        <v>0.43103448275862066</v>
      </c>
      <c r="O110" s="16">
        <v>16</v>
      </c>
      <c r="P110" s="15">
        <v>28</v>
      </c>
      <c r="Q110" s="17">
        <f t="shared" si="27"/>
        <v>0.94117647058823528</v>
      </c>
      <c r="R110" s="17">
        <f t="shared" si="28"/>
        <v>1.6470588235294117</v>
      </c>
      <c r="S110" s="18">
        <f t="shared" si="29"/>
        <v>0.5714285714285714</v>
      </c>
      <c r="T110" s="15">
        <v>9</v>
      </c>
      <c r="U110" s="15">
        <v>30</v>
      </c>
      <c r="V110" s="17">
        <f t="shared" si="30"/>
        <v>0.52941176470588236</v>
      </c>
      <c r="W110" s="17">
        <f t="shared" si="31"/>
        <v>1.7647058823529411</v>
      </c>
      <c r="X110" s="18">
        <f t="shared" si="32"/>
        <v>0.3</v>
      </c>
      <c r="Y110" s="15">
        <v>10</v>
      </c>
      <c r="Z110" s="15">
        <v>17</v>
      </c>
      <c r="AA110" s="17">
        <f t="shared" si="33"/>
        <v>0.58823529411764708</v>
      </c>
      <c r="AB110" s="17">
        <f t="shared" si="34"/>
        <v>1</v>
      </c>
      <c r="AC110" s="18">
        <f t="shared" si="35"/>
        <v>0.58823529411764708</v>
      </c>
      <c r="AD110" s="15">
        <v>6</v>
      </c>
      <c r="AE110" s="17">
        <f t="shared" si="36"/>
        <v>0.35294117647058826</v>
      </c>
      <c r="AF110" s="15">
        <v>1</v>
      </c>
      <c r="AG110" s="17">
        <f t="shared" si="37"/>
        <v>5.8823529411764705E-2</v>
      </c>
      <c r="AH110" s="15">
        <v>5</v>
      </c>
      <c r="AI110" s="17">
        <f t="shared" si="38"/>
        <v>0.29411764705882354</v>
      </c>
      <c r="AJ110" s="15">
        <v>5</v>
      </c>
      <c r="AK110" s="17">
        <f t="shared" si="39"/>
        <v>0.29411764705882354</v>
      </c>
      <c r="AL110" s="15">
        <v>9</v>
      </c>
      <c r="AM110" s="17">
        <f t="shared" si="40"/>
        <v>0.52941176470588236</v>
      </c>
      <c r="AN110" s="15">
        <v>1</v>
      </c>
      <c r="AO110" s="17">
        <f t="shared" si="41"/>
        <v>5.8823529411764705E-2</v>
      </c>
      <c r="AP110" s="4">
        <v>0</v>
      </c>
      <c r="AQ110" s="17">
        <f t="shared" si="42"/>
        <v>0</v>
      </c>
      <c r="AR110" s="15">
        <v>12</v>
      </c>
      <c r="AS110" s="17">
        <f t="shared" si="43"/>
        <v>0.70588235294117652</v>
      </c>
      <c r="AT110" s="19">
        <v>0.31717556798963992</v>
      </c>
      <c r="AU110" s="19">
        <v>8.6276931109048591E-2</v>
      </c>
      <c r="AV110" s="19">
        <v>0.2004262398136642</v>
      </c>
      <c r="AW110" s="19">
        <v>0.11674932817597571</v>
      </c>
      <c r="AX110" s="19">
        <v>116.31309370689975</v>
      </c>
      <c r="AY110" s="19">
        <v>112.1413834456588</v>
      </c>
      <c r="AZ110" s="19">
        <v>3.3550827460529571</v>
      </c>
      <c r="BA110" s="19">
        <v>2.9411764705882355</v>
      </c>
      <c r="BB110" s="19">
        <v>13.600816048962937</v>
      </c>
      <c r="BC110" s="18">
        <v>0.5268784361637141</v>
      </c>
      <c r="BD110" s="18">
        <v>0.50862068965517238</v>
      </c>
      <c r="BE110" s="19">
        <v>6.5735840604842011</v>
      </c>
      <c r="BF110" s="18">
        <v>0.51724137931034486</v>
      </c>
      <c r="BG110" s="18">
        <v>0.29310344827586204</v>
      </c>
      <c r="BH110" s="19">
        <v>0.2330785008390826</v>
      </c>
      <c r="BI110" s="19">
        <v>1.165392504195413</v>
      </c>
      <c r="BJ110" s="19">
        <v>0.68372756875023144</v>
      </c>
      <c r="BK110" s="19">
        <v>1.4779781259237363</v>
      </c>
      <c r="BL110" s="19">
        <v>3.3797862450278848</v>
      </c>
      <c r="BM110" s="19">
        <v>0.21802345387305039</v>
      </c>
      <c r="BN110" s="19">
        <v>0</v>
      </c>
      <c r="BO110" s="20" t="s">
        <v>257</v>
      </c>
      <c r="BP110" s="21">
        <v>750000</v>
      </c>
      <c r="BQ110" s="31" t="s">
        <v>306</v>
      </c>
      <c r="BR110" s="31">
        <v>93.29</v>
      </c>
      <c r="BS110" s="31">
        <v>129.79</v>
      </c>
      <c r="BT110" s="31">
        <v>36.5</v>
      </c>
      <c r="BU110" s="35">
        <f t="shared" si="44"/>
        <v>5.4876470588235282</v>
      </c>
      <c r="BV110" s="35">
        <f t="shared" si="45"/>
        <v>7.6347058823529403</v>
      </c>
      <c r="BW110" s="35">
        <f t="shared" si="46"/>
        <v>2.1470588235294117</v>
      </c>
      <c r="BX110" s="36">
        <f t="shared" si="47"/>
        <v>25.376402584155052</v>
      </c>
      <c r="BY110" s="36">
        <f t="shared" si="48"/>
        <v>35.304998299897996</v>
      </c>
      <c r="BZ110" s="36">
        <f t="shared" si="49"/>
        <v>9.9285957157429454</v>
      </c>
      <c r="CA110" s="30">
        <v>14</v>
      </c>
      <c r="CB110" s="30">
        <v>3</v>
      </c>
    </row>
    <row r="111" spans="1:80" x14ac:dyDescent="0.4">
      <c r="A111" s="11" t="s">
        <v>53</v>
      </c>
      <c r="B111" s="11" t="s">
        <v>264</v>
      </c>
      <c r="C111" s="11" t="s">
        <v>74</v>
      </c>
      <c r="D111" s="15">
        <v>50</v>
      </c>
      <c r="E111" s="15">
        <v>8</v>
      </c>
      <c r="F111" s="15">
        <v>38</v>
      </c>
      <c r="G111" s="16">
        <v>25900</v>
      </c>
      <c r="H111" s="16">
        <v>232</v>
      </c>
      <c r="I111" s="17">
        <f t="shared" si="50"/>
        <v>4.6399999999999997</v>
      </c>
      <c r="J111" s="15">
        <v>104</v>
      </c>
      <c r="K111" s="15">
        <v>159</v>
      </c>
      <c r="L111" s="17">
        <f t="shared" si="51"/>
        <v>2.08</v>
      </c>
      <c r="M111" s="17">
        <f t="shared" si="52"/>
        <v>3.18</v>
      </c>
      <c r="N111" s="18">
        <f t="shared" si="53"/>
        <v>0.65408805031446537</v>
      </c>
      <c r="O111" s="16">
        <v>104</v>
      </c>
      <c r="P111" s="15">
        <v>159</v>
      </c>
      <c r="Q111" s="17">
        <f t="shared" si="27"/>
        <v>2.08</v>
      </c>
      <c r="R111" s="17">
        <f t="shared" si="28"/>
        <v>3.18</v>
      </c>
      <c r="S111" s="18">
        <f t="shared" si="29"/>
        <v>0.65408805031446537</v>
      </c>
      <c r="T111" s="15">
        <v>0</v>
      </c>
      <c r="U111" s="15">
        <v>0</v>
      </c>
      <c r="V111" s="17">
        <f t="shared" si="30"/>
        <v>0</v>
      </c>
      <c r="W111" s="17">
        <f t="shared" si="31"/>
        <v>0</v>
      </c>
      <c r="X111" s="18" t="e">
        <f t="shared" si="32"/>
        <v>#DIV/0!</v>
      </c>
      <c r="Y111" s="15">
        <v>24</v>
      </c>
      <c r="Z111" s="15">
        <v>42</v>
      </c>
      <c r="AA111" s="17">
        <f t="shared" si="33"/>
        <v>0.48</v>
      </c>
      <c r="AB111" s="17">
        <f t="shared" si="34"/>
        <v>0.84</v>
      </c>
      <c r="AC111" s="18">
        <f t="shared" si="35"/>
        <v>0.5714285714285714</v>
      </c>
      <c r="AD111" s="15">
        <v>175</v>
      </c>
      <c r="AE111" s="17">
        <f t="shared" si="36"/>
        <v>3.5</v>
      </c>
      <c r="AF111" s="15">
        <v>57</v>
      </c>
      <c r="AG111" s="17">
        <f t="shared" si="37"/>
        <v>1.1399999999999999</v>
      </c>
      <c r="AH111" s="15">
        <v>118</v>
      </c>
      <c r="AI111" s="17">
        <f t="shared" si="38"/>
        <v>2.36</v>
      </c>
      <c r="AJ111" s="15">
        <v>22</v>
      </c>
      <c r="AK111" s="17">
        <f t="shared" si="39"/>
        <v>0.44</v>
      </c>
      <c r="AL111" s="15">
        <v>10</v>
      </c>
      <c r="AM111" s="17">
        <f t="shared" si="40"/>
        <v>0.2</v>
      </c>
      <c r="AN111" s="15">
        <v>17</v>
      </c>
      <c r="AO111" s="17">
        <f t="shared" si="41"/>
        <v>0.34</v>
      </c>
      <c r="AP111" s="4">
        <v>33</v>
      </c>
      <c r="AQ111" s="17">
        <f t="shared" si="42"/>
        <v>0.66</v>
      </c>
      <c r="AR111" s="15">
        <v>58</v>
      </c>
      <c r="AS111" s="17">
        <f t="shared" si="43"/>
        <v>1.1599999999999999</v>
      </c>
      <c r="AT111" s="19">
        <v>1.5252371669412956</v>
      </c>
      <c r="AU111" s="19">
        <v>0.14133471817216639</v>
      </c>
      <c r="AV111" s="19">
        <v>0.84043722905153384</v>
      </c>
      <c r="AW111" s="19">
        <v>0.68479993788976179</v>
      </c>
      <c r="AX111" s="19">
        <v>118.36674310437856</v>
      </c>
      <c r="AY111" s="19">
        <v>104.69383021408491</v>
      </c>
      <c r="AZ111" s="19">
        <v>16.667986124298526</v>
      </c>
      <c r="BA111" s="19">
        <v>7</v>
      </c>
      <c r="BB111" s="19">
        <v>32.432432432432428</v>
      </c>
      <c r="BC111" s="18">
        <v>0.65359477124183007</v>
      </c>
      <c r="BD111" s="18">
        <v>0.65408805031446537</v>
      </c>
      <c r="BE111" s="19">
        <v>21.17102979404012</v>
      </c>
      <c r="BF111" s="18">
        <v>0</v>
      </c>
      <c r="BG111" s="18">
        <v>0.26415094339622641</v>
      </c>
      <c r="BH111" s="19">
        <v>13.311122182089925</v>
      </c>
      <c r="BI111" s="19">
        <v>27.556358201519494</v>
      </c>
      <c r="BJ111" s="19">
        <v>19.980552262464535</v>
      </c>
      <c r="BK111" s="19">
        <v>8.5073472544470228</v>
      </c>
      <c r="BL111" s="19">
        <v>1.2792730175839135</v>
      </c>
      <c r="BM111" s="19">
        <v>3.7135539257179992</v>
      </c>
      <c r="BN111" s="19">
        <v>15.678449258836945</v>
      </c>
      <c r="BO111" s="20" t="s">
        <v>239</v>
      </c>
      <c r="BP111" s="21">
        <v>40000</v>
      </c>
      <c r="BQ111" s="30" t="s">
        <v>307</v>
      </c>
      <c r="BR111" s="30">
        <v>484.41</v>
      </c>
      <c r="BS111" s="30">
        <v>603.30999999999995</v>
      </c>
      <c r="BT111" s="30">
        <v>118.9</v>
      </c>
      <c r="BU111" s="35">
        <f t="shared" si="44"/>
        <v>9.6881999999999984</v>
      </c>
      <c r="BV111" s="35">
        <f t="shared" si="45"/>
        <v>12.066199999999998</v>
      </c>
      <c r="BW111" s="35">
        <f t="shared" si="46"/>
        <v>2.3780000000000001</v>
      </c>
      <c r="BX111" s="36">
        <f t="shared" si="47"/>
        <v>44.887413127413119</v>
      </c>
      <c r="BY111" s="36">
        <f t="shared" si="48"/>
        <v>55.905173745173734</v>
      </c>
      <c r="BZ111" s="36">
        <f t="shared" si="49"/>
        <v>11.017760617760617</v>
      </c>
      <c r="CA111" s="31">
        <v>30</v>
      </c>
      <c r="CB111" s="31">
        <v>20</v>
      </c>
    </row>
    <row r="112" spans="1:80" x14ac:dyDescent="0.4">
      <c r="A112" s="11" t="s">
        <v>53</v>
      </c>
      <c r="B112" s="11" t="s">
        <v>264</v>
      </c>
      <c r="C112" s="11" t="s">
        <v>75</v>
      </c>
      <c r="D112" s="10">
        <v>44</v>
      </c>
      <c r="E112" s="10">
        <v>23</v>
      </c>
      <c r="F112" s="10">
        <v>6</v>
      </c>
      <c r="G112" s="16">
        <v>60984</v>
      </c>
      <c r="H112" s="16">
        <v>234</v>
      </c>
      <c r="I112" s="17">
        <f t="shared" si="50"/>
        <v>5.3181818181818183</v>
      </c>
      <c r="J112" s="15">
        <v>86</v>
      </c>
      <c r="K112" s="15">
        <v>233</v>
      </c>
      <c r="L112" s="17">
        <f t="shared" si="51"/>
        <v>1.9545454545454546</v>
      </c>
      <c r="M112" s="17">
        <f t="shared" si="52"/>
        <v>5.2954545454545459</v>
      </c>
      <c r="N112" s="18">
        <f t="shared" si="53"/>
        <v>0.36909871244635195</v>
      </c>
      <c r="O112" s="16">
        <v>34</v>
      </c>
      <c r="P112" s="15">
        <v>51</v>
      </c>
      <c r="Q112" s="17">
        <f t="shared" si="27"/>
        <v>0.77272727272727271</v>
      </c>
      <c r="R112" s="17">
        <f t="shared" si="28"/>
        <v>1.1590909090909092</v>
      </c>
      <c r="S112" s="18">
        <f t="shared" si="29"/>
        <v>0.66666666666666663</v>
      </c>
      <c r="T112" s="15">
        <v>52</v>
      </c>
      <c r="U112" s="15">
        <v>182</v>
      </c>
      <c r="V112" s="17">
        <f t="shared" si="30"/>
        <v>1.1818181818181819</v>
      </c>
      <c r="W112" s="17">
        <f t="shared" si="31"/>
        <v>4.1363636363636367</v>
      </c>
      <c r="X112" s="18">
        <f t="shared" si="32"/>
        <v>0.2857142857142857</v>
      </c>
      <c r="Y112" s="9">
        <v>10</v>
      </c>
      <c r="Z112" s="9">
        <v>15</v>
      </c>
      <c r="AA112" s="17">
        <f t="shared" si="33"/>
        <v>0.22727272727272727</v>
      </c>
      <c r="AB112" s="17">
        <f t="shared" si="34"/>
        <v>0.34090909090909088</v>
      </c>
      <c r="AC112" s="18">
        <f t="shared" si="35"/>
        <v>0.66666666666666663</v>
      </c>
      <c r="AD112" s="15">
        <v>135</v>
      </c>
      <c r="AE112" s="17">
        <f t="shared" si="36"/>
        <v>3.0681818181818183</v>
      </c>
      <c r="AF112" s="15">
        <v>56</v>
      </c>
      <c r="AG112" s="17">
        <f t="shared" si="37"/>
        <v>1.2727272727272727</v>
      </c>
      <c r="AH112" s="15">
        <v>79</v>
      </c>
      <c r="AI112" s="17">
        <f t="shared" si="38"/>
        <v>1.7954545454545454</v>
      </c>
      <c r="AJ112" s="15">
        <v>91</v>
      </c>
      <c r="AK112" s="17">
        <f t="shared" si="39"/>
        <v>2.0681818181818183</v>
      </c>
      <c r="AL112" s="15">
        <v>75</v>
      </c>
      <c r="AM112" s="17">
        <f t="shared" si="40"/>
        <v>1.7045454545454546</v>
      </c>
      <c r="AN112" s="7">
        <v>12</v>
      </c>
      <c r="AO112" s="17">
        <f t="shared" si="41"/>
        <v>0.27272727272727271</v>
      </c>
      <c r="AP112" s="2">
        <v>37</v>
      </c>
      <c r="AQ112" s="17">
        <f t="shared" si="42"/>
        <v>0.84090909090909094</v>
      </c>
      <c r="AR112" s="15">
        <v>126</v>
      </c>
      <c r="AS112" s="17">
        <f t="shared" si="43"/>
        <v>2.8636363636363638</v>
      </c>
      <c r="AT112" s="19">
        <v>1.6801288748528731</v>
      </c>
      <c r="AU112" s="19">
        <v>6.6120774295665999E-2</v>
      </c>
      <c r="AV112" s="19">
        <v>0.46890975992910644</v>
      </c>
      <c r="AW112" s="19">
        <v>1.2112191149237665</v>
      </c>
      <c r="AX112" s="19">
        <v>108.55308991949173</v>
      </c>
      <c r="AY112" s="19">
        <v>108.40351424168684</v>
      </c>
      <c r="AZ112" s="19">
        <v>6.3284041187142401</v>
      </c>
      <c r="BA112" s="19">
        <v>8.1363636363636367</v>
      </c>
      <c r="BB112" s="19">
        <v>14.088941361668635</v>
      </c>
      <c r="BC112" s="18">
        <v>0.48831385642737896</v>
      </c>
      <c r="BD112" s="18">
        <v>0.48068669527896996</v>
      </c>
      <c r="BE112" s="19">
        <v>10.398000967397531</v>
      </c>
      <c r="BF112" s="18">
        <v>0.7811158798283262</v>
      </c>
      <c r="BG112" s="18">
        <v>6.4377682403433473E-2</v>
      </c>
      <c r="BH112" s="19">
        <v>4.8875855327468232</v>
      </c>
      <c r="BI112" s="19">
        <v>6.8949867336964106</v>
      </c>
      <c r="BJ112" s="19">
        <v>5.7606267561910736</v>
      </c>
      <c r="BK112" s="19">
        <v>10.291789187966524</v>
      </c>
      <c r="BL112" s="19">
        <v>4.0748193569735536</v>
      </c>
      <c r="BM112" s="19">
        <v>0.97968980571526521</v>
      </c>
      <c r="BN112" s="19">
        <v>13.376717281272594</v>
      </c>
      <c r="BO112" s="20" t="s">
        <v>257</v>
      </c>
      <c r="BP112" s="21">
        <v>60000</v>
      </c>
      <c r="BQ112" s="31" t="s">
        <v>305</v>
      </c>
      <c r="BR112" s="31">
        <v>687.06</v>
      </c>
      <c r="BS112" s="31">
        <v>880.56</v>
      </c>
      <c r="BT112" s="31">
        <v>193.5</v>
      </c>
      <c r="BU112" s="35">
        <f t="shared" si="44"/>
        <v>15.614999999999998</v>
      </c>
      <c r="BV112" s="35">
        <f t="shared" si="45"/>
        <v>20.012727272727272</v>
      </c>
      <c r="BW112" s="35">
        <f t="shared" si="46"/>
        <v>4.3977272727272725</v>
      </c>
      <c r="BX112" s="36">
        <f t="shared" si="47"/>
        <v>27.038961038961038</v>
      </c>
      <c r="BY112" s="36">
        <f t="shared" si="48"/>
        <v>34.654073199527744</v>
      </c>
      <c r="BZ112" s="36">
        <f t="shared" si="49"/>
        <v>7.6151121605667056</v>
      </c>
      <c r="CA112" s="30">
        <v>27</v>
      </c>
      <c r="CB112" s="30">
        <v>17</v>
      </c>
    </row>
    <row r="113" spans="1:80" x14ac:dyDescent="0.4">
      <c r="A113" s="11" t="s">
        <v>53</v>
      </c>
      <c r="B113" s="11" t="s">
        <v>264</v>
      </c>
      <c r="C113" s="11" t="s">
        <v>73</v>
      </c>
      <c r="D113" s="15">
        <v>52</v>
      </c>
      <c r="E113" s="15">
        <v>16</v>
      </c>
      <c r="F113" s="15">
        <v>17</v>
      </c>
      <c r="G113" s="16">
        <v>50804</v>
      </c>
      <c r="H113" s="16">
        <v>243</v>
      </c>
      <c r="I113" s="17">
        <f t="shared" si="50"/>
        <v>4.6730769230769234</v>
      </c>
      <c r="J113" s="15">
        <v>91</v>
      </c>
      <c r="K113" s="15">
        <v>226</v>
      </c>
      <c r="L113" s="17">
        <f t="shared" si="51"/>
        <v>1.75</v>
      </c>
      <c r="M113" s="17">
        <f t="shared" si="52"/>
        <v>4.3461538461538458</v>
      </c>
      <c r="N113" s="18">
        <f t="shared" si="53"/>
        <v>0.40265486725663718</v>
      </c>
      <c r="O113" s="16">
        <v>59</v>
      </c>
      <c r="P113" s="15">
        <v>123</v>
      </c>
      <c r="Q113" s="17">
        <f t="shared" si="27"/>
        <v>1.1346153846153846</v>
      </c>
      <c r="R113" s="17">
        <f t="shared" si="28"/>
        <v>2.3653846153846154</v>
      </c>
      <c r="S113" s="18">
        <f t="shared" si="29"/>
        <v>0.47967479674796748</v>
      </c>
      <c r="T113" s="15">
        <v>32</v>
      </c>
      <c r="U113" s="15">
        <v>103</v>
      </c>
      <c r="V113" s="17">
        <f t="shared" si="30"/>
        <v>0.61538461538461542</v>
      </c>
      <c r="W113" s="17">
        <f t="shared" si="31"/>
        <v>1.9807692307692308</v>
      </c>
      <c r="X113" s="18">
        <f t="shared" si="32"/>
        <v>0.31067961165048541</v>
      </c>
      <c r="Y113" s="15">
        <v>29</v>
      </c>
      <c r="Z113" s="15">
        <v>44</v>
      </c>
      <c r="AA113" s="17">
        <f t="shared" si="33"/>
        <v>0.55769230769230771</v>
      </c>
      <c r="AB113" s="17">
        <f t="shared" si="34"/>
        <v>0.84615384615384615</v>
      </c>
      <c r="AC113" s="18">
        <f t="shared" si="35"/>
        <v>0.65909090909090906</v>
      </c>
      <c r="AD113" s="15">
        <v>162</v>
      </c>
      <c r="AE113" s="17">
        <f t="shared" si="36"/>
        <v>3.1153846153846154</v>
      </c>
      <c r="AF113" s="15">
        <v>71</v>
      </c>
      <c r="AG113" s="17">
        <f t="shared" si="37"/>
        <v>1.3653846153846154</v>
      </c>
      <c r="AH113" s="15">
        <v>91</v>
      </c>
      <c r="AI113" s="17">
        <f t="shared" si="38"/>
        <v>1.75</v>
      </c>
      <c r="AJ113" s="15">
        <v>56</v>
      </c>
      <c r="AK113" s="17">
        <f t="shared" si="39"/>
        <v>1.0769230769230769</v>
      </c>
      <c r="AL113" s="15">
        <v>31</v>
      </c>
      <c r="AM113" s="17">
        <f t="shared" si="40"/>
        <v>0.59615384615384615</v>
      </c>
      <c r="AN113" s="15">
        <v>1</v>
      </c>
      <c r="AO113" s="17">
        <f t="shared" si="41"/>
        <v>1.9230769230769232E-2</v>
      </c>
      <c r="AP113" s="4">
        <v>27</v>
      </c>
      <c r="AQ113" s="17">
        <f t="shared" si="42"/>
        <v>0.51923076923076927</v>
      </c>
      <c r="AR113" s="15">
        <v>104</v>
      </c>
      <c r="AS113" s="17">
        <f t="shared" si="43"/>
        <v>2</v>
      </c>
      <c r="AT113" s="19">
        <v>1.3308272092501436</v>
      </c>
      <c r="AU113" s="19">
        <v>6.2868776123934031E-2</v>
      </c>
      <c r="AV113" s="19">
        <v>0.65556964861364475</v>
      </c>
      <c r="AW113" s="19">
        <v>0.67525756063649878</v>
      </c>
      <c r="AX113" s="19">
        <v>111.52635207021989</v>
      </c>
      <c r="AY113" s="19">
        <v>112.10809180771636</v>
      </c>
      <c r="AZ113" s="19">
        <v>7.3833477159652094</v>
      </c>
      <c r="BA113" s="19">
        <v>6.0769230769230766</v>
      </c>
      <c r="BB113" s="19">
        <v>14.927958428470198</v>
      </c>
      <c r="BC113" s="18">
        <v>0.49519074013694159</v>
      </c>
      <c r="BD113" s="18">
        <v>0.47345132743362833</v>
      </c>
      <c r="BE113" s="19">
        <v>14.524783569694524</v>
      </c>
      <c r="BF113" s="18">
        <v>0.45575221238938052</v>
      </c>
      <c r="BG113" s="18">
        <v>0.19469026548672566</v>
      </c>
      <c r="BH113" s="19">
        <v>8.7909003863043544</v>
      </c>
      <c r="BI113" s="19">
        <v>11.267210354277413</v>
      </c>
      <c r="BJ113" s="19">
        <v>9.8066268381750188</v>
      </c>
      <c r="BK113" s="19">
        <v>9.445100354191263</v>
      </c>
      <c r="BL113" s="19">
        <v>2.0217469211442487</v>
      </c>
      <c r="BM113" s="19">
        <v>0.11581798624371867</v>
      </c>
      <c r="BN113" s="19">
        <v>9.9133499779703325</v>
      </c>
      <c r="BO113" s="20" t="s">
        <v>257</v>
      </c>
      <c r="BP113" s="21"/>
      <c r="BQ113" s="30" t="s">
        <v>305</v>
      </c>
      <c r="BR113" s="30">
        <v>587.70000000000005</v>
      </c>
      <c r="BS113" s="30">
        <v>768.1</v>
      </c>
      <c r="BT113" s="30">
        <v>180.4</v>
      </c>
      <c r="BU113" s="35">
        <f t="shared" si="44"/>
        <v>11.301923076923078</v>
      </c>
      <c r="BV113" s="35">
        <f t="shared" si="45"/>
        <v>14.771153846153847</v>
      </c>
      <c r="BW113" s="35">
        <f t="shared" si="46"/>
        <v>3.4692307692307693</v>
      </c>
      <c r="BX113" s="36">
        <f t="shared" si="47"/>
        <v>27.763168254468152</v>
      </c>
      <c r="BY113" s="36">
        <f t="shared" si="48"/>
        <v>36.285331863632784</v>
      </c>
      <c r="BZ113" s="36">
        <f t="shared" si="49"/>
        <v>8.5221636091646324</v>
      </c>
      <c r="CA113" s="30">
        <v>31</v>
      </c>
      <c r="CB113" s="30">
        <v>21</v>
      </c>
    </row>
    <row r="114" spans="1:80" x14ac:dyDescent="0.4">
      <c r="A114" s="11" t="s">
        <v>53</v>
      </c>
      <c r="B114" s="11" t="s">
        <v>264</v>
      </c>
      <c r="C114" s="11" t="s">
        <v>87</v>
      </c>
      <c r="D114" s="15">
        <v>1</v>
      </c>
      <c r="E114" s="15">
        <v>3</v>
      </c>
      <c r="F114" s="15">
        <v>0</v>
      </c>
      <c r="G114" s="16">
        <v>180</v>
      </c>
      <c r="H114" s="16">
        <v>0</v>
      </c>
      <c r="I114" s="17">
        <f t="shared" si="50"/>
        <v>0</v>
      </c>
      <c r="J114" s="15">
        <v>0</v>
      </c>
      <c r="K114" s="15">
        <v>0</v>
      </c>
      <c r="L114" s="17">
        <f t="shared" si="51"/>
        <v>0</v>
      </c>
      <c r="M114" s="17">
        <f t="shared" si="52"/>
        <v>0</v>
      </c>
      <c r="N114" s="18" t="e">
        <f t="shared" si="53"/>
        <v>#DIV/0!</v>
      </c>
      <c r="O114" s="16">
        <v>0</v>
      </c>
      <c r="P114" s="15">
        <v>0</v>
      </c>
      <c r="Q114" s="17">
        <f t="shared" si="27"/>
        <v>0</v>
      </c>
      <c r="R114" s="17">
        <f t="shared" si="28"/>
        <v>0</v>
      </c>
      <c r="S114" s="18" t="e">
        <f t="shared" si="29"/>
        <v>#DIV/0!</v>
      </c>
      <c r="T114" s="15">
        <v>0</v>
      </c>
      <c r="U114" s="15">
        <v>0</v>
      </c>
      <c r="V114" s="17">
        <f t="shared" si="30"/>
        <v>0</v>
      </c>
      <c r="W114" s="17">
        <f t="shared" si="31"/>
        <v>0</v>
      </c>
      <c r="X114" s="18" t="e">
        <f t="shared" si="32"/>
        <v>#DIV/0!</v>
      </c>
      <c r="Y114" s="15">
        <v>0</v>
      </c>
      <c r="Z114" s="15">
        <v>0</v>
      </c>
      <c r="AA114" s="17">
        <f t="shared" si="33"/>
        <v>0</v>
      </c>
      <c r="AB114" s="17">
        <f t="shared" si="34"/>
        <v>0</v>
      </c>
      <c r="AC114" s="18" t="e">
        <f t="shared" si="35"/>
        <v>#DIV/0!</v>
      </c>
      <c r="AD114" s="15">
        <v>2</v>
      </c>
      <c r="AE114" s="17">
        <f t="shared" si="36"/>
        <v>2</v>
      </c>
      <c r="AF114" s="15">
        <v>0</v>
      </c>
      <c r="AG114" s="17">
        <f t="shared" si="37"/>
        <v>0</v>
      </c>
      <c r="AH114" s="15">
        <v>2</v>
      </c>
      <c r="AI114" s="17">
        <f t="shared" si="38"/>
        <v>2</v>
      </c>
      <c r="AJ114" s="15">
        <v>0</v>
      </c>
      <c r="AK114" s="17">
        <f t="shared" si="39"/>
        <v>0</v>
      </c>
      <c r="AL114" s="15">
        <v>0</v>
      </c>
      <c r="AM114" s="17">
        <f t="shared" si="40"/>
        <v>0</v>
      </c>
      <c r="AN114" s="15">
        <v>0</v>
      </c>
      <c r="AO114" s="17">
        <f t="shared" si="41"/>
        <v>0</v>
      </c>
      <c r="AP114" s="4">
        <v>1</v>
      </c>
      <c r="AQ114" s="17">
        <f t="shared" si="42"/>
        <v>1</v>
      </c>
      <c r="AR114" s="15">
        <v>1</v>
      </c>
      <c r="AS114" s="17">
        <f t="shared" si="43"/>
        <v>1</v>
      </c>
      <c r="AT114" s="19">
        <v>-2.0166282097801504E-2</v>
      </c>
      <c r="AU114" s="19">
        <v>-0.26888376130402003</v>
      </c>
      <c r="AV114" s="19">
        <v>-2.8933459565839696E-2</v>
      </c>
      <c r="AW114" s="19">
        <v>8.7671774680381925E-3</v>
      </c>
      <c r="AX114" s="19">
        <v>0</v>
      </c>
      <c r="AY114" s="19">
        <v>92.138330598219028</v>
      </c>
      <c r="AZ114" s="19">
        <v>-0.25796285137778791</v>
      </c>
      <c r="BA114" s="19">
        <v>1</v>
      </c>
      <c r="BB114" s="19">
        <v>13.333333333333332</v>
      </c>
      <c r="BC114" s="18">
        <v>0</v>
      </c>
      <c r="BD114" s="18">
        <v>0</v>
      </c>
      <c r="BE114" s="19">
        <v>0.28945989677860084</v>
      </c>
      <c r="BF114" s="18">
        <v>0</v>
      </c>
      <c r="BG114" s="18">
        <v>0</v>
      </c>
      <c r="BH114" s="19">
        <v>0</v>
      </c>
      <c r="BI114" s="19">
        <v>1.3440860215053763</v>
      </c>
      <c r="BJ114" s="19">
        <v>0.65713816329883357</v>
      </c>
      <c r="BK114" s="19">
        <v>0</v>
      </c>
      <c r="BL114" s="19">
        <v>0</v>
      </c>
      <c r="BM114" s="19">
        <v>0</v>
      </c>
      <c r="BN114" s="19">
        <v>100</v>
      </c>
      <c r="BO114" s="20" t="s">
        <v>257</v>
      </c>
      <c r="BP114" s="21">
        <v>750000</v>
      </c>
      <c r="BQ114" s="30" t="s">
        <v>306</v>
      </c>
      <c r="BR114" s="30">
        <v>1.25</v>
      </c>
      <c r="BS114" s="30">
        <v>2.75</v>
      </c>
      <c r="BT114" s="30">
        <v>1.5</v>
      </c>
      <c r="BU114" s="35">
        <f t="shared" si="44"/>
        <v>1.25</v>
      </c>
      <c r="BV114" s="35">
        <f t="shared" si="45"/>
        <v>2.75</v>
      </c>
      <c r="BW114" s="35">
        <f t="shared" si="46"/>
        <v>1.5</v>
      </c>
      <c r="BX114" s="36">
        <f t="shared" si="47"/>
        <v>16.666666666666664</v>
      </c>
      <c r="BY114" s="36">
        <f t="shared" si="48"/>
        <v>36.666666666666664</v>
      </c>
      <c r="BZ114" s="36">
        <f t="shared" si="49"/>
        <v>20</v>
      </c>
      <c r="CA114" s="30">
        <v>0</v>
      </c>
      <c r="CB114" s="30">
        <v>1</v>
      </c>
    </row>
    <row r="115" spans="1:80" x14ac:dyDescent="0.4">
      <c r="A115" s="11" t="s">
        <v>53</v>
      </c>
      <c r="B115" s="11" t="s">
        <v>264</v>
      </c>
      <c r="C115" s="11" t="s">
        <v>88</v>
      </c>
      <c r="D115" s="15">
        <v>2</v>
      </c>
      <c r="E115" s="15">
        <v>4</v>
      </c>
      <c r="F115" s="15">
        <v>45</v>
      </c>
      <c r="G115" s="16">
        <v>570</v>
      </c>
      <c r="H115" s="16">
        <v>2</v>
      </c>
      <c r="I115" s="17">
        <f t="shared" si="50"/>
        <v>1</v>
      </c>
      <c r="J115" s="15">
        <v>1</v>
      </c>
      <c r="K115" s="15">
        <v>6</v>
      </c>
      <c r="L115" s="17">
        <f t="shared" si="51"/>
        <v>0.5</v>
      </c>
      <c r="M115" s="17">
        <f t="shared" si="52"/>
        <v>3</v>
      </c>
      <c r="N115" s="18">
        <f t="shared" si="53"/>
        <v>0.16666666666666666</v>
      </c>
      <c r="O115" s="16">
        <v>1</v>
      </c>
      <c r="P115" s="15">
        <v>4</v>
      </c>
      <c r="Q115" s="17">
        <f t="shared" si="27"/>
        <v>0.5</v>
      </c>
      <c r="R115" s="17">
        <f t="shared" si="28"/>
        <v>2</v>
      </c>
      <c r="S115" s="18">
        <f t="shared" si="29"/>
        <v>0.25</v>
      </c>
      <c r="T115" s="15">
        <v>0</v>
      </c>
      <c r="U115" s="15">
        <v>2</v>
      </c>
      <c r="V115" s="17">
        <f t="shared" si="30"/>
        <v>0</v>
      </c>
      <c r="W115" s="17">
        <f t="shared" si="31"/>
        <v>1</v>
      </c>
      <c r="X115" s="18">
        <f t="shared" si="32"/>
        <v>0</v>
      </c>
      <c r="Y115" s="15">
        <v>0</v>
      </c>
      <c r="Z115" s="15">
        <v>0</v>
      </c>
      <c r="AA115" s="17">
        <f t="shared" si="33"/>
        <v>0</v>
      </c>
      <c r="AB115" s="17">
        <f t="shared" si="34"/>
        <v>0</v>
      </c>
      <c r="AC115" s="18" t="e">
        <f t="shared" si="35"/>
        <v>#DIV/0!</v>
      </c>
      <c r="AD115" s="15">
        <v>1</v>
      </c>
      <c r="AE115" s="17">
        <f t="shared" si="36"/>
        <v>0.5</v>
      </c>
      <c r="AF115" s="15">
        <v>0</v>
      </c>
      <c r="AG115" s="17">
        <f t="shared" si="37"/>
        <v>0</v>
      </c>
      <c r="AH115" s="15">
        <v>1</v>
      </c>
      <c r="AI115" s="17">
        <f t="shared" si="38"/>
        <v>0.5</v>
      </c>
      <c r="AJ115" s="15">
        <v>0</v>
      </c>
      <c r="AK115" s="17">
        <f t="shared" si="39"/>
        <v>0</v>
      </c>
      <c r="AL115" s="15">
        <v>1</v>
      </c>
      <c r="AM115" s="17">
        <f t="shared" si="40"/>
        <v>0.5</v>
      </c>
      <c r="AN115" s="15">
        <v>0</v>
      </c>
      <c r="AO115" s="17">
        <f t="shared" si="41"/>
        <v>0</v>
      </c>
      <c r="AP115" s="4">
        <v>0</v>
      </c>
      <c r="AQ115" s="17">
        <f t="shared" si="42"/>
        <v>0</v>
      </c>
      <c r="AR115" s="15">
        <v>2</v>
      </c>
      <c r="AS115" s="17">
        <f t="shared" si="43"/>
        <v>1</v>
      </c>
      <c r="AT115" s="19">
        <v>-5.7751799739551482E-2</v>
      </c>
      <c r="AU115" s="19">
        <v>-0.2431654725875852</v>
      </c>
      <c r="AV115" s="19">
        <v>-7.3704557352447228E-2</v>
      </c>
      <c r="AW115" s="19">
        <v>1.5952757612895743E-2</v>
      </c>
      <c r="AX115" s="19">
        <v>40.653478457912279</v>
      </c>
      <c r="AY115" s="19">
        <v>103.82143278165772</v>
      </c>
      <c r="AZ115" s="19">
        <v>-0.31019690001581957</v>
      </c>
      <c r="BA115" s="19">
        <v>-0.5</v>
      </c>
      <c r="BB115" s="19">
        <v>-4.2105263157894735</v>
      </c>
      <c r="BC115" s="18">
        <v>0.16666666666666666</v>
      </c>
      <c r="BD115" s="18">
        <v>0.16666666666666666</v>
      </c>
      <c r="BE115" s="19">
        <v>1.0969006614768031</v>
      </c>
      <c r="BF115" s="18">
        <v>0.33333333333333331</v>
      </c>
      <c r="BG115" s="18">
        <v>0</v>
      </c>
      <c r="BH115" s="19">
        <v>0</v>
      </c>
      <c r="BI115" s="19">
        <v>0.42444821731748728</v>
      </c>
      <c r="BJ115" s="19">
        <v>0.20751731472594745</v>
      </c>
      <c r="BK115" s="19">
        <v>0</v>
      </c>
      <c r="BL115" s="19">
        <v>5.8128370448111157</v>
      </c>
      <c r="BM115" s="19">
        <v>0</v>
      </c>
      <c r="BN115" s="19">
        <v>0</v>
      </c>
      <c r="BO115" s="20" t="s">
        <v>257</v>
      </c>
      <c r="BP115" s="21">
        <v>100000</v>
      </c>
      <c r="BQ115" s="31" t="s">
        <v>305</v>
      </c>
      <c r="BR115" s="31">
        <v>1.57</v>
      </c>
      <c r="BS115" s="31">
        <v>6.37</v>
      </c>
      <c r="BT115" s="31">
        <v>4.8</v>
      </c>
      <c r="BU115" s="35">
        <f t="shared" si="44"/>
        <v>0.78500000000000014</v>
      </c>
      <c r="BV115" s="35">
        <f t="shared" si="45"/>
        <v>3.1850000000000001</v>
      </c>
      <c r="BW115" s="35">
        <f t="shared" si="46"/>
        <v>2.4</v>
      </c>
      <c r="BX115" s="36">
        <f t="shared" si="47"/>
        <v>6.6105263157894747</v>
      </c>
      <c r="BY115" s="36">
        <f t="shared" si="48"/>
        <v>26.821052631578947</v>
      </c>
      <c r="BZ115" s="36">
        <f t="shared" si="49"/>
        <v>20.210526315789473</v>
      </c>
      <c r="CA115" s="30">
        <v>1</v>
      </c>
      <c r="CB115" s="30">
        <v>1</v>
      </c>
    </row>
    <row r="116" spans="1:80" x14ac:dyDescent="0.4">
      <c r="A116" s="11" t="s">
        <v>53</v>
      </c>
      <c r="B116" s="11" t="s">
        <v>264</v>
      </c>
      <c r="C116" s="11" t="s">
        <v>86</v>
      </c>
      <c r="D116" s="15">
        <v>5</v>
      </c>
      <c r="E116" s="15">
        <v>5</v>
      </c>
      <c r="F116" s="15">
        <v>38</v>
      </c>
      <c r="G116" s="16">
        <v>1690</v>
      </c>
      <c r="H116" s="16">
        <v>4</v>
      </c>
      <c r="I116" s="17">
        <f t="shared" si="50"/>
        <v>0.8</v>
      </c>
      <c r="J116" s="15">
        <v>2</v>
      </c>
      <c r="K116" s="15">
        <v>6</v>
      </c>
      <c r="L116" s="17">
        <f t="shared" si="51"/>
        <v>0.4</v>
      </c>
      <c r="M116" s="17">
        <f t="shared" si="52"/>
        <v>1.2</v>
      </c>
      <c r="N116" s="18">
        <f t="shared" si="53"/>
        <v>0.33333333333333331</v>
      </c>
      <c r="O116" s="16">
        <v>2</v>
      </c>
      <c r="P116" s="15">
        <v>6</v>
      </c>
      <c r="Q116" s="17">
        <f t="shared" si="27"/>
        <v>0.4</v>
      </c>
      <c r="R116" s="17">
        <f t="shared" si="28"/>
        <v>1.2</v>
      </c>
      <c r="S116" s="18">
        <f t="shared" si="29"/>
        <v>0.33333333333333331</v>
      </c>
      <c r="T116" s="15">
        <v>0</v>
      </c>
      <c r="U116" s="15">
        <v>0</v>
      </c>
      <c r="V116" s="17">
        <f t="shared" si="30"/>
        <v>0</v>
      </c>
      <c r="W116" s="17">
        <f t="shared" si="31"/>
        <v>0</v>
      </c>
      <c r="X116" s="18" t="e">
        <f t="shared" si="32"/>
        <v>#DIV/0!</v>
      </c>
      <c r="Y116" s="15">
        <v>0</v>
      </c>
      <c r="Z116" s="15">
        <v>1</v>
      </c>
      <c r="AA116" s="17">
        <f t="shared" si="33"/>
        <v>0</v>
      </c>
      <c r="AB116" s="17">
        <f t="shared" si="34"/>
        <v>0.2</v>
      </c>
      <c r="AC116" s="18">
        <f t="shared" si="35"/>
        <v>0</v>
      </c>
      <c r="AD116" s="15">
        <v>2</v>
      </c>
      <c r="AE116" s="17">
        <f t="shared" si="36"/>
        <v>0.4</v>
      </c>
      <c r="AF116" s="15">
        <v>1</v>
      </c>
      <c r="AG116" s="17">
        <f t="shared" si="37"/>
        <v>0.2</v>
      </c>
      <c r="AH116" s="15">
        <v>1</v>
      </c>
      <c r="AI116" s="17">
        <f t="shared" si="38"/>
        <v>0.2</v>
      </c>
      <c r="AJ116" s="15">
        <v>1</v>
      </c>
      <c r="AK116" s="17">
        <f t="shared" si="39"/>
        <v>0.2</v>
      </c>
      <c r="AL116" s="15">
        <v>0</v>
      </c>
      <c r="AM116" s="17">
        <f t="shared" si="40"/>
        <v>0</v>
      </c>
      <c r="AN116" s="15">
        <v>1</v>
      </c>
      <c r="AO116" s="17">
        <f t="shared" si="41"/>
        <v>0.2</v>
      </c>
      <c r="AP116" s="4">
        <v>1</v>
      </c>
      <c r="AQ116" s="17">
        <f t="shared" si="42"/>
        <v>0.2</v>
      </c>
      <c r="AR116" s="15">
        <v>6</v>
      </c>
      <c r="AS116" s="17">
        <f t="shared" si="43"/>
        <v>1.2</v>
      </c>
      <c r="AT116" s="19">
        <v>-4.9303761724357451E-2</v>
      </c>
      <c r="AU116" s="19">
        <v>-7.0017176413288681E-2</v>
      </c>
      <c r="AV116" s="19">
        <v>-5.5580579331618508E-2</v>
      </c>
      <c r="AW116" s="19">
        <v>6.2768176072610553E-3</v>
      </c>
      <c r="AX116" s="19">
        <v>70.676901469595435</v>
      </c>
      <c r="AY116" s="19">
        <v>117.5085266875856</v>
      </c>
      <c r="AZ116" s="19">
        <v>-0.30848843516771152</v>
      </c>
      <c r="BA116" s="19">
        <v>0.4</v>
      </c>
      <c r="BB116" s="19">
        <v>2.8402366863905328</v>
      </c>
      <c r="BC116" s="18">
        <v>0.3105590062111801</v>
      </c>
      <c r="BD116" s="18">
        <v>0.33333333333333331</v>
      </c>
      <c r="BE116" s="19">
        <v>1.1468777922068114</v>
      </c>
      <c r="BF116" s="18">
        <v>0</v>
      </c>
      <c r="BG116" s="18">
        <v>0.16666666666666666</v>
      </c>
      <c r="BH116" s="19">
        <v>0.35789272761977475</v>
      </c>
      <c r="BI116" s="19">
        <v>0.35789272761977475</v>
      </c>
      <c r="BJ116" s="19">
        <v>0.34995523489286995</v>
      </c>
      <c r="BK116" s="19">
        <v>0.42625745950554134</v>
      </c>
      <c r="BL116" s="19">
        <v>0</v>
      </c>
      <c r="BM116" s="19">
        <v>0.33477565846187324</v>
      </c>
      <c r="BN116" s="19">
        <v>13.440860215053762</v>
      </c>
      <c r="BO116" s="20" t="s">
        <v>257</v>
      </c>
      <c r="BP116" s="21"/>
      <c r="BQ116" s="31" t="s">
        <v>307</v>
      </c>
      <c r="BR116" s="31">
        <v>9.74</v>
      </c>
      <c r="BS116" s="31">
        <v>16.04</v>
      </c>
      <c r="BT116" s="31">
        <v>6.3</v>
      </c>
      <c r="BU116" s="35">
        <f t="shared" si="44"/>
        <v>1.9479999999999997</v>
      </c>
      <c r="BV116" s="35">
        <f t="shared" si="45"/>
        <v>3.2079999999999997</v>
      </c>
      <c r="BW116" s="35">
        <f t="shared" si="46"/>
        <v>1.26</v>
      </c>
      <c r="BX116" s="36">
        <f t="shared" si="47"/>
        <v>13.831952662721894</v>
      </c>
      <c r="BY116" s="36">
        <f t="shared" si="48"/>
        <v>22.778698224852072</v>
      </c>
      <c r="BZ116" s="36">
        <f t="shared" si="49"/>
        <v>8.946745562130177</v>
      </c>
      <c r="CA116" s="31">
        <v>2</v>
      </c>
      <c r="CB116" s="31">
        <v>3</v>
      </c>
    </row>
    <row r="117" spans="1:80" x14ac:dyDescent="0.4">
      <c r="A117" s="11" t="s">
        <v>53</v>
      </c>
      <c r="B117" s="11" t="s">
        <v>264</v>
      </c>
      <c r="C117" s="11" t="s">
        <v>81</v>
      </c>
      <c r="D117" s="15">
        <v>23</v>
      </c>
      <c r="E117" s="15">
        <v>10</v>
      </c>
      <c r="F117" s="15">
        <v>9</v>
      </c>
      <c r="G117" s="16">
        <v>14007</v>
      </c>
      <c r="H117" s="16">
        <v>102</v>
      </c>
      <c r="I117" s="17">
        <f t="shared" si="50"/>
        <v>4.4347826086956523</v>
      </c>
      <c r="J117" s="15">
        <v>37</v>
      </c>
      <c r="K117" s="15">
        <v>88</v>
      </c>
      <c r="L117" s="17">
        <f t="shared" si="51"/>
        <v>1.6086956521739131</v>
      </c>
      <c r="M117" s="17">
        <f t="shared" si="52"/>
        <v>3.8260869565217392</v>
      </c>
      <c r="N117" s="18">
        <f t="shared" si="53"/>
        <v>0.42045454545454547</v>
      </c>
      <c r="O117" s="16">
        <v>21</v>
      </c>
      <c r="P117" s="15">
        <v>43</v>
      </c>
      <c r="Q117" s="17">
        <f t="shared" si="27"/>
        <v>0.91304347826086951</v>
      </c>
      <c r="R117" s="17">
        <f t="shared" si="28"/>
        <v>1.8695652173913044</v>
      </c>
      <c r="S117" s="18">
        <f t="shared" si="29"/>
        <v>0.48837209302325579</v>
      </c>
      <c r="T117" s="15">
        <v>16</v>
      </c>
      <c r="U117" s="15">
        <v>45</v>
      </c>
      <c r="V117" s="17">
        <f t="shared" si="30"/>
        <v>0.69565217391304346</v>
      </c>
      <c r="W117" s="17">
        <f t="shared" si="31"/>
        <v>1.9565217391304348</v>
      </c>
      <c r="X117" s="18">
        <f t="shared" si="32"/>
        <v>0.35555555555555557</v>
      </c>
      <c r="Y117" s="15">
        <v>12</v>
      </c>
      <c r="Z117" s="15">
        <v>14</v>
      </c>
      <c r="AA117" s="17">
        <f t="shared" si="33"/>
        <v>0.52173913043478259</v>
      </c>
      <c r="AB117" s="17">
        <f t="shared" si="34"/>
        <v>0.60869565217391308</v>
      </c>
      <c r="AC117" s="18">
        <f t="shared" si="35"/>
        <v>0.8571428571428571</v>
      </c>
      <c r="AD117" s="15">
        <v>24</v>
      </c>
      <c r="AE117" s="17">
        <f t="shared" si="36"/>
        <v>1.0434782608695652</v>
      </c>
      <c r="AF117" s="15">
        <v>11</v>
      </c>
      <c r="AG117" s="17">
        <f t="shared" si="37"/>
        <v>0.47826086956521741</v>
      </c>
      <c r="AH117" s="15">
        <v>13</v>
      </c>
      <c r="AI117" s="17">
        <f t="shared" si="38"/>
        <v>0.56521739130434778</v>
      </c>
      <c r="AJ117" s="15">
        <v>21</v>
      </c>
      <c r="AK117" s="17">
        <f t="shared" si="39"/>
        <v>0.91304347826086951</v>
      </c>
      <c r="AL117" s="15">
        <v>9</v>
      </c>
      <c r="AM117" s="17">
        <f t="shared" si="40"/>
        <v>0.39130434782608697</v>
      </c>
      <c r="AN117" s="15">
        <v>1</v>
      </c>
      <c r="AO117" s="17">
        <f t="shared" si="41"/>
        <v>4.3478260869565216E-2</v>
      </c>
      <c r="AP117" s="4">
        <v>15</v>
      </c>
      <c r="AQ117" s="17">
        <f t="shared" si="42"/>
        <v>0.65217391304347827</v>
      </c>
      <c r="AR117" s="15">
        <v>12</v>
      </c>
      <c r="AS117" s="17">
        <f t="shared" si="43"/>
        <v>0.52173913043478259</v>
      </c>
      <c r="AT117" s="19">
        <v>0.29128847820771175</v>
      </c>
      <c r="AU117" s="19">
        <v>4.9910212586457357E-2</v>
      </c>
      <c r="AV117" s="19">
        <v>0.15550963765367004</v>
      </c>
      <c r="AW117" s="19">
        <v>0.13577884055404171</v>
      </c>
      <c r="AX117" s="19">
        <v>107.87804594225636</v>
      </c>
      <c r="AY117" s="19">
        <v>114.13679821461838</v>
      </c>
      <c r="AZ117" s="19">
        <v>4.4051783573585483</v>
      </c>
      <c r="BA117" s="19">
        <v>3.8695652173913042</v>
      </c>
      <c r="BB117" s="19">
        <v>15.249518098093811</v>
      </c>
      <c r="BC117" s="18">
        <v>0.5416312659303314</v>
      </c>
      <c r="BD117" s="18">
        <v>0.51136363636363635</v>
      </c>
      <c r="BE117" s="19">
        <v>9.3391455169513478</v>
      </c>
      <c r="BF117" s="18">
        <v>0.51136363636363635</v>
      </c>
      <c r="BG117" s="18">
        <v>0.15909090909090909</v>
      </c>
      <c r="BH117" s="19">
        <v>2.1849674241220405</v>
      </c>
      <c r="BI117" s="19">
        <v>2.5822342285078661</v>
      </c>
      <c r="BJ117" s="19">
        <v>2.3307363427347791</v>
      </c>
      <c r="BK117" s="19">
        <v>5.3942974569740567</v>
      </c>
      <c r="BL117" s="19">
        <v>2.1289251117213559</v>
      </c>
      <c r="BM117" s="19">
        <v>0.18580323901496412</v>
      </c>
      <c r="BN117" s="19">
        <v>13.741297178453646</v>
      </c>
      <c r="BO117" s="20" t="s">
        <v>244</v>
      </c>
      <c r="BP117" s="21">
        <v>45000</v>
      </c>
      <c r="BQ117" s="30" t="s">
        <v>305</v>
      </c>
      <c r="BR117" s="30">
        <v>159.13999999999999</v>
      </c>
      <c r="BS117" s="30">
        <v>231.34</v>
      </c>
      <c r="BT117" s="30">
        <v>72.2</v>
      </c>
      <c r="BU117" s="35">
        <f t="shared" si="44"/>
        <v>6.9191304347826081</v>
      </c>
      <c r="BV117" s="35">
        <f t="shared" si="45"/>
        <v>10.058260869565217</v>
      </c>
      <c r="BW117" s="35">
        <f t="shared" si="46"/>
        <v>3.1391304347826088</v>
      </c>
      <c r="BX117" s="36">
        <f t="shared" si="47"/>
        <v>27.267509102591561</v>
      </c>
      <c r="BY117" s="36">
        <f t="shared" si="48"/>
        <v>39.638466481045192</v>
      </c>
      <c r="BZ117" s="36">
        <f t="shared" si="49"/>
        <v>12.37095737845363</v>
      </c>
      <c r="CA117" s="30">
        <v>16</v>
      </c>
      <c r="CB117" s="30">
        <v>7</v>
      </c>
    </row>
    <row r="118" spans="1:80" x14ac:dyDescent="0.4">
      <c r="A118" s="11" t="s">
        <v>53</v>
      </c>
      <c r="B118" s="11" t="s">
        <v>264</v>
      </c>
      <c r="C118" s="11" t="s">
        <v>76</v>
      </c>
      <c r="D118" s="15">
        <v>45</v>
      </c>
      <c r="E118" s="15">
        <v>11</v>
      </c>
      <c r="F118" s="15">
        <v>15</v>
      </c>
      <c r="G118" s="16">
        <v>30375</v>
      </c>
      <c r="H118" s="16">
        <v>173</v>
      </c>
      <c r="I118" s="17">
        <f t="shared" si="50"/>
        <v>3.8444444444444446</v>
      </c>
      <c r="J118" s="15">
        <v>72</v>
      </c>
      <c r="K118" s="15">
        <v>147</v>
      </c>
      <c r="L118" s="17">
        <f t="shared" si="51"/>
        <v>1.6</v>
      </c>
      <c r="M118" s="17">
        <f t="shared" si="52"/>
        <v>3.2666666666666666</v>
      </c>
      <c r="N118" s="18">
        <f t="shared" si="53"/>
        <v>0.48979591836734693</v>
      </c>
      <c r="O118" s="16">
        <v>72</v>
      </c>
      <c r="P118" s="15">
        <v>146</v>
      </c>
      <c r="Q118" s="17">
        <f t="shared" si="27"/>
        <v>1.6</v>
      </c>
      <c r="R118" s="17">
        <f t="shared" si="28"/>
        <v>3.2444444444444445</v>
      </c>
      <c r="S118" s="18">
        <f t="shared" si="29"/>
        <v>0.49315068493150682</v>
      </c>
      <c r="T118" s="15">
        <v>0</v>
      </c>
      <c r="U118" s="15">
        <v>1</v>
      </c>
      <c r="V118" s="17">
        <f t="shared" si="30"/>
        <v>0</v>
      </c>
      <c r="W118" s="17">
        <f t="shared" si="31"/>
        <v>2.2222222222222223E-2</v>
      </c>
      <c r="X118" s="18">
        <f t="shared" si="32"/>
        <v>0</v>
      </c>
      <c r="Y118" s="15">
        <v>29</v>
      </c>
      <c r="Z118" s="15">
        <v>49</v>
      </c>
      <c r="AA118" s="17">
        <f t="shared" si="33"/>
        <v>0.64444444444444449</v>
      </c>
      <c r="AB118" s="17">
        <f t="shared" si="34"/>
        <v>1.0888888888888888</v>
      </c>
      <c r="AC118" s="18">
        <f t="shared" si="35"/>
        <v>0.59183673469387754</v>
      </c>
      <c r="AD118" s="15">
        <v>95</v>
      </c>
      <c r="AE118" s="17">
        <f t="shared" si="36"/>
        <v>2.1111111111111112</v>
      </c>
      <c r="AF118" s="15">
        <v>50</v>
      </c>
      <c r="AG118" s="17">
        <f t="shared" si="37"/>
        <v>1.1111111111111112</v>
      </c>
      <c r="AH118" s="15">
        <v>45</v>
      </c>
      <c r="AI118" s="17">
        <f t="shared" si="38"/>
        <v>1</v>
      </c>
      <c r="AJ118" s="15">
        <v>10</v>
      </c>
      <c r="AK118" s="17">
        <f t="shared" si="39"/>
        <v>0.22222222222222221</v>
      </c>
      <c r="AL118" s="15">
        <v>11</v>
      </c>
      <c r="AM118" s="17">
        <f t="shared" si="40"/>
        <v>0.24444444444444444</v>
      </c>
      <c r="AN118" s="15">
        <v>14</v>
      </c>
      <c r="AO118" s="17">
        <f t="shared" si="41"/>
        <v>0.31111111111111112</v>
      </c>
      <c r="AP118" s="4">
        <v>22</v>
      </c>
      <c r="AQ118" s="17">
        <f t="shared" si="42"/>
        <v>0.48888888888888887</v>
      </c>
      <c r="AR118" s="15">
        <v>70</v>
      </c>
      <c r="AS118" s="17">
        <f t="shared" si="43"/>
        <v>1.5555555555555556</v>
      </c>
      <c r="AT118" s="19">
        <v>0.51141630023934703</v>
      </c>
      <c r="AU118" s="19">
        <v>4.0408201500392857E-2</v>
      </c>
      <c r="AV118" s="19">
        <v>0.17084910290381783</v>
      </c>
      <c r="AW118" s="19">
        <v>0.34056719733552926</v>
      </c>
      <c r="AX118" s="19">
        <v>105.59148802500495</v>
      </c>
      <c r="AY118" s="19">
        <v>113.2805812284987</v>
      </c>
      <c r="AZ118" s="19">
        <v>6.1008369200862909</v>
      </c>
      <c r="BA118" s="19">
        <v>4.1333333333333337</v>
      </c>
      <c r="BB118" s="19">
        <v>14.696296296296296</v>
      </c>
      <c r="BC118" s="18">
        <v>0.51317038443284291</v>
      </c>
      <c r="BD118" s="18">
        <v>0.48979591836734693</v>
      </c>
      <c r="BE118" s="19">
        <v>14.709194114701379</v>
      </c>
      <c r="BF118" s="18">
        <v>6.8027210884353739E-3</v>
      </c>
      <c r="BG118" s="18">
        <v>0.33333333333333331</v>
      </c>
      <c r="BH118" s="19">
        <v>8.9605734767025087</v>
      </c>
      <c r="BI118" s="19">
        <v>8.064516129032258</v>
      </c>
      <c r="BJ118" s="19">
        <v>8.3237500684518917</v>
      </c>
      <c r="BK118" s="19">
        <v>2.4968789013732833</v>
      </c>
      <c r="BL118" s="19">
        <v>1.1998843875215044</v>
      </c>
      <c r="BM118" s="19">
        <v>2.3469013568023467</v>
      </c>
      <c r="BN118" s="19">
        <v>11.544920235096557</v>
      </c>
      <c r="BO118" s="20" t="s">
        <v>257</v>
      </c>
      <c r="BP118" s="21">
        <v>61208</v>
      </c>
      <c r="BQ118" s="30" t="s">
        <v>307</v>
      </c>
      <c r="BR118" s="30">
        <v>344.74</v>
      </c>
      <c r="BS118" s="30">
        <v>468.64</v>
      </c>
      <c r="BT118" s="30">
        <v>123.9</v>
      </c>
      <c r="BU118" s="35">
        <f t="shared" si="44"/>
        <v>7.6608888888888877</v>
      </c>
      <c r="BV118" s="35">
        <f t="shared" si="45"/>
        <v>10.414222222222222</v>
      </c>
      <c r="BW118" s="35">
        <f t="shared" si="46"/>
        <v>2.7533333333333334</v>
      </c>
      <c r="BX118" s="36">
        <f t="shared" si="47"/>
        <v>27.238716049382717</v>
      </c>
      <c r="BY118" s="36">
        <f t="shared" si="48"/>
        <v>37.028345679012347</v>
      </c>
      <c r="BZ118" s="36">
        <f t="shared" si="49"/>
        <v>9.7896296296296299</v>
      </c>
      <c r="CA118" s="30">
        <v>27</v>
      </c>
      <c r="CB118" s="30">
        <v>18</v>
      </c>
    </row>
    <row r="119" spans="1:80" x14ac:dyDescent="0.4">
      <c r="A119" s="11" t="s">
        <v>53</v>
      </c>
      <c r="B119" s="11" t="s">
        <v>264</v>
      </c>
      <c r="C119" s="11" t="s">
        <v>84</v>
      </c>
      <c r="D119" s="15">
        <v>14</v>
      </c>
      <c r="E119" s="15">
        <v>6</v>
      </c>
      <c r="F119" s="15">
        <v>25</v>
      </c>
      <c r="G119" s="16">
        <v>5390</v>
      </c>
      <c r="H119" s="16">
        <v>22</v>
      </c>
      <c r="I119" s="17">
        <f t="shared" si="50"/>
        <v>1.5714285714285714</v>
      </c>
      <c r="J119" s="15">
        <v>8</v>
      </c>
      <c r="K119" s="15">
        <v>24</v>
      </c>
      <c r="L119" s="17">
        <f t="shared" si="51"/>
        <v>0.5714285714285714</v>
      </c>
      <c r="M119" s="17">
        <f t="shared" si="52"/>
        <v>1.7142857142857142</v>
      </c>
      <c r="N119" s="18">
        <f t="shared" si="53"/>
        <v>0.33333333333333331</v>
      </c>
      <c r="O119" s="16">
        <v>2</v>
      </c>
      <c r="P119" s="15">
        <v>5</v>
      </c>
      <c r="Q119" s="17">
        <f t="shared" si="27"/>
        <v>0.14285714285714285</v>
      </c>
      <c r="R119" s="17">
        <f t="shared" si="28"/>
        <v>0.35714285714285715</v>
      </c>
      <c r="S119" s="18">
        <f t="shared" si="29"/>
        <v>0.4</v>
      </c>
      <c r="T119" s="15">
        <v>6</v>
      </c>
      <c r="U119" s="15">
        <v>19</v>
      </c>
      <c r="V119" s="17">
        <f t="shared" si="30"/>
        <v>0.42857142857142855</v>
      </c>
      <c r="W119" s="17">
        <f t="shared" si="31"/>
        <v>1.3571428571428572</v>
      </c>
      <c r="X119" s="18">
        <f t="shared" si="32"/>
        <v>0.31578947368421051</v>
      </c>
      <c r="Y119" s="15">
        <v>0</v>
      </c>
      <c r="Z119" s="15">
        <v>0</v>
      </c>
      <c r="AA119" s="17">
        <f t="shared" si="33"/>
        <v>0</v>
      </c>
      <c r="AB119" s="17">
        <f t="shared" si="34"/>
        <v>0</v>
      </c>
      <c r="AC119" s="18" t="e">
        <f t="shared" si="35"/>
        <v>#DIV/0!</v>
      </c>
      <c r="AD119" s="15">
        <v>6</v>
      </c>
      <c r="AE119" s="17">
        <f t="shared" si="36"/>
        <v>0.42857142857142855</v>
      </c>
      <c r="AF119" s="15">
        <v>2</v>
      </c>
      <c r="AG119" s="17">
        <f t="shared" si="37"/>
        <v>0.14285714285714285</v>
      </c>
      <c r="AH119" s="15">
        <v>4</v>
      </c>
      <c r="AI119" s="17">
        <f t="shared" si="38"/>
        <v>0.2857142857142857</v>
      </c>
      <c r="AJ119" s="15">
        <v>1</v>
      </c>
      <c r="AK119" s="17">
        <f t="shared" si="39"/>
        <v>7.1428571428571425E-2</v>
      </c>
      <c r="AL119" s="15">
        <v>3</v>
      </c>
      <c r="AM119" s="17">
        <f t="shared" si="40"/>
        <v>0.21428571428571427</v>
      </c>
      <c r="AN119" s="15">
        <v>0</v>
      </c>
      <c r="AO119" s="17">
        <f t="shared" si="41"/>
        <v>0</v>
      </c>
      <c r="AP119" s="4">
        <v>3</v>
      </c>
      <c r="AQ119" s="17">
        <f t="shared" si="42"/>
        <v>0.21428571428571427</v>
      </c>
      <c r="AR119" s="15">
        <v>12</v>
      </c>
      <c r="AS119" s="17">
        <f t="shared" si="43"/>
        <v>0.8571428571428571</v>
      </c>
      <c r="AT119" s="19">
        <v>-2.557706094664821E-2</v>
      </c>
      <c r="AU119" s="19">
        <v>-1.1388672777728332E-2</v>
      </c>
      <c r="AV119" s="19">
        <v>-6.775008951006177E-2</v>
      </c>
      <c r="AW119" s="19">
        <v>4.217302856341356E-2</v>
      </c>
      <c r="AX119" s="19">
        <v>90.43469332345056</v>
      </c>
      <c r="AY119" s="19">
        <v>115.19087121874526</v>
      </c>
      <c r="AZ119" s="19">
        <v>0.39061177888193455</v>
      </c>
      <c r="BA119" s="19">
        <v>0.9285714285714286</v>
      </c>
      <c r="BB119" s="19">
        <v>5.7884972170686453</v>
      </c>
      <c r="BC119" s="18">
        <v>0.45833333333333331</v>
      </c>
      <c r="BD119" s="18">
        <v>0.45833333333333331</v>
      </c>
      <c r="BE119" s="19">
        <v>3.6539612944000002</v>
      </c>
      <c r="BF119" s="18">
        <v>0.79166666666666663</v>
      </c>
      <c r="BG119" s="18">
        <v>0</v>
      </c>
      <c r="BH119" s="19">
        <v>0.62840385421030587</v>
      </c>
      <c r="BI119" s="19">
        <v>1.2568077084206117</v>
      </c>
      <c r="BJ119" s="19">
        <v>0.92170028099057177</v>
      </c>
      <c r="BK119" s="19">
        <v>0.38240917782026768</v>
      </c>
      <c r="BL119" s="19">
        <v>1.8441468175560312</v>
      </c>
      <c r="BM119" s="19">
        <v>0</v>
      </c>
      <c r="BN119" s="19">
        <v>11.111111111111111</v>
      </c>
      <c r="BO119" s="20" t="s">
        <v>257</v>
      </c>
      <c r="BP119" s="21">
        <v>80000</v>
      </c>
      <c r="BQ119" s="31" t="s">
        <v>305</v>
      </c>
      <c r="BR119" s="31">
        <v>38.270000000000003</v>
      </c>
      <c r="BS119" s="31">
        <v>57.47</v>
      </c>
      <c r="BT119" s="31">
        <v>19.2</v>
      </c>
      <c r="BU119" s="35">
        <f t="shared" si="44"/>
        <v>2.7335714285714281</v>
      </c>
      <c r="BV119" s="35">
        <f t="shared" si="45"/>
        <v>4.1049999999999995</v>
      </c>
      <c r="BW119" s="35">
        <f t="shared" si="46"/>
        <v>1.3714285714285714</v>
      </c>
      <c r="BX119" s="36">
        <f t="shared" si="47"/>
        <v>17.040445269016697</v>
      </c>
      <c r="BY119" s="36">
        <f t="shared" si="48"/>
        <v>25.589610389610389</v>
      </c>
      <c r="BZ119" s="36">
        <f t="shared" si="49"/>
        <v>8.5491651205936918</v>
      </c>
      <c r="CA119" s="30">
        <v>9</v>
      </c>
      <c r="CB119" s="30">
        <v>5</v>
      </c>
    </row>
    <row r="120" spans="1:80" x14ac:dyDescent="0.4">
      <c r="A120" s="11" t="s">
        <v>53</v>
      </c>
      <c r="B120" s="11" t="s">
        <v>264</v>
      </c>
      <c r="C120" s="11" t="s">
        <v>82</v>
      </c>
      <c r="D120" s="15">
        <v>27</v>
      </c>
      <c r="E120" s="15">
        <v>8</v>
      </c>
      <c r="F120" s="15">
        <v>24</v>
      </c>
      <c r="G120" s="16">
        <v>13608</v>
      </c>
      <c r="H120" s="16">
        <v>27</v>
      </c>
      <c r="I120" s="17">
        <f t="shared" si="50"/>
        <v>1</v>
      </c>
      <c r="J120" s="15">
        <v>9</v>
      </c>
      <c r="K120" s="15">
        <v>38</v>
      </c>
      <c r="L120" s="17">
        <f t="shared" si="51"/>
        <v>0.33333333333333331</v>
      </c>
      <c r="M120" s="17">
        <f t="shared" si="52"/>
        <v>1.4074074074074074</v>
      </c>
      <c r="N120" s="18">
        <f t="shared" si="53"/>
        <v>0.23684210526315788</v>
      </c>
      <c r="O120" s="16">
        <v>1</v>
      </c>
      <c r="P120" s="15">
        <v>6</v>
      </c>
      <c r="Q120" s="17">
        <f t="shared" si="27"/>
        <v>3.7037037037037035E-2</v>
      </c>
      <c r="R120" s="17">
        <f t="shared" si="28"/>
        <v>0.22222222222222221</v>
      </c>
      <c r="S120" s="18">
        <f t="shared" si="29"/>
        <v>0.16666666666666666</v>
      </c>
      <c r="T120" s="15">
        <v>8</v>
      </c>
      <c r="U120" s="15">
        <v>32</v>
      </c>
      <c r="V120" s="17">
        <f t="shared" si="30"/>
        <v>0.29629629629629628</v>
      </c>
      <c r="W120" s="17">
        <f t="shared" si="31"/>
        <v>1.1851851851851851</v>
      </c>
      <c r="X120" s="18">
        <f t="shared" si="32"/>
        <v>0.25</v>
      </c>
      <c r="Y120" s="15">
        <v>1</v>
      </c>
      <c r="Z120" s="15">
        <v>1</v>
      </c>
      <c r="AA120" s="17">
        <f t="shared" si="33"/>
        <v>3.7037037037037035E-2</v>
      </c>
      <c r="AB120" s="17">
        <f t="shared" si="34"/>
        <v>3.7037037037037035E-2</v>
      </c>
      <c r="AC120" s="18">
        <f t="shared" si="35"/>
        <v>1</v>
      </c>
      <c r="AD120" s="15">
        <v>31</v>
      </c>
      <c r="AE120" s="17">
        <f t="shared" si="36"/>
        <v>1.1481481481481481</v>
      </c>
      <c r="AF120" s="15">
        <v>7</v>
      </c>
      <c r="AG120" s="17">
        <f t="shared" si="37"/>
        <v>0.25925925925925924</v>
      </c>
      <c r="AH120" s="15">
        <v>24</v>
      </c>
      <c r="AI120" s="17">
        <f t="shared" si="38"/>
        <v>0.88888888888888884</v>
      </c>
      <c r="AJ120" s="15">
        <v>4</v>
      </c>
      <c r="AK120" s="17">
        <f t="shared" si="39"/>
        <v>0.14814814814814814</v>
      </c>
      <c r="AL120" s="15">
        <v>7</v>
      </c>
      <c r="AM120" s="17">
        <f t="shared" si="40"/>
        <v>0.25925925925925924</v>
      </c>
      <c r="AN120" s="15">
        <v>2</v>
      </c>
      <c r="AO120" s="17">
        <f t="shared" si="41"/>
        <v>7.407407407407407E-2</v>
      </c>
      <c r="AP120" s="4">
        <v>8</v>
      </c>
      <c r="AQ120" s="17">
        <f t="shared" si="42"/>
        <v>0.29629629629629628</v>
      </c>
      <c r="AR120" s="15">
        <v>23</v>
      </c>
      <c r="AS120" s="17">
        <f t="shared" si="43"/>
        <v>0.85185185185185186</v>
      </c>
      <c r="AT120" s="19">
        <v>-0.12600342671376089</v>
      </c>
      <c r="AU120" s="19">
        <v>-2.222282658091021E-2</v>
      </c>
      <c r="AV120" s="19">
        <v>-0.29643057613332174</v>
      </c>
      <c r="AW120" s="19">
        <v>0.17042714941956086</v>
      </c>
      <c r="AX120" s="19">
        <v>74.615788775391991</v>
      </c>
      <c r="AY120" s="19">
        <v>112.54080188984464</v>
      </c>
      <c r="AZ120" s="19">
        <v>0.3811940378366705</v>
      </c>
      <c r="BA120" s="19">
        <v>1.2592592592592593</v>
      </c>
      <c r="BB120" s="19">
        <v>5.996472663139329</v>
      </c>
      <c r="BC120" s="18">
        <v>0.35119667013527578</v>
      </c>
      <c r="BD120" s="18">
        <v>0.34210526315789475</v>
      </c>
      <c r="BE120" s="19">
        <v>4.8008991451422229</v>
      </c>
      <c r="BF120" s="18">
        <v>0.84210526315789469</v>
      </c>
      <c r="BG120" s="18">
        <v>2.6315789473684209E-2</v>
      </c>
      <c r="BH120" s="19">
        <v>1.6801075268817203</v>
      </c>
      <c r="BI120" s="19">
        <v>5.7603686635944698</v>
      </c>
      <c r="BJ120" s="19">
        <v>3.6377291182614</v>
      </c>
      <c r="BK120" s="19">
        <v>1.1634671320535195</v>
      </c>
      <c r="BL120" s="19">
        <v>1.7043812322748642</v>
      </c>
      <c r="BM120" s="19">
        <v>0.44902449428616326</v>
      </c>
      <c r="BN120" s="19">
        <v>17.226528854435831</v>
      </c>
      <c r="BO120" s="20" t="s">
        <v>257</v>
      </c>
      <c r="BP120" s="21">
        <v>75000</v>
      </c>
      <c r="BQ120" s="30" t="s">
        <v>306</v>
      </c>
      <c r="BR120" s="30">
        <v>96.11</v>
      </c>
      <c r="BS120" s="30">
        <v>134.71</v>
      </c>
      <c r="BT120" s="30">
        <v>38.6</v>
      </c>
      <c r="BU120" s="35">
        <f t="shared" si="44"/>
        <v>3.5596296296296304</v>
      </c>
      <c r="BV120" s="35">
        <f t="shared" si="45"/>
        <v>4.9892592592592599</v>
      </c>
      <c r="BW120" s="35">
        <f t="shared" si="46"/>
        <v>1.4296296296296296</v>
      </c>
      <c r="BX120" s="36">
        <f t="shared" si="47"/>
        <v>16.950617283950617</v>
      </c>
      <c r="BY120" s="36">
        <f t="shared" si="48"/>
        <v>23.758377425044092</v>
      </c>
      <c r="BZ120" s="36">
        <f t="shared" si="49"/>
        <v>6.8077601410934747</v>
      </c>
      <c r="CA120" s="31">
        <v>15</v>
      </c>
      <c r="CB120" s="31">
        <v>12</v>
      </c>
    </row>
    <row r="121" spans="1:80" x14ac:dyDescent="0.4">
      <c r="A121" s="11" t="s">
        <v>53</v>
      </c>
      <c r="B121" s="11" t="s">
        <v>264</v>
      </c>
      <c r="C121" s="11" t="s">
        <v>89</v>
      </c>
      <c r="D121" s="15">
        <v>1</v>
      </c>
      <c r="E121" s="15">
        <v>6</v>
      </c>
      <c r="F121" s="15">
        <v>19</v>
      </c>
      <c r="G121" s="16">
        <v>379</v>
      </c>
      <c r="H121" s="16">
        <v>0</v>
      </c>
      <c r="I121" s="17">
        <f t="shared" si="50"/>
        <v>0</v>
      </c>
      <c r="J121" s="15">
        <v>0</v>
      </c>
      <c r="K121" s="15">
        <v>3</v>
      </c>
      <c r="L121" s="17">
        <f t="shared" si="51"/>
        <v>0</v>
      </c>
      <c r="M121" s="17">
        <f t="shared" si="52"/>
        <v>3</v>
      </c>
      <c r="N121" s="18">
        <f t="shared" si="53"/>
        <v>0</v>
      </c>
      <c r="O121" s="16">
        <v>0</v>
      </c>
      <c r="P121" s="15">
        <v>0</v>
      </c>
      <c r="Q121" s="17">
        <f t="shared" si="27"/>
        <v>0</v>
      </c>
      <c r="R121" s="17">
        <f t="shared" si="28"/>
        <v>0</v>
      </c>
      <c r="S121" s="18" t="e">
        <f t="shared" si="29"/>
        <v>#DIV/0!</v>
      </c>
      <c r="T121" s="15">
        <v>0</v>
      </c>
      <c r="U121" s="15">
        <v>3</v>
      </c>
      <c r="V121" s="17">
        <f t="shared" si="30"/>
        <v>0</v>
      </c>
      <c r="W121" s="17">
        <f t="shared" si="31"/>
        <v>3</v>
      </c>
      <c r="X121" s="18">
        <f t="shared" si="32"/>
        <v>0</v>
      </c>
      <c r="Y121" s="15">
        <v>0</v>
      </c>
      <c r="Z121" s="15">
        <v>0</v>
      </c>
      <c r="AA121" s="17">
        <f t="shared" si="33"/>
        <v>0</v>
      </c>
      <c r="AB121" s="17">
        <f t="shared" si="34"/>
        <v>0</v>
      </c>
      <c r="AC121" s="18" t="e">
        <f t="shared" si="35"/>
        <v>#DIV/0!</v>
      </c>
      <c r="AD121" s="15">
        <v>0</v>
      </c>
      <c r="AE121" s="17">
        <f t="shared" si="36"/>
        <v>0</v>
      </c>
      <c r="AF121" s="15">
        <v>0</v>
      </c>
      <c r="AG121" s="17">
        <f t="shared" si="37"/>
        <v>0</v>
      </c>
      <c r="AH121" s="15">
        <v>0</v>
      </c>
      <c r="AI121" s="17">
        <f t="shared" si="38"/>
        <v>0</v>
      </c>
      <c r="AJ121" s="15">
        <v>1</v>
      </c>
      <c r="AK121" s="17">
        <f t="shared" si="39"/>
        <v>1</v>
      </c>
      <c r="AL121" s="15">
        <v>0</v>
      </c>
      <c r="AM121" s="17">
        <f t="shared" si="40"/>
        <v>0</v>
      </c>
      <c r="AN121" s="15">
        <v>0</v>
      </c>
      <c r="AO121" s="17">
        <f t="shared" si="41"/>
        <v>0</v>
      </c>
      <c r="AP121" s="4">
        <v>0</v>
      </c>
      <c r="AQ121" s="17">
        <f t="shared" si="42"/>
        <v>0</v>
      </c>
      <c r="AR121" s="15">
        <v>0</v>
      </c>
      <c r="AS121" s="17">
        <f t="shared" si="43"/>
        <v>0</v>
      </c>
      <c r="AT121" s="19">
        <v>-5.1239480446066465E-2</v>
      </c>
      <c r="AU121" s="19">
        <v>-0.32447164398564515</v>
      </c>
      <c r="AV121" s="19">
        <v>-4.9987988412284787E-2</v>
      </c>
      <c r="AW121" s="19">
        <v>-1.251492033781682E-3</v>
      </c>
      <c r="AX121" s="19">
        <v>24.287801846609998</v>
      </c>
      <c r="AY121" s="19">
        <v>121.46478928213455</v>
      </c>
      <c r="AZ121" s="19">
        <v>-0.19762623374772315</v>
      </c>
      <c r="BA121" s="19">
        <v>-2</v>
      </c>
      <c r="BB121" s="19">
        <v>-12.664907651715041</v>
      </c>
      <c r="BC121" s="18">
        <v>0</v>
      </c>
      <c r="BD121" s="18">
        <v>0</v>
      </c>
      <c r="BE121" s="19">
        <v>0.41242307192729405</v>
      </c>
      <c r="BF121" s="18">
        <v>1</v>
      </c>
      <c r="BG121" s="18">
        <v>0</v>
      </c>
      <c r="BH121" s="19">
        <v>0</v>
      </c>
      <c r="BI121" s="19">
        <v>0</v>
      </c>
      <c r="BJ121" s="19">
        <v>0</v>
      </c>
      <c r="BK121" s="19">
        <v>0.3769317753486619</v>
      </c>
      <c r="BL121" s="19">
        <v>0</v>
      </c>
      <c r="BM121" s="19">
        <v>0</v>
      </c>
      <c r="BN121" s="19">
        <v>0</v>
      </c>
      <c r="BO121" s="20" t="s">
        <v>257</v>
      </c>
      <c r="BP121" s="21"/>
      <c r="BQ121" s="31" t="s">
        <v>306</v>
      </c>
      <c r="BR121" s="31">
        <v>0.38</v>
      </c>
      <c r="BS121" s="31">
        <v>3.08</v>
      </c>
      <c r="BT121" s="31">
        <v>2.7</v>
      </c>
      <c r="BU121" s="35">
        <f t="shared" si="44"/>
        <v>0.37999999999999989</v>
      </c>
      <c r="BV121" s="35">
        <f t="shared" si="45"/>
        <v>3.08</v>
      </c>
      <c r="BW121" s="35">
        <f t="shared" si="46"/>
        <v>2.7</v>
      </c>
      <c r="BX121" s="36">
        <f t="shared" si="47"/>
        <v>2.4063324538258577</v>
      </c>
      <c r="BY121" s="36">
        <f t="shared" si="48"/>
        <v>19.503957783641162</v>
      </c>
      <c r="BZ121" s="36">
        <f t="shared" si="49"/>
        <v>17.097625329815305</v>
      </c>
      <c r="CA121" s="31">
        <v>0</v>
      </c>
      <c r="CB121" s="31">
        <v>1</v>
      </c>
    </row>
    <row r="122" spans="1:80" x14ac:dyDescent="0.4">
      <c r="A122" s="11" t="s">
        <v>53</v>
      </c>
      <c r="B122" s="11" t="s">
        <v>264</v>
      </c>
      <c r="C122" s="11" t="s">
        <v>78</v>
      </c>
      <c r="D122" s="15">
        <v>54</v>
      </c>
      <c r="E122" s="15">
        <v>25</v>
      </c>
      <c r="F122" s="15">
        <v>2</v>
      </c>
      <c r="G122" s="16">
        <v>81108</v>
      </c>
      <c r="H122" s="16">
        <v>442</v>
      </c>
      <c r="I122" s="17">
        <f t="shared" si="50"/>
        <v>8.1851851851851851</v>
      </c>
      <c r="J122" s="15">
        <v>163</v>
      </c>
      <c r="K122" s="15">
        <v>398</v>
      </c>
      <c r="L122" s="17">
        <f t="shared" si="51"/>
        <v>3.0185185185185186</v>
      </c>
      <c r="M122" s="17">
        <f t="shared" si="52"/>
        <v>7.3703703703703702</v>
      </c>
      <c r="N122" s="18">
        <f t="shared" si="53"/>
        <v>0.40954773869346733</v>
      </c>
      <c r="O122" s="16">
        <v>105</v>
      </c>
      <c r="P122" s="15">
        <v>206</v>
      </c>
      <c r="Q122" s="17">
        <f t="shared" si="27"/>
        <v>1.9444444444444444</v>
      </c>
      <c r="R122" s="17">
        <f t="shared" si="28"/>
        <v>3.8148148148148149</v>
      </c>
      <c r="S122" s="18">
        <f t="shared" si="29"/>
        <v>0.50970873786407767</v>
      </c>
      <c r="T122" s="15">
        <v>58</v>
      </c>
      <c r="U122" s="15">
        <v>192</v>
      </c>
      <c r="V122" s="17">
        <f t="shared" si="30"/>
        <v>1.0740740740740742</v>
      </c>
      <c r="W122" s="17">
        <f t="shared" si="31"/>
        <v>3.5555555555555554</v>
      </c>
      <c r="X122" s="18">
        <f t="shared" si="32"/>
        <v>0.30208333333333331</v>
      </c>
      <c r="Y122" s="15">
        <v>58</v>
      </c>
      <c r="Z122" s="15">
        <v>86</v>
      </c>
      <c r="AA122" s="17">
        <f t="shared" si="33"/>
        <v>1.0740740740740742</v>
      </c>
      <c r="AB122" s="17">
        <f t="shared" si="34"/>
        <v>1.5925925925925926</v>
      </c>
      <c r="AC122" s="18">
        <f t="shared" si="35"/>
        <v>0.67441860465116277</v>
      </c>
      <c r="AD122" s="15">
        <v>113</v>
      </c>
      <c r="AE122" s="17">
        <f t="shared" si="36"/>
        <v>2.0925925925925926</v>
      </c>
      <c r="AF122" s="15">
        <v>31</v>
      </c>
      <c r="AG122" s="17">
        <f t="shared" si="37"/>
        <v>0.57407407407407407</v>
      </c>
      <c r="AH122" s="15">
        <v>82</v>
      </c>
      <c r="AI122" s="17">
        <f t="shared" si="38"/>
        <v>1.5185185185185186</v>
      </c>
      <c r="AJ122" s="15">
        <v>254</v>
      </c>
      <c r="AK122" s="17">
        <f t="shared" si="39"/>
        <v>4.7037037037037033</v>
      </c>
      <c r="AL122" s="15">
        <v>63</v>
      </c>
      <c r="AM122" s="17">
        <f t="shared" si="40"/>
        <v>1.1666666666666667</v>
      </c>
      <c r="AN122" s="15">
        <v>2</v>
      </c>
      <c r="AO122" s="17">
        <f t="shared" si="41"/>
        <v>3.7037037037037035E-2</v>
      </c>
      <c r="AP122" s="4">
        <v>69</v>
      </c>
      <c r="AQ122" s="17">
        <f t="shared" si="42"/>
        <v>1.2777777777777777</v>
      </c>
      <c r="AR122" s="15">
        <v>134</v>
      </c>
      <c r="AS122" s="17">
        <f t="shared" si="43"/>
        <v>2.4814814814814814</v>
      </c>
      <c r="AT122" s="19">
        <v>2.4186292864500816</v>
      </c>
      <c r="AU122" s="19">
        <v>7.156766641367307E-2</v>
      </c>
      <c r="AV122" s="19">
        <v>1.4636238464371563</v>
      </c>
      <c r="AW122" s="19">
        <v>0.95500544001292553</v>
      </c>
      <c r="AX122" s="19">
        <v>113.03998755098664</v>
      </c>
      <c r="AY122" s="19">
        <v>112.96345553009859</v>
      </c>
      <c r="AZ122" s="19">
        <v>9.4219555105440467</v>
      </c>
      <c r="BA122" s="19">
        <v>10.037037037037036</v>
      </c>
      <c r="BB122" s="19">
        <v>16.037875425358781</v>
      </c>
      <c r="BC122" s="18">
        <v>0.50706681350954474</v>
      </c>
      <c r="BD122" s="18">
        <v>0.48241206030150752</v>
      </c>
      <c r="BE122" s="19">
        <v>17.512362298367236</v>
      </c>
      <c r="BF122" s="18">
        <v>0.48241206030150752</v>
      </c>
      <c r="BG122" s="18">
        <v>0.21608040201005024</v>
      </c>
      <c r="BH122" s="19">
        <v>2.4966711051930757</v>
      </c>
      <c r="BI122" s="19">
        <v>6.6040977621236205</v>
      </c>
      <c r="BJ122" s="19">
        <v>4.4494641283283203</v>
      </c>
      <c r="BK122" s="19">
        <v>28.59072489869428</v>
      </c>
      <c r="BL122" s="19">
        <v>2.5735929659117125</v>
      </c>
      <c r="BM122" s="19">
        <v>0.15067133496686172</v>
      </c>
      <c r="BN122" s="19">
        <v>13.667696695982885</v>
      </c>
      <c r="BO122" s="20" t="s">
        <v>257</v>
      </c>
      <c r="BP122" s="21">
        <v>500000</v>
      </c>
      <c r="BQ122" s="30" t="s">
        <v>306</v>
      </c>
      <c r="BR122" s="30">
        <v>1025.01</v>
      </c>
      <c r="BS122" s="30">
        <v>1372.51</v>
      </c>
      <c r="BT122" s="30">
        <v>347.5</v>
      </c>
      <c r="BU122" s="35">
        <f t="shared" si="44"/>
        <v>18.981666666666669</v>
      </c>
      <c r="BV122" s="35">
        <f t="shared" si="45"/>
        <v>25.416851851851852</v>
      </c>
      <c r="BW122" s="35">
        <f t="shared" si="46"/>
        <v>6.4351851851851851</v>
      </c>
      <c r="BX122" s="36">
        <f t="shared" si="47"/>
        <v>30.330226364846872</v>
      </c>
      <c r="BY122" s="36">
        <f t="shared" si="48"/>
        <v>40.61281254623465</v>
      </c>
      <c r="BZ122" s="36">
        <f t="shared" si="49"/>
        <v>10.28258618138778</v>
      </c>
      <c r="CA122" s="30">
        <v>33</v>
      </c>
      <c r="CB122" s="30">
        <v>21</v>
      </c>
    </row>
    <row r="123" spans="1:80" x14ac:dyDescent="0.4">
      <c r="A123" s="11" t="s">
        <v>53</v>
      </c>
      <c r="B123" s="11" t="s">
        <v>264</v>
      </c>
      <c r="C123" s="11" t="s">
        <v>83</v>
      </c>
      <c r="D123" s="15">
        <v>35</v>
      </c>
      <c r="E123" s="15">
        <v>11</v>
      </c>
      <c r="F123" s="15">
        <v>33</v>
      </c>
      <c r="G123" s="16">
        <v>24255</v>
      </c>
      <c r="H123" s="16">
        <v>108</v>
      </c>
      <c r="I123" s="17">
        <f t="shared" si="50"/>
        <v>3.0857142857142859</v>
      </c>
      <c r="J123" s="15">
        <v>40</v>
      </c>
      <c r="K123" s="15">
        <v>92</v>
      </c>
      <c r="L123" s="17">
        <f t="shared" si="51"/>
        <v>1.1428571428571428</v>
      </c>
      <c r="M123" s="17">
        <f t="shared" si="52"/>
        <v>2.6285714285714286</v>
      </c>
      <c r="N123" s="18">
        <f t="shared" si="53"/>
        <v>0.43478260869565216</v>
      </c>
      <c r="O123" s="16">
        <v>24</v>
      </c>
      <c r="P123" s="15">
        <v>44</v>
      </c>
      <c r="Q123" s="17">
        <f t="shared" si="27"/>
        <v>0.68571428571428572</v>
      </c>
      <c r="R123" s="17">
        <f t="shared" si="28"/>
        <v>1.2571428571428571</v>
      </c>
      <c r="S123" s="18">
        <f t="shared" si="29"/>
        <v>0.54545454545454541</v>
      </c>
      <c r="T123" s="15">
        <v>16</v>
      </c>
      <c r="U123" s="15">
        <v>48</v>
      </c>
      <c r="V123" s="17">
        <f t="shared" si="30"/>
        <v>0.45714285714285713</v>
      </c>
      <c r="W123" s="17">
        <f t="shared" si="31"/>
        <v>1.3714285714285714</v>
      </c>
      <c r="X123" s="18">
        <f t="shared" si="32"/>
        <v>0.33333333333333331</v>
      </c>
      <c r="Y123" s="15">
        <v>12</v>
      </c>
      <c r="Z123" s="15">
        <v>20</v>
      </c>
      <c r="AA123" s="17">
        <f t="shared" si="33"/>
        <v>0.34285714285714286</v>
      </c>
      <c r="AB123" s="17">
        <f t="shared" si="34"/>
        <v>0.5714285714285714</v>
      </c>
      <c r="AC123" s="18">
        <f t="shared" si="35"/>
        <v>0.6</v>
      </c>
      <c r="AD123" s="15">
        <v>56</v>
      </c>
      <c r="AE123" s="17">
        <f t="shared" si="36"/>
        <v>1.6</v>
      </c>
      <c r="AF123" s="15">
        <v>7</v>
      </c>
      <c r="AG123" s="17">
        <f t="shared" si="37"/>
        <v>0.2</v>
      </c>
      <c r="AH123" s="15">
        <v>49</v>
      </c>
      <c r="AI123" s="17">
        <f t="shared" si="38"/>
        <v>1.4</v>
      </c>
      <c r="AJ123" s="15">
        <v>38</v>
      </c>
      <c r="AK123" s="17">
        <f t="shared" si="39"/>
        <v>1.0857142857142856</v>
      </c>
      <c r="AL123" s="15">
        <v>12</v>
      </c>
      <c r="AM123" s="17">
        <f t="shared" si="40"/>
        <v>0.34285714285714286</v>
      </c>
      <c r="AN123" s="15">
        <v>6</v>
      </c>
      <c r="AO123" s="17">
        <f t="shared" si="41"/>
        <v>0.17142857142857143</v>
      </c>
      <c r="AP123" s="4">
        <v>15</v>
      </c>
      <c r="AQ123" s="17">
        <f t="shared" si="42"/>
        <v>0.42857142857142855</v>
      </c>
      <c r="AR123" s="15">
        <v>50</v>
      </c>
      <c r="AS123" s="17">
        <f t="shared" si="43"/>
        <v>1.4285714285714286</v>
      </c>
      <c r="AT123" s="19">
        <v>0.59873086841145495</v>
      </c>
      <c r="AU123" s="19">
        <v>5.9243623343124795E-2</v>
      </c>
      <c r="AV123" s="19">
        <v>0.25683450593441365</v>
      </c>
      <c r="AW123" s="19">
        <v>0.3418963624770413</v>
      </c>
      <c r="AX123" s="19">
        <v>110.9375165202309</v>
      </c>
      <c r="AY123" s="19">
        <v>111.65445994339687</v>
      </c>
      <c r="AZ123" s="19">
        <v>4.3329033392872711</v>
      </c>
      <c r="BA123" s="19">
        <v>4.1428571428571432</v>
      </c>
      <c r="BB123" s="19">
        <v>14.347557204700061</v>
      </c>
      <c r="BC123" s="18">
        <v>0.5357142857142857</v>
      </c>
      <c r="BD123" s="18">
        <v>0.52173913043478259</v>
      </c>
      <c r="BE123" s="19">
        <v>8.7063522199901229</v>
      </c>
      <c r="BF123" s="18">
        <v>0.52173913043478259</v>
      </c>
      <c r="BG123" s="18">
        <v>0.21739130434782608</v>
      </c>
      <c r="BH123" s="19">
        <v>1.2218963831867058</v>
      </c>
      <c r="BI123" s="19">
        <v>8.5532746823069399</v>
      </c>
      <c r="BJ123" s="19">
        <v>4.7791866421733351</v>
      </c>
      <c r="BK123" s="19">
        <v>8.5374073241968098</v>
      </c>
      <c r="BL123" s="19">
        <v>1.6392416156053611</v>
      </c>
      <c r="BM123" s="19">
        <v>0.97968980571526521</v>
      </c>
      <c r="BN123" s="19">
        <v>12.953367875647668</v>
      </c>
      <c r="BO123" s="20" t="s">
        <v>257</v>
      </c>
      <c r="BP123" s="21">
        <v>70000</v>
      </c>
      <c r="BQ123" s="31" t="s">
        <v>306</v>
      </c>
      <c r="BR123" s="31">
        <v>268.83999999999997</v>
      </c>
      <c r="BS123" s="31">
        <v>346.54</v>
      </c>
      <c r="BT123" s="31">
        <v>77.7</v>
      </c>
      <c r="BU123" s="35">
        <f t="shared" si="44"/>
        <v>7.6811428571428575</v>
      </c>
      <c r="BV123" s="35">
        <f t="shared" si="45"/>
        <v>9.9011428571428581</v>
      </c>
      <c r="BW123" s="35">
        <f t="shared" si="46"/>
        <v>2.2200000000000002</v>
      </c>
      <c r="BX123" s="36">
        <f t="shared" si="47"/>
        <v>26.601360544217687</v>
      </c>
      <c r="BY123" s="36">
        <f t="shared" si="48"/>
        <v>34.289672232529377</v>
      </c>
      <c r="BZ123" s="36">
        <f t="shared" si="49"/>
        <v>7.6883116883116882</v>
      </c>
      <c r="CA123" s="31">
        <v>19</v>
      </c>
      <c r="CB123" s="31">
        <v>16</v>
      </c>
    </row>
    <row r="124" spans="1:80" x14ac:dyDescent="0.4">
      <c r="A124" s="11" t="s">
        <v>53</v>
      </c>
      <c r="B124" s="11" t="s">
        <v>264</v>
      </c>
      <c r="C124" s="11" t="s">
        <v>248</v>
      </c>
      <c r="D124" s="15">
        <v>3</v>
      </c>
      <c r="E124" s="15">
        <v>7</v>
      </c>
      <c r="F124" s="15">
        <v>9</v>
      </c>
      <c r="G124" s="16">
        <v>1287</v>
      </c>
      <c r="H124" s="16">
        <v>3</v>
      </c>
      <c r="I124" s="17">
        <f t="shared" si="50"/>
        <v>1</v>
      </c>
      <c r="J124" s="15">
        <v>1</v>
      </c>
      <c r="K124" s="15">
        <v>3</v>
      </c>
      <c r="L124" s="17">
        <f t="shared" si="51"/>
        <v>0.33333333333333331</v>
      </c>
      <c r="M124" s="17">
        <f t="shared" si="52"/>
        <v>1</v>
      </c>
      <c r="N124" s="18">
        <f t="shared" si="53"/>
        <v>0.33333333333333331</v>
      </c>
      <c r="O124" s="16">
        <v>0</v>
      </c>
      <c r="P124" s="15">
        <v>1</v>
      </c>
      <c r="Q124" s="17">
        <f t="shared" si="27"/>
        <v>0</v>
      </c>
      <c r="R124" s="17">
        <f t="shared" si="28"/>
        <v>0.33333333333333331</v>
      </c>
      <c r="S124" s="18">
        <f t="shared" si="29"/>
        <v>0</v>
      </c>
      <c r="T124" s="15">
        <v>1</v>
      </c>
      <c r="U124" s="15">
        <v>2</v>
      </c>
      <c r="V124" s="17">
        <f t="shared" si="30"/>
        <v>0.33333333333333331</v>
      </c>
      <c r="W124" s="17">
        <f t="shared" si="31"/>
        <v>0.66666666666666663</v>
      </c>
      <c r="X124" s="18">
        <f t="shared" si="32"/>
        <v>0.5</v>
      </c>
      <c r="Y124" s="15">
        <v>0</v>
      </c>
      <c r="Z124" s="15">
        <v>0</v>
      </c>
      <c r="AA124" s="17">
        <f t="shared" si="33"/>
        <v>0</v>
      </c>
      <c r="AB124" s="17">
        <f t="shared" si="34"/>
        <v>0</v>
      </c>
      <c r="AC124" s="18" t="e">
        <f t="shared" si="35"/>
        <v>#DIV/0!</v>
      </c>
      <c r="AD124" s="15">
        <v>0</v>
      </c>
      <c r="AE124" s="17">
        <f t="shared" si="36"/>
        <v>0</v>
      </c>
      <c r="AF124" s="15">
        <v>0</v>
      </c>
      <c r="AG124" s="17">
        <f t="shared" si="37"/>
        <v>0</v>
      </c>
      <c r="AH124" s="15">
        <v>0</v>
      </c>
      <c r="AI124" s="17">
        <f t="shared" si="38"/>
        <v>0</v>
      </c>
      <c r="AJ124" s="15">
        <v>3</v>
      </c>
      <c r="AK124" s="17">
        <f t="shared" si="39"/>
        <v>1</v>
      </c>
      <c r="AL124" s="15">
        <v>0</v>
      </c>
      <c r="AM124" s="17">
        <f t="shared" si="40"/>
        <v>0</v>
      </c>
      <c r="AN124" s="15">
        <v>0</v>
      </c>
      <c r="AO124" s="17">
        <f t="shared" si="41"/>
        <v>0</v>
      </c>
      <c r="AP124" s="4">
        <v>1</v>
      </c>
      <c r="AQ124" s="17">
        <f t="shared" si="42"/>
        <v>0.33333333333333331</v>
      </c>
      <c r="AR124" s="15">
        <v>6</v>
      </c>
      <c r="AS124" s="17">
        <f t="shared" si="43"/>
        <v>2</v>
      </c>
      <c r="AT124" s="19">
        <v>1.1669436737723011E-3</v>
      </c>
      <c r="AU124" s="19">
        <v>2.1761187389693262E-3</v>
      </c>
      <c r="AV124" s="19">
        <v>3.4687302972303278E-3</v>
      </c>
      <c r="AW124" s="19">
        <v>-2.3017866234580266E-3</v>
      </c>
      <c r="AX124" s="19">
        <v>105.02600087941265</v>
      </c>
      <c r="AY124" s="19">
        <v>120.61130552345644</v>
      </c>
      <c r="AZ124" s="19">
        <v>-0.16205480044895398</v>
      </c>
      <c r="BA124" s="19">
        <v>1</v>
      </c>
      <c r="BB124" s="19">
        <v>5.594405594405595</v>
      </c>
      <c r="BC124" s="18">
        <v>0.5</v>
      </c>
      <c r="BD124" s="18">
        <v>0.5</v>
      </c>
      <c r="BE124" s="19">
        <v>0.48580681976828111</v>
      </c>
      <c r="BF124" s="18">
        <v>0.66666666666666663</v>
      </c>
      <c r="BG124" s="18">
        <v>0</v>
      </c>
      <c r="BH124" s="19">
        <v>0</v>
      </c>
      <c r="BI124" s="19">
        <v>0</v>
      </c>
      <c r="BJ124" s="19">
        <v>0</v>
      </c>
      <c r="BK124" s="19">
        <v>1.0023387905111927</v>
      </c>
      <c r="BL124" s="19">
        <v>0</v>
      </c>
      <c r="BM124" s="19">
        <v>0</v>
      </c>
      <c r="BN124" s="19">
        <v>25</v>
      </c>
      <c r="BO124" s="20" t="s">
        <v>257</v>
      </c>
      <c r="BP124" s="21">
        <v>550000</v>
      </c>
      <c r="BQ124" s="30" t="s">
        <v>306</v>
      </c>
      <c r="BR124" s="30">
        <v>9.4600000000000009</v>
      </c>
      <c r="BS124" s="30">
        <v>12.86</v>
      </c>
      <c r="BT124" s="30">
        <v>3.4</v>
      </c>
      <c r="BU124" s="35">
        <f t="shared" si="44"/>
        <v>3.1533333333333329</v>
      </c>
      <c r="BV124" s="35">
        <f t="shared" si="45"/>
        <v>4.2866666666666662</v>
      </c>
      <c r="BW124" s="35">
        <f t="shared" si="46"/>
        <v>1.1333333333333333</v>
      </c>
      <c r="BX124" s="36">
        <f t="shared" si="47"/>
        <v>17.641025641025642</v>
      </c>
      <c r="BY124" s="36">
        <f t="shared" si="48"/>
        <v>23.981351981351981</v>
      </c>
      <c r="BZ124" s="36">
        <f t="shared" si="49"/>
        <v>6.3403263403263406</v>
      </c>
      <c r="CA124" s="31">
        <v>1</v>
      </c>
      <c r="CB124" s="31">
        <v>2</v>
      </c>
    </row>
    <row r="125" spans="1:80" x14ac:dyDescent="0.4">
      <c r="A125" s="11" t="s">
        <v>53</v>
      </c>
      <c r="B125" s="11" t="s">
        <v>264</v>
      </c>
      <c r="C125" s="11" t="s">
        <v>79</v>
      </c>
      <c r="D125" s="15">
        <v>42</v>
      </c>
      <c r="E125" s="15">
        <v>8</v>
      </c>
      <c r="F125" s="15">
        <v>50</v>
      </c>
      <c r="G125" s="16">
        <v>22260</v>
      </c>
      <c r="H125" s="16">
        <v>69</v>
      </c>
      <c r="I125" s="17">
        <f t="shared" si="50"/>
        <v>1.6428571428571428</v>
      </c>
      <c r="J125" s="15">
        <v>25</v>
      </c>
      <c r="K125" s="15">
        <v>61</v>
      </c>
      <c r="L125" s="17">
        <f t="shared" si="51"/>
        <v>0.59523809523809523</v>
      </c>
      <c r="M125" s="17">
        <f t="shared" si="52"/>
        <v>1.4523809523809523</v>
      </c>
      <c r="N125" s="18">
        <f t="shared" si="53"/>
        <v>0.4098360655737705</v>
      </c>
      <c r="O125" s="16">
        <v>17</v>
      </c>
      <c r="P125" s="15">
        <v>35</v>
      </c>
      <c r="Q125" s="17">
        <f t="shared" si="27"/>
        <v>0.40476190476190477</v>
      </c>
      <c r="R125" s="17">
        <f t="shared" si="28"/>
        <v>0.83333333333333337</v>
      </c>
      <c r="S125" s="18">
        <f t="shared" si="29"/>
        <v>0.48571428571428571</v>
      </c>
      <c r="T125" s="15">
        <v>8</v>
      </c>
      <c r="U125" s="15">
        <v>26</v>
      </c>
      <c r="V125" s="17">
        <f t="shared" si="30"/>
        <v>0.19047619047619047</v>
      </c>
      <c r="W125" s="17">
        <f t="shared" si="31"/>
        <v>0.61904761904761907</v>
      </c>
      <c r="X125" s="18">
        <f t="shared" si="32"/>
        <v>0.30769230769230771</v>
      </c>
      <c r="Y125" s="15">
        <v>11</v>
      </c>
      <c r="Z125" s="15">
        <v>17</v>
      </c>
      <c r="AA125" s="17">
        <f t="shared" si="33"/>
        <v>0.26190476190476192</v>
      </c>
      <c r="AB125" s="17">
        <f t="shared" si="34"/>
        <v>0.40476190476190477</v>
      </c>
      <c r="AC125" s="18">
        <f t="shared" si="35"/>
        <v>0.6470588235294118</v>
      </c>
      <c r="AD125" s="15">
        <v>63</v>
      </c>
      <c r="AE125" s="17">
        <f t="shared" si="36"/>
        <v>1.5</v>
      </c>
      <c r="AF125" s="15">
        <v>24</v>
      </c>
      <c r="AG125" s="17">
        <f t="shared" si="37"/>
        <v>0.5714285714285714</v>
      </c>
      <c r="AH125" s="15">
        <v>39</v>
      </c>
      <c r="AI125" s="17">
        <f t="shared" si="38"/>
        <v>0.9285714285714286</v>
      </c>
      <c r="AJ125" s="15">
        <v>75</v>
      </c>
      <c r="AK125" s="17">
        <f t="shared" si="39"/>
        <v>1.7857142857142858</v>
      </c>
      <c r="AL125" s="15">
        <v>18</v>
      </c>
      <c r="AM125" s="17">
        <f t="shared" si="40"/>
        <v>0.42857142857142855</v>
      </c>
      <c r="AN125" s="15">
        <v>2</v>
      </c>
      <c r="AO125" s="17">
        <f t="shared" si="41"/>
        <v>4.7619047619047616E-2</v>
      </c>
      <c r="AP125" s="3">
        <v>24</v>
      </c>
      <c r="AQ125" s="17">
        <f t="shared" si="42"/>
        <v>0.5714285714285714</v>
      </c>
      <c r="AR125" s="15">
        <v>53</v>
      </c>
      <c r="AS125" s="17">
        <f t="shared" si="43"/>
        <v>1.2619047619047619</v>
      </c>
      <c r="AT125" s="19">
        <v>0.67955126011723477</v>
      </c>
      <c r="AU125" s="19">
        <v>7.3266982222882457E-2</v>
      </c>
      <c r="AV125" s="19">
        <v>0.32083824464539012</v>
      </c>
      <c r="AW125" s="19">
        <v>0.35871301547184464</v>
      </c>
      <c r="AX125" s="19">
        <v>113.16489555369076</v>
      </c>
      <c r="AY125" s="19">
        <v>110.51611792472667</v>
      </c>
      <c r="AZ125" s="19">
        <v>6.1889190649541215</v>
      </c>
      <c r="BA125" s="19">
        <v>3.8333333333333335</v>
      </c>
      <c r="BB125" s="19">
        <v>17.358490566037737</v>
      </c>
      <c r="BC125" s="18">
        <v>0.50379672897196259</v>
      </c>
      <c r="BD125" s="18">
        <v>0.47540983606557374</v>
      </c>
      <c r="BE125" s="19">
        <v>9.091443822142077</v>
      </c>
      <c r="BF125" s="18">
        <v>0.42622950819672129</v>
      </c>
      <c r="BG125" s="18">
        <v>0.27868852459016391</v>
      </c>
      <c r="BH125" s="19">
        <v>5.4777845404747412</v>
      </c>
      <c r="BI125" s="19">
        <v>8.9013998782714552</v>
      </c>
      <c r="BJ125" s="19">
        <v>7.0301384639705402</v>
      </c>
      <c r="BK125" s="19">
        <v>21.676300578034681</v>
      </c>
      <c r="BL125" s="19">
        <v>2.6792321689021583</v>
      </c>
      <c r="BM125" s="19">
        <v>0.42699687758533267</v>
      </c>
      <c r="BN125" s="19">
        <v>25.951557093425606</v>
      </c>
      <c r="BO125" s="20" t="s">
        <v>257</v>
      </c>
      <c r="BP125" s="21">
        <v>18861</v>
      </c>
      <c r="BQ125" s="31" t="s">
        <v>306</v>
      </c>
      <c r="BR125" s="31">
        <v>300.3</v>
      </c>
      <c r="BS125" s="31">
        <v>375.3</v>
      </c>
      <c r="BT125" s="31">
        <v>75</v>
      </c>
      <c r="BU125" s="35">
        <f t="shared" si="44"/>
        <v>7.1500000000000012</v>
      </c>
      <c r="BV125" s="35">
        <f t="shared" si="45"/>
        <v>8.9357142857142868</v>
      </c>
      <c r="BW125" s="35">
        <f t="shared" si="46"/>
        <v>1.7857142857142858</v>
      </c>
      <c r="BX125" s="36">
        <f t="shared" si="47"/>
        <v>32.377358490566039</v>
      </c>
      <c r="BY125" s="36">
        <f t="shared" si="48"/>
        <v>40.463611859838274</v>
      </c>
      <c r="BZ125" s="36">
        <f t="shared" si="49"/>
        <v>8.0862533692722369</v>
      </c>
      <c r="CA125" s="31">
        <v>24</v>
      </c>
      <c r="CB125" s="31">
        <v>18</v>
      </c>
    </row>
    <row r="126" spans="1:80" x14ac:dyDescent="0.4">
      <c r="A126" s="11" t="s">
        <v>53</v>
      </c>
      <c r="B126" s="11" t="s">
        <v>264</v>
      </c>
      <c r="C126" s="11" t="s">
        <v>71</v>
      </c>
      <c r="D126" s="15">
        <v>54</v>
      </c>
      <c r="E126" s="15">
        <v>31</v>
      </c>
      <c r="F126" s="15">
        <v>41</v>
      </c>
      <c r="G126" s="16">
        <v>102654</v>
      </c>
      <c r="H126" s="16">
        <v>1371</v>
      </c>
      <c r="I126" s="17">
        <f t="shared" si="50"/>
        <v>25.388888888888889</v>
      </c>
      <c r="J126" s="15">
        <v>534</v>
      </c>
      <c r="K126" s="15">
        <v>1087</v>
      </c>
      <c r="L126" s="17">
        <f t="shared" si="51"/>
        <v>9.8888888888888893</v>
      </c>
      <c r="M126" s="17">
        <f t="shared" si="52"/>
        <v>20.12962962962963</v>
      </c>
      <c r="N126" s="18">
        <f t="shared" si="53"/>
        <v>0.49126034958601655</v>
      </c>
      <c r="O126" s="16">
        <v>401</v>
      </c>
      <c r="P126" s="15">
        <v>716</v>
      </c>
      <c r="Q126" s="17">
        <f t="shared" si="27"/>
        <v>7.4259259259259256</v>
      </c>
      <c r="R126" s="17">
        <f t="shared" si="28"/>
        <v>13.25925925925926</v>
      </c>
      <c r="S126" s="18">
        <f t="shared" si="29"/>
        <v>0.56005586592178769</v>
      </c>
      <c r="T126" s="15">
        <v>133</v>
      </c>
      <c r="U126" s="15">
        <v>371</v>
      </c>
      <c r="V126" s="17">
        <f t="shared" si="30"/>
        <v>2.4629629629629628</v>
      </c>
      <c r="W126" s="17">
        <f t="shared" si="31"/>
        <v>6.8703703703703702</v>
      </c>
      <c r="X126" s="18">
        <f t="shared" si="32"/>
        <v>0.35849056603773582</v>
      </c>
      <c r="Y126" s="15">
        <v>170</v>
      </c>
      <c r="Z126" s="15">
        <v>242</v>
      </c>
      <c r="AA126" s="17">
        <f t="shared" si="33"/>
        <v>3.1481481481481484</v>
      </c>
      <c r="AB126" s="17">
        <f t="shared" si="34"/>
        <v>4.4814814814814818</v>
      </c>
      <c r="AC126" s="18">
        <f t="shared" si="35"/>
        <v>0.7024793388429752</v>
      </c>
      <c r="AD126" s="15">
        <v>589</v>
      </c>
      <c r="AE126" s="17">
        <f t="shared" si="36"/>
        <v>10.907407407407407</v>
      </c>
      <c r="AF126" s="15">
        <v>147</v>
      </c>
      <c r="AG126" s="17">
        <f t="shared" si="37"/>
        <v>2.7222222222222223</v>
      </c>
      <c r="AH126" s="15">
        <v>442</v>
      </c>
      <c r="AI126" s="17">
        <f t="shared" si="38"/>
        <v>8.1851851851851851</v>
      </c>
      <c r="AJ126" s="15">
        <v>248</v>
      </c>
      <c r="AK126" s="17">
        <f t="shared" si="39"/>
        <v>4.5925925925925926</v>
      </c>
      <c r="AL126" s="15">
        <v>97</v>
      </c>
      <c r="AM126" s="17">
        <f t="shared" si="40"/>
        <v>1.7962962962962963</v>
      </c>
      <c r="AN126" s="15">
        <v>32</v>
      </c>
      <c r="AO126" s="17">
        <f t="shared" si="41"/>
        <v>0.59259259259259256</v>
      </c>
      <c r="AP126" s="4">
        <v>165</v>
      </c>
      <c r="AQ126" s="17">
        <f t="shared" si="42"/>
        <v>3.0555555555555554</v>
      </c>
      <c r="AR126" s="15">
        <v>155</v>
      </c>
      <c r="AS126" s="17">
        <f t="shared" si="43"/>
        <v>2.8703703703703702</v>
      </c>
      <c r="AT126" s="19">
        <v>7.2145592393740952</v>
      </c>
      <c r="AU126" s="19">
        <v>0.16867284445319058</v>
      </c>
      <c r="AV126" s="19">
        <v>4.1048321327255914</v>
      </c>
      <c r="AW126" s="19">
        <v>3.1097271066485033</v>
      </c>
      <c r="AX126" s="19">
        <v>114.53738112791119</v>
      </c>
      <c r="AY126" s="19">
        <v>102.52113681867628</v>
      </c>
      <c r="AZ126" s="19">
        <v>22.959898880414773</v>
      </c>
      <c r="BA126" s="19">
        <v>28.648148148148149</v>
      </c>
      <c r="BB126" s="19">
        <v>36.168098661523175</v>
      </c>
      <c r="BC126" s="18">
        <v>0.57437074772932939</v>
      </c>
      <c r="BD126" s="18">
        <v>0.55243790248390068</v>
      </c>
      <c r="BE126" s="19">
        <v>37.233343768355006</v>
      </c>
      <c r="BF126" s="18">
        <v>0.34130634774609014</v>
      </c>
      <c r="BG126" s="18">
        <v>0.22263109475620976</v>
      </c>
      <c r="BH126" s="19">
        <v>9.354159949771768</v>
      </c>
      <c r="BI126" s="19">
        <v>28.126113590470208</v>
      </c>
      <c r="BJ126" s="19">
        <v>18.324510276944327</v>
      </c>
      <c r="BK126" s="19">
        <v>31.1284046692607</v>
      </c>
      <c r="BL126" s="19">
        <v>3.1308254934791302</v>
      </c>
      <c r="BM126" s="19">
        <v>1.9047519841786535</v>
      </c>
      <c r="BN126" s="19">
        <v>12.14592780166068</v>
      </c>
      <c r="BO126" s="20" t="s">
        <v>239</v>
      </c>
      <c r="BP126" s="21">
        <v>300000</v>
      </c>
      <c r="BQ126" s="30" t="s">
        <v>305</v>
      </c>
      <c r="BR126" s="30">
        <v>2127.9699999999998</v>
      </c>
      <c r="BS126" s="30">
        <v>2962.27</v>
      </c>
      <c r="BT126" s="30">
        <v>834.3</v>
      </c>
      <c r="BU126" s="35">
        <f t="shared" si="44"/>
        <v>39.406851851851854</v>
      </c>
      <c r="BV126" s="35">
        <f t="shared" si="45"/>
        <v>54.85685185185185</v>
      </c>
      <c r="BW126" s="35">
        <f t="shared" si="46"/>
        <v>15.45</v>
      </c>
      <c r="BX126" s="36">
        <f t="shared" si="47"/>
        <v>49.750891343737223</v>
      </c>
      <c r="BY126" s="36">
        <f t="shared" si="48"/>
        <v>69.256414752469468</v>
      </c>
      <c r="BZ126" s="36">
        <f t="shared" si="49"/>
        <v>19.505523408732245</v>
      </c>
      <c r="CA126" s="30">
        <v>33</v>
      </c>
      <c r="CB126" s="30">
        <v>21</v>
      </c>
    </row>
    <row r="127" spans="1:80" x14ac:dyDescent="0.4">
      <c r="A127" s="11" t="s">
        <v>53</v>
      </c>
      <c r="B127" s="11" t="s">
        <v>264</v>
      </c>
      <c r="C127" s="11" t="s">
        <v>72</v>
      </c>
      <c r="D127" s="15">
        <v>45</v>
      </c>
      <c r="E127" s="15">
        <v>31</v>
      </c>
      <c r="F127" s="15">
        <v>15</v>
      </c>
      <c r="G127" s="16">
        <v>84375</v>
      </c>
      <c r="H127" s="16">
        <v>735</v>
      </c>
      <c r="I127" s="17">
        <f t="shared" si="50"/>
        <v>16.333333333333332</v>
      </c>
      <c r="J127" s="15">
        <v>293</v>
      </c>
      <c r="K127" s="15">
        <v>506</v>
      </c>
      <c r="L127" s="17">
        <f t="shared" si="51"/>
        <v>6.5111111111111111</v>
      </c>
      <c r="M127" s="17">
        <f t="shared" si="52"/>
        <v>11.244444444444444</v>
      </c>
      <c r="N127" s="18">
        <f t="shared" si="53"/>
        <v>0.57905138339920947</v>
      </c>
      <c r="O127" s="16">
        <v>293</v>
      </c>
      <c r="P127" s="15">
        <v>504</v>
      </c>
      <c r="Q127" s="17">
        <f t="shared" si="27"/>
        <v>6.5111111111111111</v>
      </c>
      <c r="R127" s="17">
        <f t="shared" si="28"/>
        <v>11.2</v>
      </c>
      <c r="S127" s="18">
        <f t="shared" si="29"/>
        <v>0.58134920634920639</v>
      </c>
      <c r="T127" s="15">
        <v>0</v>
      </c>
      <c r="U127" s="15">
        <v>2</v>
      </c>
      <c r="V127" s="17">
        <f t="shared" si="30"/>
        <v>0</v>
      </c>
      <c r="W127" s="17">
        <f t="shared" si="31"/>
        <v>4.4444444444444446E-2</v>
      </c>
      <c r="X127" s="18">
        <f t="shared" si="32"/>
        <v>0</v>
      </c>
      <c r="Y127" s="15">
        <v>149</v>
      </c>
      <c r="Z127" s="15">
        <v>199</v>
      </c>
      <c r="AA127" s="17">
        <f t="shared" si="33"/>
        <v>3.3111111111111109</v>
      </c>
      <c r="AB127" s="17">
        <f t="shared" si="34"/>
        <v>4.4222222222222225</v>
      </c>
      <c r="AC127" s="18">
        <f t="shared" si="35"/>
        <v>0.74874371859296485</v>
      </c>
      <c r="AD127" s="15">
        <v>303</v>
      </c>
      <c r="AE127" s="17">
        <f t="shared" si="36"/>
        <v>6.7333333333333334</v>
      </c>
      <c r="AF127" s="15">
        <v>121</v>
      </c>
      <c r="AG127" s="17">
        <f t="shared" si="37"/>
        <v>2.6888888888888891</v>
      </c>
      <c r="AH127" s="15">
        <v>182</v>
      </c>
      <c r="AI127" s="17">
        <f t="shared" si="38"/>
        <v>4.0444444444444443</v>
      </c>
      <c r="AJ127" s="15">
        <v>71</v>
      </c>
      <c r="AK127" s="17">
        <f t="shared" si="39"/>
        <v>1.5777777777777777</v>
      </c>
      <c r="AL127" s="15">
        <v>18</v>
      </c>
      <c r="AM127" s="17">
        <f t="shared" si="40"/>
        <v>0.4</v>
      </c>
      <c r="AN127" s="15">
        <v>16</v>
      </c>
      <c r="AO127" s="17">
        <f t="shared" si="41"/>
        <v>0.35555555555555557</v>
      </c>
      <c r="AP127" s="4">
        <v>62</v>
      </c>
      <c r="AQ127" s="17">
        <f t="shared" si="42"/>
        <v>1.3777777777777778</v>
      </c>
      <c r="AR127" s="15">
        <v>102</v>
      </c>
      <c r="AS127" s="17">
        <f t="shared" si="43"/>
        <v>2.2666666666666666</v>
      </c>
      <c r="AT127" s="19">
        <v>4.3993785157904579</v>
      </c>
      <c r="AU127" s="19">
        <v>0.12513787778248414</v>
      </c>
      <c r="AV127" s="19">
        <v>3.5082560899962467</v>
      </c>
      <c r="AW127" s="19">
        <v>0.89112242579421164</v>
      </c>
      <c r="AX127" s="19">
        <v>124.46720930159094</v>
      </c>
      <c r="AY127" s="19">
        <v>113.64746078159932</v>
      </c>
      <c r="AZ127" s="19">
        <v>12.296424194013731</v>
      </c>
      <c r="BA127" s="19">
        <v>18.177777777777777</v>
      </c>
      <c r="BB127" s="19">
        <v>23.267555555555557</v>
      </c>
      <c r="BC127" s="18">
        <v>0.61914549497944615</v>
      </c>
      <c r="BD127" s="18">
        <v>0.57905138339920947</v>
      </c>
      <c r="BE127" s="19">
        <v>18.216799673489234</v>
      </c>
      <c r="BF127" s="18">
        <v>3.952569169960474E-3</v>
      </c>
      <c r="BG127" s="18">
        <v>0.3932806324110672</v>
      </c>
      <c r="BH127" s="19">
        <v>7.806451612903226</v>
      </c>
      <c r="BI127" s="19">
        <v>11.741935483870968</v>
      </c>
      <c r="BJ127" s="19">
        <v>9.5574174470182349</v>
      </c>
      <c r="BK127" s="19">
        <v>6.9641981363413441</v>
      </c>
      <c r="BL127" s="19">
        <v>0.70684098464903178</v>
      </c>
      <c r="BM127" s="19">
        <v>0.96558227251296558</v>
      </c>
      <c r="BN127" s="19">
        <v>9.4575629995728843</v>
      </c>
      <c r="BO127" s="20" t="s">
        <v>257</v>
      </c>
      <c r="BP127" s="21">
        <v>100000</v>
      </c>
      <c r="BQ127" s="31" t="s">
        <v>307</v>
      </c>
      <c r="BR127" s="31">
        <v>1246.3499999999999</v>
      </c>
      <c r="BS127" s="31">
        <v>1592.15</v>
      </c>
      <c r="BT127" s="31">
        <v>345.8</v>
      </c>
      <c r="BU127" s="35">
        <f t="shared" si="44"/>
        <v>27.696666666666665</v>
      </c>
      <c r="BV127" s="35">
        <f t="shared" si="45"/>
        <v>35.38111111111111</v>
      </c>
      <c r="BW127" s="35">
        <f t="shared" si="46"/>
        <v>7.6844444444444449</v>
      </c>
      <c r="BX127" s="36">
        <f t="shared" si="47"/>
        <v>35.451733333333337</v>
      </c>
      <c r="BY127" s="36">
        <f t="shared" si="48"/>
        <v>45.287822222222225</v>
      </c>
      <c r="BZ127" s="36">
        <f t="shared" si="49"/>
        <v>9.8360888888888898</v>
      </c>
      <c r="CA127" s="30">
        <v>28</v>
      </c>
      <c r="CB127" s="30">
        <v>17</v>
      </c>
    </row>
    <row r="128" spans="1:80" x14ac:dyDescent="0.4">
      <c r="A128" s="11" t="s">
        <v>53</v>
      </c>
      <c r="B128" s="11" t="s">
        <v>264</v>
      </c>
      <c r="C128" s="11" t="s">
        <v>77</v>
      </c>
      <c r="D128" s="10">
        <v>52</v>
      </c>
      <c r="E128" s="10">
        <v>25</v>
      </c>
      <c r="F128" s="10">
        <v>59</v>
      </c>
      <c r="G128" s="16">
        <v>81068</v>
      </c>
      <c r="H128" s="16">
        <v>433</v>
      </c>
      <c r="I128" s="17">
        <f t="shared" si="50"/>
        <v>8.3269230769230766</v>
      </c>
      <c r="J128" s="15">
        <v>155</v>
      </c>
      <c r="K128" s="15">
        <v>372</v>
      </c>
      <c r="L128" s="17">
        <f t="shared" si="51"/>
        <v>2.9807692307692308</v>
      </c>
      <c r="M128" s="17">
        <f t="shared" si="52"/>
        <v>7.1538461538461542</v>
      </c>
      <c r="N128" s="18">
        <f t="shared" si="53"/>
        <v>0.41666666666666669</v>
      </c>
      <c r="O128" s="16">
        <v>72</v>
      </c>
      <c r="P128" s="15">
        <v>129</v>
      </c>
      <c r="Q128" s="17">
        <f t="shared" si="27"/>
        <v>1.3846153846153846</v>
      </c>
      <c r="R128" s="17">
        <f t="shared" si="28"/>
        <v>2.4807692307692308</v>
      </c>
      <c r="S128" s="18">
        <f t="shared" si="29"/>
        <v>0.55813953488372092</v>
      </c>
      <c r="T128" s="15">
        <v>83</v>
      </c>
      <c r="U128" s="15">
        <v>243</v>
      </c>
      <c r="V128" s="17">
        <f t="shared" si="30"/>
        <v>1.5961538461538463</v>
      </c>
      <c r="W128" s="17">
        <f t="shared" si="31"/>
        <v>4.6730769230769234</v>
      </c>
      <c r="X128" s="18">
        <f t="shared" si="32"/>
        <v>0.34156378600823045</v>
      </c>
      <c r="Y128" s="9">
        <v>40</v>
      </c>
      <c r="Z128" s="9">
        <v>62</v>
      </c>
      <c r="AA128" s="17">
        <f t="shared" si="33"/>
        <v>0.76923076923076927</v>
      </c>
      <c r="AB128" s="17">
        <f t="shared" si="34"/>
        <v>1.1923076923076923</v>
      </c>
      <c r="AC128" s="18">
        <f t="shared" si="35"/>
        <v>0.64516129032258063</v>
      </c>
      <c r="AD128" s="15">
        <v>175</v>
      </c>
      <c r="AE128" s="17">
        <f t="shared" si="36"/>
        <v>3.3653846153846154</v>
      </c>
      <c r="AF128" s="15">
        <v>40</v>
      </c>
      <c r="AG128" s="17">
        <f t="shared" si="37"/>
        <v>0.76923076923076927</v>
      </c>
      <c r="AH128" s="15">
        <v>135</v>
      </c>
      <c r="AI128" s="17">
        <f t="shared" si="38"/>
        <v>2.5961538461538463</v>
      </c>
      <c r="AJ128" s="15">
        <v>60</v>
      </c>
      <c r="AK128" s="17">
        <f t="shared" si="39"/>
        <v>1.1538461538461537</v>
      </c>
      <c r="AL128" s="15">
        <v>43</v>
      </c>
      <c r="AM128" s="17">
        <f t="shared" si="40"/>
        <v>0.82692307692307687</v>
      </c>
      <c r="AN128" s="7">
        <v>14</v>
      </c>
      <c r="AO128" s="17">
        <f t="shared" si="41"/>
        <v>0.26923076923076922</v>
      </c>
      <c r="AP128" s="6">
        <v>46</v>
      </c>
      <c r="AQ128" s="17">
        <f t="shared" si="42"/>
        <v>0.88461538461538458</v>
      </c>
      <c r="AR128" s="15">
        <v>122</v>
      </c>
      <c r="AS128" s="17">
        <f t="shared" si="43"/>
        <v>2.3461538461538463</v>
      </c>
      <c r="AT128" s="19">
        <v>1.7387605473545298</v>
      </c>
      <c r="AU128" s="19">
        <v>5.1475616934559515E-2</v>
      </c>
      <c r="AV128" s="19">
        <v>0.73669412480266516</v>
      </c>
      <c r="AW128" s="19">
        <v>1.0020664225518645</v>
      </c>
      <c r="AX128" s="19">
        <v>109.10347149745128</v>
      </c>
      <c r="AY128" s="19">
        <v>112.63284210677274</v>
      </c>
      <c r="AZ128" s="19">
        <v>7.0492583082073423</v>
      </c>
      <c r="BA128" s="19">
        <v>8.4615384615384617</v>
      </c>
      <c r="BB128" s="19">
        <v>13.026101544382493</v>
      </c>
      <c r="BC128" s="18">
        <v>0.54222600681226207</v>
      </c>
      <c r="BD128" s="18">
        <v>0.52822580645161288</v>
      </c>
      <c r="BE128" s="19">
        <v>14.881543624607804</v>
      </c>
      <c r="BF128" s="18">
        <v>0.65322580645161288</v>
      </c>
      <c r="BG128" s="18">
        <v>0.16666666666666666</v>
      </c>
      <c r="BH128" s="19">
        <v>3.1037265410002277</v>
      </c>
      <c r="BI128" s="19">
        <v>10.475077075875769</v>
      </c>
      <c r="BJ128" s="19">
        <v>6.6388236510305507</v>
      </c>
      <c r="BK128" s="19">
        <v>6.4082024991989748</v>
      </c>
      <c r="BL128" s="19">
        <v>1.7574460449045302</v>
      </c>
      <c r="BM128" s="19">
        <v>1.0161375342152561</v>
      </c>
      <c r="BN128" s="19">
        <v>10.330578512396695</v>
      </c>
      <c r="BO128" s="20" t="s">
        <v>257</v>
      </c>
      <c r="BP128" s="21"/>
      <c r="BQ128" s="30" t="s">
        <v>305</v>
      </c>
      <c r="BR128" s="30">
        <v>840.22</v>
      </c>
      <c r="BS128" s="30">
        <v>1127.82</v>
      </c>
      <c r="BT128" s="30">
        <v>287.60000000000002</v>
      </c>
      <c r="BU128" s="35">
        <f t="shared" si="44"/>
        <v>16.158076923076923</v>
      </c>
      <c r="BV128" s="35">
        <f t="shared" si="45"/>
        <v>21.688846153846153</v>
      </c>
      <c r="BW128" s="35">
        <f t="shared" si="46"/>
        <v>5.5307692307692315</v>
      </c>
      <c r="BX128" s="36">
        <f t="shared" si="47"/>
        <v>24.874525090047861</v>
      </c>
      <c r="BY128" s="36">
        <f t="shared" si="48"/>
        <v>33.388858735876056</v>
      </c>
      <c r="BZ128" s="36">
        <f t="shared" si="49"/>
        <v>8.5143336458281933</v>
      </c>
      <c r="CA128" s="31">
        <v>33</v>
      </c>
      <c r="CB128" s="31">
        <v>19</v>
      </c>
    </row>
    <row r="129" spans="1:80" x14ac:dyDescent="0.4">
      <c r="A129" s="11" t="s">
        <v>53</v>
      </c>
      <c r="B129" s="11" t="s">
        <v>264</v>
      </c>
      <c r="C129" s="11" t="s">
        <v>80</v>
      </c>
      <c r="D129" s="15">
        <v>27</v>
      </c>
      <c r="E129" s="15">
        <v>25</v>
      </c>
      <c r="F129" s="15">
        <v>28</v>
      </c>
      <c r="G129" s="16">
        <v>41256</v>
      </c>
      <c r="H129" s="16">
        <v>407</v>
      </c>
      <c r="I129" s="17">
        <f t="shared" si="50"/>
        <v>15.074074074074074</v>
      </c>
      <c r="J129" s="15">
        <v>144</v>
      </c>
      <c r="K129" s="15">
        <v>334</v>
      </c>
      <c r="L129" s="17">
        <f t="shared" si="51"/>
        <v>5.333333333333333</v>
      </c>
      <c r="M129" s="17">
        <f t="shared" si="52"/>
        <v>12.37037037037037</v>
      </c>
      <c r="N129" s="18">
        <f t="shared" si="53"/>
        <v>0.43113772455089822</v>
      </c>
      <c r="O129" s="16">
        <v>74</v>
      </c>
      <c r="P129" s="15">
        <v>152</v>
      </c>
      <c r="Q129" s="17">
        <f t="shared" si="27"/>
        <v>2.7407407407407409</v>
      </c>
      <c r="R129" s="17">
        <f t="shared" si="28"/>
        <v>5.6296296296296298</v>
      </c>
      <c r="S129" s="18">
        <f t="shared" si="29"/>
        <v>0.48684210526315791</v>
      </c>
      <c r="T129" s="15">
        <v>70</v>
      </c>
      <c r="U129" s="15">
        <v>182</v>
      </c>
      <c r="V129" s="17">
        <f t="shared" si="30"/>
        <v>2.5925925925925926</v>
      </c>
      <c r="W129" s="17">
        <f t="shared" si="31"/>
        <v>6.7407407407407405</v>
      </c>
      <c r="X129" s="18">
        <f t="shared" si="32"/>
        <v>0.38461538461538464</v>
      </c>
      <c r="Y129" s="15">
        <v>49</v>
      </c>
      <c r="Z129" s="15">
        <v>70</v>
      </c>
      <c r="AA129" s="17">
        <f t="shared" si="33"/>
        <v>1.8148148148148149</v>
      </c>
      <c r="AB129" s="17">
        <f t="shared" si="34"/>
        <v>2.5925925925925926</v>
      </c>
      <c r="AC129" s="18">
        <f t="shared" si="35"/>
        <v>0.7</v>
      </c>
      <c r="AD129" s="15">
        <v>57</v>
      </c>
      <c r="AE129" s="17">
        <f t="shared" si="36"/>
        <v>2.1111111111111112</v>
      </c>
      <c r="AF129" s="15">
        <v>18</v>
      </c>
      <c r="AG129" s="17">
        <f t="shared" si="37"/>
        <v>0.66666666666666663</v>
      </c>
      <c r="AH129" s="15">
        <v>39</v>
      </c>
      <c r="AI129" s="17">
        <f t="shared" si="38"/>
        <v>1.4444444444444444</v>
      </c>
      <c r="AJ129" s="15">
        <v>97</v>
      </c>
      <c r="AK129" s="17">
        <f t="shared" si="39"/>
        <v>3.5925925925925926</v>
      </c>
      <c r="AL129" s="15">
        <v>29</v>
      </c>
      <c r="AM129" s="17">
        <f t="shared" si="40"/>
        <v>1.0740740740740742</v>
      </c>
      <c r="AN129" s="15">
        <v>5</v>
      </c>
      <c r="AO129" s="17">
        <f t="shared" si="41"/>
        <v>0.18518518518518517</v>
      </c>
      <c r="AP129" s="4">
        <v>55</v>
      </c>
      <c r="AQ129" s="17">
        <f t="shared" si="42"/>
        <v>2.0370370370370372</v>
      </c>
      <c r="AR129" s="15">
        <v>47</v>
      </c>
      <c r="AS129" s="17">
        <f t="shared" si="43"/>
        <v>1.7407407407407407</v>
      </c>
      <c r="AT129" s="19">
        <v>1.2790322702076373</v>
      </c>
      <c r="AU129" s="19">
        <v>7.4405600361119095E-2</v>
      </c>
      <c r="AV129" s="19">
        <v>0.82948216225557192</v>
      </c>
      <c r="AW129" s="19">
        <v>0.4495501079520654</v>
      </c>
      <c r="AX129" s="19">
        <v>110.25839432733086</v>
      </c>
      <c r="AY129" s="19">
        <v>113.45847832849637</v>
      </c>
      <c r="AZ129" s="19">
        <v>6.6975629008991646</v>
      </c>
      <c r="BA129" s="19">
        <v>12.185185185185185</v>
      </c>
      <c r="BB129" s="19">
        <v>19.139034322280395</v>
      </c>
      <c r="BC129" s="18">
        <v>0.55783991228070173</v>
      </c>
      <c r="BD129" s="18">
        <v>0.5359281437125748</v>
      </c>
      <c r="BE129" s="19">
        <v>14.314625418964786</v>
      </c>
      <c r="BF129" s="18">
        <v>0.54491017964071853</v>
      </c>
      <c r="BG129" s="18">
        <v>0.20958083832335328</v>
      </c>
      <c r="BH129" s="19">
        <v>1.4250126667792602</v>
      </c>
      <c r="BI129" s="19">
        <v>3.0875274446883973</v>
      </c>
      <c r="BJ129" s="19">
        <v>2.2062295665726546</v>
      </c>
      <c r="BK129" s="19">
        <v>10.479688850475366</v>
      </c>
      <c r="BL129" s="19">
        <v>2.3290235687106784</v>
      </c>
      <c r="BM129" s="19">
        <v>0.37026888926738599</v>
      </c>
      <c r="BN129" s="19">
        <v>13.101476893758932</v>
      </c>
      <c r="BO129" s="20" t="s">
        <v>257</v>
      </c>
      <c r="BP129" s="21"/>
      <c r="BQ129" s="30" t="s">
        <v>306</v>
      </c>
      <c r="BR129" s="30">
        <v>549.30999999999995</v>
      </c>
      <c r="BS129" s="30">
        <v>827.41</v>
      </c>
      <c r="BT129" s="30">
        <v>278.10000000000002</v>
      </c>
      <c r="BU129" s="35">
        <f t="shared" si="44"/>
        <v>20.344814814814814</v>
      </c>
      <c r="BV129" s="35">
        <f t="shared" si="45"/>
        <v>30.644814814814815</v>
      </c>
      <c r="BW129" s="35">
        <f t="shared" si="46"/>
        <v>10.3</v>
      </c>
      <c r="BX129" s="36">
        <f t="shared" si="47"/>
        <v>31.955206515415938</v>
      </c>
      <c r="BY129" s="36">
        <f t="shared" si="48"/>
        <v>48.133216986620127</v>
      </c>
      <c r="BZ129" s="36">
        <f t="shared" si="49"/>
        <v>16.178010471204189</v>
      </c>
      <c r="CA129" s="31">
        <v>14</v>
      </c>
      <c r="CB129" s="31">
        <v>13</v>
      </c>
    </row>
    <row r="130" spans="1:80" x14ac:dyDescent="0.4">
      <c r="A130" s="11" t="s">
        <v>53</v>
      </c>
      <c r="B130" s="11" t="s">
        <v>277</v>
      </c>
      <c r="C130" s="11" t="s">
        <v>231</v>
      </c>
      <c r="D130" s="15">
        <v>32</v>
      </c>
      <c r="E130" s="15">
        <v>6</v>
      </c>
      <c r="F130" s="15">
        <v>41</v>
      </c>
      <c r="G130" s="16">
        <v>12832</v>
      </c>
      <c r="H130" s="16">
        <v>77</v>
      </c>
      <c r="I130" s="17">
        <f t="shared" si="50"/>
        <v>2.40625</v>
      </c>
      <c r="J130" s="15">
        <v>25</v>
      </c>
      <c r="K130" s="15">
        <v>79</v>
      </c>
      <c r="L130" s="17">
        <f t="shared" si="51"/>
        <v>0.78125</v>
      </c>
      <c r="M130" s="17">
        <f t="shared" si="52"/>
        <v>2.46875</v>
      </c>
      <c r="N130" s="18">
        <f t="shared" si="53"/>
        <v>0.31645569620253167</v>
      </c>
      <c r="O130" s="16">
        <v>15</v>
      </c>
      <c r="P130" s="15">
        <v>30</v>
      </c>
      <c r="Q130" s="17">
        <f t="shared" ref="Q130:Q193" si="54">O130/$D130</f>
        <v>0.46875</v>
      </c>
      <c r="R130" s="17">
        <f t="shared" ref="R130:R193" si="55">P130/$D130</f>
        <v>0.9375</v>
      </c>
      <c r="S130" s="18">
        <f t="shared" ref="S130:S193" si="56">O130/P130</f>
        <v>0.5</v>
      </c>
      <c r="T130" s="15">
        <v>10</v>
      </c>
      <c r="U130" s="15">
        <v>49</v>
      </c>
      <c r="V130" s="17">
        <f t="shared" ref="V130:V193" si="57">T130/$D130</f>
        <v>0.3125</v>
      </c>
      <c r="W130" s="17">
        <f t="shared" ref="W130:W193" si="58">U130/$D130</f>
        <v>1.53125</v>
      </c>
      <c r="X130" s="18">
        <f t="shared" ref="X130:X193" si="59">T130/U130</f>
        <v>0.20408163265306123</v>
      </c>
      <c r="Y130" s="15">
        <v>17</v>
      </c>
      <c r="Z130" s="15">
        <v>21</v>
      </c>
      <c r="AA130" s="17">
        <f t="shared" ref="AA130:AA193" si="60">Y130/$D130</f>
        <v>0.53125</v>
      </c>
      <c r="AB130" s="17">
        <f t="shared" ref="AB130:AB193" si="61">Z130/$D130</f>
        <v>0.65625</v>
      </c>
      <c r="AC130" s="18">
        <f t="shared" ref="AC130:AC193" si="62">Y130/Z130</f>
        <v>0.80952380952380953</v>
      </c>
      <c r="AD130" s="15">
        <v>22</v>
      </c>
      <c r="AE130" s="17">
        <f t="shared" si="36"/>
        <v>0.6875</v>
      </c>
      <c r="AF130" s="15">
        <v>5</v>
      </c>
      <c r="AG130" s="17">
        <f t="shared" si="37"/>
        <v>0.15625</v>
      </c>
      <c r="AH130" s="15">
        <v>17</v>
      </c>
      <c r="AI130" s="17">
        <f t="shared" si="38"/>
        <v>0.53125</v>
      </c>
      <c r="AJ130" s="15">
        <v>2</v>
      </c>
      <c r="AK130" s="17">
        <f t="shared" si="39"/>
        <v>6.25E-2</v>
      </c>
      <c r="AL130" s="15">
        <v>3</v>
      </c>
      <c r="AM130" s="17">
        <f t="shared" si="40"/>
        <v>9.375E-2</v>
      </c>
      <c r="AN130" s="15">
        <v>1</v>
      </c>
      <c r="AO130" s="17">
        <f t="shared" si="41"/>
        <v>3.125E-2</v>
      </c>
      <c r="AP130" s="4">
        <v>6</v>
      </c>
      <c r="AQ130" s="17">
        <f t="shared" si="42"/>
        <v>0.1875</v>
      </c>
      <c r="AR130" s="15">
        <v>24</v>
      </c>
      <c r="AS130" s="17">
        <f t="shared" si="43"/>
        <v>0.75</v>
      </c>
      <c r="AT130" s="19">
        <v>-0.34955374188407939</v>
      </c>
      <c r="AU130" s="19">
        <v>-6.5377881898518592E-2</v>
      </c>
      <c r="AV130" s="19">
        <v>-0.26647488079452997</v>
      </c>
      <c r="AW130" s="19">
        <v>-8.3078861089549427E-2</v>
      </c>
      <c r="AX130" s="19">
        <v>89.97535816538867</v>
      </c>
      <c r="AY130" s="19">
        <v>123.23543420560203</v>
      </c>
      <c r="AZ130" s="19">
        <v>1.7353269237203062</v>
      </c>
      <c r="BA130" s="19">
        <v>1.28125</v>
      </c>
      <c r="BB130" s="19">
        <v>7.6683291770573554</v>
      </c>
      <c r="BC130" s="18">
        <v>0.43631006346328199</v>
      </c>
      <c r="BD130" s="18">
        <v>0.379746835443038</v>
      </c>
      <c r="BE130" s="19">
        <v>12.244803294351026</v>
      </c>
      <c r="BF130" s="18">
        <v>0.620253164556962</v>
      </c>
      <c r="BG130" s="18">
        <v>0.26582278481012656</v>
      </c>
      <c r="BH130" s="19">
        <v>1.5083259592953102</v>
      </c>
      <c r="BI130" s="19">
        <v>5.1283082616040545</v>
      </c>
      <c r="BJ130" s="19">
        <v>3.2447221030715472</v>
      </c>
      <c r="BK130" s="19">
        <v>0.78216660148611661</v>
      </c>
      <c r="BL130" s="19">
        <v>0.77462214359624437</v>
      </c>
      <c r="BM130" s="19">
        <v>0.28217998144666617</v>
      </c>
      <c r="BN130" s="19">
        <v>6.3667232597623089</v>
      </c>
      <c r="BO130" s="20" t="s">
        <v>257</v>
      </c>
      <c r="BP130" s="21">
        <v>65000</v>
      </c>
      <c r="BQ130" s="30" t="s">
        <v>306</v>
      </c>
      <c r="BR130" s="30">
        <v>104.16</v>
      </c>
      <c r="BS130" s="30">
        <v>166.46</v>
      </c>
      <c r="BT130" s="30">
        <v>62.3</v>
      </c>
      <c r="BU130" s="35">
        <f t="shared" si="44"/>
        <v>3.2550000000000003</v>
      </c>
      <c r="BV130" s="35">
        <f t="shared" si="45"/>
        <v>5.2018750000000002</v>
      </c>
      <c r="BW130" s="35">
        <f t="shared" si="46"/>
        <v>1.9468749999999999</v>
      </c>
      <c r="BX130" s="36">
        <f t="shared" si="47"/>
        <v>19.481296758104737</v>
      </c>
      <c r="BY130" s="36">
        <f t="shared" si="48"/>
        <v>31.133416458852867</v>
      </c>
      <c r="BZ130" s="36">
        <f t="shared" si="49"/>
        <v>11.652119700748131</v>
      </c>
      <c r="CA130" s="30">
        <v>9</v>
      </c>
      <c r="CB130" s="30">
        <v>23</v>
      </c>
    </row>
    <row r="131" spans="1:80" x14ac:dyDescent="0.4">
      <c r="A131" s="11" t="s">
        <v>53</v>
      </c>
      <c r="B131" s="11" t="s">
        <v>277</v>
      </c>
      <c r="C131" s="11" t="s">
        <v>221</v>
      </c>
      <c r="D131" s="15">
        <v>39</v>
      </c>
      <c r="E131" s="15">
        <v>13</v>
      </c>
      <c r="F131" s="15">
        <v>25</v>
      </c>
      <c r="G131" s="16">
        <v>31395</v>
      </c>
      <c r="H131" s="16">
        <v>209</v>
      </c>
      <c r="I131" s="17">
        <f t="shared" si="50"/>
        <v>5.3589743589743586</v>
      </c>
      <c r="J131" s="15">
        <v>90</v>
      </c>
      <c r="K131" s="15">
        <v>155</v>
      </c>
      <c r="L131" s="17">
        <f t="shared" si="51"/>
        <v>2.3076923076923075</v>
      </c>
      <c r="M131" s="17">
        <f t="shared" si="52"/>
        <v>3.9743589743589745</v>
      </c>
      <c r="N131" s="18">
        <f t="shared" si="53"/>
        <v>0.58064516129032262</v>
      </c>
      <c r="O131" s="16">
        <v>83</v>
      </c>
      <c r="P131" s="15">
        <v>133</v>
      </c>
      <c r="Q131" s="17">
        <f t="shared" si="54"/>
        <v>2.1282051282051282</v>
      </c>
      <c r="R131" s="17">
        <f t="shared" si="55"/>
        <v>3.4102564102564101</v>
      </c>
      <c r="S131" s="18">
        <f t="shared" si="56"/>
        <v>0.62406015037593987</v>
      </c>
      <c r="T131" s="15">
        <v>7</v>
      </c>
      <c r="U131" s="15">
        <v>22</v>
      </c>
      <c r="V131" s="17">
        <f t="shared" si="57"/>
        <v>0.17948717948717949</v>
      </c>
      <c r="W131" s="17">
        <f t="shared" si="58"/>
        <v>0.5641025641025641</v>
      </c>
      <c r="X131" s="18">
        <f t="shared" si="59"/>
        <v>0.31818181818181818</v>
      </c>
      <c r="Y131" s="15">
        <v>22</v>
      </c>
      <c r="Z131" s="15">
        <v>34</v>
      </c>
      <c r="AA131" s="17">
        <f t="shared" si="60"/>
        <v>0.5641025641025641</v>
      </c>
      <c r="AB131" s="17">
        <f t="shared" si="61"/>
        <v>0.87179487179487181</v>
      </c>
      <c r="AC131" s="18">
        <f t="shared" si="62"/>
        <v>0.6470588235294118</v>
      </c>
      <c r="AD131" s="15">
        <v>121</v>
      </c>
      <c r="AE131" s="17">
        <f t="shared" si="36"/>
        <v>3.1025641025641026</v>
      </c>
      <c r="AF131" s="15">
        <v>61</v>
      </c>
      <c r="AG131" s="17">
        <f t="shared" si="37"/>
        <v>1.5641025641025641</v>
      </c>
      <c r="AH131" s="15">
        <v>60</v>
      </c>
      <c r="AI131" s="17">
        <f t="shared" si="38"/>
        <v>1.5384615384615385</v>
      </c>
      <c r="AJ131" s="15">
        <v>19</v>
      </c>
      <c r="AK131" s="17">
        <f t="shared" si="39"/>
        <v>0.48717948717948717</v>
      </c>
      <c r="AL131" s="15">
        <v>21</v>
      </c>
      <c r="AM131" s="17">
        <f t="shared" si="40"/>
        <v>0.53846153846153844</v>
      </c>
      <c r="AN131" s="15">
        <v>25</v>
      </c>
      <c r="AO131" s="17">
        <f t="shared" si="41"/>
        <v>0.64102564102564108</v>
      </c>
      <c r="AP131" s="4">
        <v>15</v>
      </c>
      <c r="AQ131" s="17">
        <f t="shared" si="42"/>
        <v>0.38461538461538464</v>
      </c>
      <c r="AR131" s="15">
        <v>65</v>
      </c>
      <c r="AS131" s="17">
        <f t="shared" si="43"/>
        <v>1.6666666666666667</v>
      </c>
      <c r="AT131" s="19">
        <v>1.3432956697919511</v>
      </c>
      <c r="AU131" s="19">
        <v>0.10268863218667568</v>
      </c>
      <c r="AV131" s="19">
        <v>1.1562895771662764</v>
      </c>
      <c r="AW131" s="19">
        <v>0.18700609262567477</v>
      </c>
      <c r="AX131" s="19">
        <v>125.61788927385173</v>
      </c>
      <c r="AY131" s="19">
        <v>116.26072363820812</v>
      </c>
      <c r="AZ131" s="19">
        <v>10.814769776564088</v>
      </c>
      <c r="BA131" s="19">
        <v>7.7692307692307692</v>
      </c>
      <c r="BB131" s="19">
        <v>23.162924032489251</v>
      </c>
      <c r="BC131" s="18">
        <v>0.61485055307131087</v>
      </c>
      <c r="BD131" s="18">
        <v>0.60322580645161294</v>
      </c>
      <c r="BE131" s="19">
        <v>11.971342175739878</v>
      </c>
      <c r="BF131" s="18">
        <v>0.14193548387096774</v>
      </c>
      <c r="BG131" s="18">
        <v>0.21935483870967742</v>
      </c>
      <c r="BH131" s="19">
        <v>9.1664996994590258</v>
      </c>
      <c r="BI131" s="19">
        <v>9.0162292125826493</v>
      </c>
      <c r="BJ131" s="19">
        <v>8.8897324202786301</v>
      </c>
      <c r="BK131" s="19">
        <v>4.0126715945089755</v>
      </c>
      <c r="BL131" s="19">
        <v>2.2162656291253082</v>
      </c>
      <c r="BM131" s="19">
        <v>3.5141047378917127</v>
      </c>
      <c r="BN131" s="19">
        <v>8.1098615916955019</v>
      </c>
      <c r="BO131" s="20" t="s">
        <v>257</v>
      </c>
      <c r="BP131" s="21">
        <v>560000</v>
      </c>
      <c r="BQ131" s="30" t="s">
        <v>307</v>
      </c>
      <c r="BR131" s="30">
        <v>471.69</v>
      </c>
      <c r="BS131" s="30">
        <v>567.29</v>
      </c>
      <c r="BT131" s="30">
        <v>95.6</v>
      </c>
      <c r="BU131" s="35">
        <f t="shared" ref="BU131:BU194" si="63">BV131-BW131</f>
        <v>12.094615384615384</v>
      </c>
      <c r="BV131" s="35">
        <f t="shared" ref="BV131:BV194" si="64">BS131/$D131</f>
        <v>14.545897435897436</v>
      </c>
      <c r="BW131" s="35">
        <f t="shared" ref="BW131:BW194" si="65">BT131/$D131</f>
        <v>2.451282051282051</v>
      </c>
      <c r="BX131" s="36">
        <f t="shared" ref="BX131:BX194" si="66">BY131-BZ131</f>
        <v>36.058480649784997</v>
      </c>
      <c r="BY131" s="36">
        <f t="shared" ref="BY131:BY194" si="67">BS131*2400/$G131</f>
        <v>43.366650740563784</v>
      </c>
      <c r="BZ131" s="36">
        <f t="shared" ref="BZ131:BZ194" si="68">BT131*2400/$G131</f>
        <v>7.3081700907787868</v>
      </c>
      <c r="CA131" s="30">
        <v>14</v>
      </c>
      <c r="CB131" s="30">
        <v>25</v>
      </c>
    </row>
    <row r="132" spans="1:80" x14ac:dyDescent="0.4">
      <c r="A132" s="11" t="s">
        <v>53</v>
      </c>
      <c r="B132" s="11" t="s">
        <v>277</v>
      </c>
      <c r="C132" s="11" t="s">
        <v>232</v>
      </c>
      <c r="D132" s="15">
        <v>14</v>
      </c>
      <c r="E132" s="15">
        <v>7</v>
      </c>
      <c r="F132" s="15">
        <v>38</v>
      </c>
      <c r="G132" s="16">
        <v>6412</v>
      </c>
      <c r="H132" s="16">
        <v>24</v>
      </c>
      <c r="I132" s="17">
        <f t="shared" si="50"/>
        <v>1.7142857142857142</v>
      </c>
      <c r="J132" s="15">
        <v>9</v>
      </c>
      <c r="K132" s="15">
        <v>19</v>
      </c>
      <c r="L132" s="17">
        <f t="shared" si="51"/>
        <v>0.6428571428571429</v>
      </c>
      <c r="M132" s="17">
        <f t="shared" si="52"/>
        <v>1.3571428571428572</v>
      </c>
      <c r="N132" s="18">
        <f t="shared" si="53"/>
        <v>0.47368421052631576</v>
      </c>
      <c r="O132" s="16">
        <v>4</v>
      </c>
      <c r="P132" s="15">
        <v>8</v>
      </c>
      <c r="Q132" s="17">
        <f t="shared" si="54"/>
        <v>0.2857142857142857</v>
      </c>
      <c r="R132" s="17">
        <f t="shared" si="55"/>
        <v>0.5714285714285714</v>
      </c>
      <c r="S132" s="18">
        <f t="shared" si="56"/>
        <v>0.5</v>
      </c>
      <c r="T132" s="15">
        <v>5</v>
      </c>
      <c r="U132" s="15">
        <v>11</v>
      </c>
      <c r="V132" s="17">
        <f t="shared" si="57"/>
        <v>0.35714285714285715</v>
      </c>
      <c r="W132" s="17">
        <f t="shared" si="58"/>
        <v>0.7857142857142857</v>
      </c>
      <c r="X132" s="18">
        <f t="shared" si="59"/>
        <v>0.45454545454545453</v>
      </c>
      <c r="Y132" s="15">
        <v>1</v>
      </c>
      <c r="Z132" s="15">
        <v>4</v>
      </c>
      <c r="AA132" s="17">
        <f t="shared" si="60"/>
        <v>7.1428571428571425E-2</v>
      </c>
      <c r="AB132" s="17">
        <f t="shared" si="61"/>
        <v>0.2857142857142857</v>
      </c>
      <c r="AC132" s="18">
        <f t="shared" si="62"/>
        <v>0.25</v>
      </c>
      <c r="AD132" s="15">
        <v>9</v>
      </c>
      <c r="AE132" s="17">
        <f t="shared" ref="AE132:AE195" si="69">AD132/$D132</f>
        <v>0.6428571428571429</v>
      </c>
      <c r="AF132" s="15">
        <v>3</v>
      </c>
      <c r="AG132" s="17">
        <f t="shared" ref="AG132:AG195" si="70">AF132/$D132</f>
        <v>0.21428571428571427</v>
      </c>
      <c r="AH132" s="15">
        <v>6</v>
      </c>
      <c r="AI132" s="17">
        <f t="shared" ref="AI132:AI195" si="71">AH132/$D132</f>
        <v>0.42857142857142855</v>
      </c>
      <c r="AJ132" s="15">
        <v>6</v>
      </c>
      <c r="AK132" s="17">
        <f t="shared" ref="AK132:AK195" si="72">AJ132/$D132</f>
        <v>0.42857142857142855</v>
      </c>
      <c r="AL132" s="15">
        <v>1</v>
      </c>
      <c r="AM132" s="17">
        <f t="shared" ref="AM132:AM195" si="73">AL132/$D132</f>
        <v>7.1428571428571425E-2</v>
      </c>
      <c r="AN132" s="15">
        <v>1</v>
      </c>
      <c r="AO132" s="17">
        <f t="shared" ref="AO132:AO195" si="74">AN132/$D132</f>
        <v>7.1428571428571425E-2</v>
      </c>
      <c r="AP132" s="4">
        <v>1</v>
      </c>
      <c r="AQ132" s="17">
        <f t="shared" ref="AQ132:AQ195" si="75">AP132/$D132</f>
        <v>7.1428571428571425E-2</v>
      </c>
      <c r="AR132" s="15">
        <v>11</v>
      </c>
      <c r="AS132" s="17">
        <f t="shared" ref="AS132:AS195" si="76">AR132/$D132</f>
        <v>0.7857142857142857</v>
      </c>
      <c r="AT132" s="19">
        <v>6.4450039022349803E-2</v>
      </c>
      <c r="AU132" s="19">
        <v>2.4123533008989326E-2</v>
      </c>
      <c r="AV132" s="19">
        <v>0.12274301028998109</v>
      </c>
      <c r="AW132" s="19">
        <v>-5.8292971267631284E-2</v>
      </c>
      <c r="AX132" s="19">
        <v>123.59611138249321</v>
      </c>
      <c r="AY132" s="19">
        <v>124.70370879912291</v>
      </c>
      <c r="AZ132" s="19">
        <v>1.4772448051533</v>
      </c>
      <c r="BA132" s="19">
        <v>1.9285714285714286</v>
      </c>
      <c r="BB132" s="19">
        <v>10.106051154086089</v>
      </c>
      <c r="BC132" s="18">
        <v>0.57803468208092479</v>
      </c>
      <c r="BD132" s="18">
        <v>0.60526315789473684</v>
      </c>
      <c r="BE132" s="19">
        <v>2.4754509251144627</v>
      </c>
      <c r="BF132" s="18">
        <v>0.57894736842105265</v>
      </c>
      <c r="BG132" s="18">
        <v>0.21052631578947367</v>
      </c>
      <c r="BH132" s="19">
        <v>0.79236512184814767</v>
      </c>
      <c r="BI132" s="19">
        <v>1.5847302436962953</v>
      </c>
      <c r="BJ132" s="19">
        <v>1.1621875813800331</v>
      </c>
      <c r="BK132" s="19">
        <v>1.9255455712451863</v>
      </c>
      <c r="BL132" s="19">
        <v>0.51673691758302187</v>
      </c>
      <c r="BM132" s="19">
        <v>0.24706151213998503</v>
      </c>
      <c r="BN132" s="19">
        <v>4.5955882352941178</v>
      </c>
      <c r="BO132" s="20" t="s">
        <v>257</v>
      </c>
      <c r="BP132" s="21">
        <v>27083</v>
      </c>
      <c r="BQ132" s="30" t="s">
        <v>305</v>
      </c>
      <c r="BR132" s="30">
        <v>61.92</v>
      </c>
      <c r="BS132" s="30">
        <v>75.22</v>
      </c>
      <c r="BT132" s="30">
        <v>13.3</v>
      </c>
      <c r="BU132" s="35">
        <f t="shared" si="63"/>
        <v>4.4228571428571426</v>
      </c>
      <c r="BV132" s="35">
        <f t="shared" si="64"/>
        <v>5.3728571428571428</v>
      </c>
      <c r="BW132" s="35">
        <f t="shared" si="65"/>
        <v>0.95000000000000007</v>
      </c>
      <c r="BX132" s="36">
        <f t="shared" si="66"/>
        <v>23.17654398003743</v>
      </c>
      <c r="BY132" s="36">
        <f t="shared" si="67"/>
        <v>28.154709918902057</v>
      </c>
      <c r="BZ132" s="36">
        <f t="shared" si="68"/>
        <v>4.9781659388646284</v>
      </c>
      <c r="CA132" s="30">
        <v>2</v>
      </c>
      <c r="CB132" s="30">
        <v>12</v>
      </c>
    </row>
    <row r="133" spans="1:80" x14ac:dyDescent="0.4">
      <c r="A133" s="11" t="s">
        <v>53</v>
      </c>
      <c r="B133" s="11" t="s">
        <v>277</v>
      </c>
      <c r="C133" s="11" t="s">
        <v>228</v>
      </c>
      <c r="D133" s="15">
        <v>22</v>
      </c>
      <c r="E133" s="15">
        <v>8</v>
      </c>
      <c r="F133" s="15">
        <v>16</v>
      </c>
      <c r="G133" s="16">
        <v>10912</v>
      </c>
      <c r="H133" s="16">
        <v>76</v>
      </c>
      <c r="I133" s="17">
        <f t="shared" si="50"/>
        <v>3.4545454545454546</v>
      </c>
      <c r="J133" s="15">
        <v>27</v>
      </c>
      <c r="K133" s="15">
        <v>53</v>
      </c>
      <c r="L133" s="17">
        <f t="shared" si="51"/>
        <v>1.2272727272727273</v>
      </c>
      <c r="M133" s="17">
        <f t="shared" si="52"/>
        <v>2.4090909090909092</v>
      </c>
      <c r="N133" s="18">
        <f t="shared" si="53"/>
        <v>0.50943396226415094</v>
      </c>
      <c r="O133" s="16">
        <v>10</v>
      </c>
      <c r="P133" s="15">
        <v>20</v>
      </c>
      <c r="Q133" s="17">
        <f t="shared" si="54"/>
        <v>0.45454545454545453</v>
      </c>
      <c r="R133" s="17">
        <f t="shared" si="55"/>
        <v>0.90909090909090906</v>
      </c>
      <c r="S133" s="18">
        <f t="shared" si="56"/>
        <v>0.5</v>
      </c>
      <c r="T133" s="15">
        <v>17</v>
      </c>
      <c r="U133" s="15">
        <v>33</v>
      </c>
      <c r="V133" s="17">
        <f t="shared" si="57"/>
        <v>0.77272727272727271</v>
      </c>
      <c r="W133" s="17">
        <f t="shared" si="58"/>
        <v>1.5</v>
      </c>
      <c r="X133" s="18">
        <f t="shared" si="59"/>
        <v>0.51515151515151514</v>
      </c>
      <c r="Y133" s="15">
        <v>5</v>
      </c>
      <c r="Z133" s="15">
        <v>8</v>
      </c>
      <c r="AA133" s="17">
        <f t="shared" si="60"/>
        <v>0.22727272727272727</v>
      </c>
      <c r="AB133" s="17">
        <f t="shared" si="61"/>
        <v>0.36363636363636365</v>
      </c>
      <c r="AC133" s="18">
        <f t="shared" si="62"/>
        <v>0.625</v>
      </c>
      <c r="AD133" s="15">
        <v>36</v>
      </c>
      <c r="AE133" s="17">
        <f t="shared" si="69"/>
        <v>1.6363636363636365</v>
      </c>
      <c r="AF133" s="15">
        <v>9</v>
      </c>
      <c r="AG133" s="17">
        <f t="shared" si="70"/>
        <v>0.40909090909090912</v>
      </c>
      <c r="AH133" s="15">
        <v>27</v>
      </c>
      <c r="AI133" s="17">
        <f t="shared" si="71"/>
        <v>1.2272727272727273</v>
      </c>
      <c r="AJ133" s="15">
        <v>8</v>
      </c>
      <c r="AK133" s="17">
        <f t="shared" si="72"/>
        <v>0.36363636363636365</v>
      </c>
      <c r="AL133" s="15">
        <v>2</v>
      </c>
      <c r="AM133" s="17">
        <f t="shared" si="73"/>
        <v>9.0909090909090912E-2</v>
      </c>
      <c r="AN133" s="15">
        <v>2</v>
      </c>
      <c r="AO133" s="17">
        <f t="shared" si="74"/>
        <v>9.0909090909090912E-2</v>
      </c>
      <c r="AP133" s="4">
        <v>3</v>
      </c>
      <c r="AQ133" s="17">
        <f t="shared" si="75"/>
        <v>0.13636363636363635</v>
      </c>
      <c r="AR133" s="15">
        <v>40</v>
      </c>
      <c r="AS133" s="17">
        <f t="shared" si="76"/>
        <v>1.8181818181818181</v>
      </c>
      <c r="AT133" s="19">
        <v>0.46527358755825382</v>
      </c>
      <c r="AU133" s="19">
        <v>0.10233290048935201</v>
      </c>
      <c r="AV133" s="19">
        <v>0.4676771918156144</v>
      </c>
      <c r="AW133" s="19">
        <v>-2.4036042573605761E-3</v>
      </c>
      <c r="AX133" s="19">
        <v>133.93126125390674</v>
      </c>
      <c r="AY133" s="19">
        <v>119.72640719191297</v>
      </c>
      <c r="AZ133" s="19">
        <v>4.0336286805465846</v>
      </c>
      <c r="BA133" s="19">
        <v>4.1818181818181817</v>
      </c>
      <c r="BB133" s="19">
        <v>20.234604105571847</v>
      </c>
      <c r="BC133" s="18">
        <v>0.67232837933474876</v>
      </c>
      <c r="BD133" s="18">
        <v>0.66981132075471694</v>
      </c>
      <c r="BE133" s="19">
        <v>6.2523337704177786</v>
      </c>
      <c r="BF133" s="18">
        <v>0.62264150943396224</v>
      </c>
      <c r="BG133" s="18">
        <v>0.15094339622641509</v>
      </c>
      <c r="BH133" s="19">
        <v>2.1949791883454735</v>
      </c>
      <c r="BI133" s="19">
        <v>6.5849375650364212</v>
      </c>
      <c r="BJ133" s="19">
        <v>4.2925960667101224</v>
      </c>
      <c r="BK133" s="19">
        <v>2.4984384759525295</v>
      </c>
      <c r="BL133" s="19">
        <v>0.60727952997476842</v>
      </c>
      <c r="BM133" s="19">
        <v>0.45626682483916586</v>
      </c>
      <c r="BN133" s="19">
        <v>5.040322580645161</v>
      </c>
      <c r="BO133" s="20" t="s">
        <v>257</v>
      </c>
      <c r="BP133" s="21">
        <v>190000</v>
      </c>
      <c r="BQ133" s="30" t="s">
        <v>307</v>
      </c>
      <c r="BR133" s="30">
        <v>151.19</v>
      </c>
      <c r="BS133" s="30">
        <v>182.49</v>
      </c>
      <c r="BT133" s="30">
        <v>31.3</v>
      </c>
      <c r="BU133" s="35">
        <f t="shared" si="63"/>
        <v>6.8722727272727271</v>
      </c>
      <c r="BV133" s="35">
        <f t="shared" si="64"/>
        <v>8.2949999999999999</v>
      </c>
      <c r="BW133" s="35">
        <f t="shared" si="65"/>
        <v>1.4227272727272728</v>
      </c>
      <c r="BX133" s="36">
        <f t="shared" si="66"/>
        <v>33.252932551319653</v>
      </c>
      <c r="BY133" s="36">
        <f t="shared" si="67"/>
        <v>40.137096774193552</v>
      </c>
      <c r="BZ133" s="36">
        <f t="shared" si="68"/>
        <v>6.8841642228739</v>
      </c>
      <c r="CA133" s="30">
        <v>6</v>
      </c>
      <c r="CB133" s="30">
        <v>16</v>
      </c>
    </row>
    <row r="134" spans="1:80" x14ac:dyDescent="0.4">
      <c r="A134" s="11" t="s">
        <v>53</v>
      </c>
      <c r="B134" s="11" t="s">
        <v>277</v>
      </c>
      <c r="C134" s="11" t="s">
        <v>233</v>
      </c>
      <c r="D134" s="15">
        <v>14</v>
      </c>
      <c r="E134" s="15">
        <v>4</v>
      </c>
      <c r="F134" s="15">
        <v>13</v>
      </c>
      <c r="G134" s="16">
        <v>3542</v>
      </c>
      <c r="H134" s="16">
        <v>9</v>
      </c>
      <c r="I134" s="17">
        <f t="shared" ref="I134:I197" si="77">H134/$D134</f>
        <v>0.6428571428571429</v>
      </c>
      <c r="J134" s="15">
        <v>4</v>
      </c>
      <c r="K134" s="15">
        <v>14</v>
      </c>
      <c r="L134" s="17">
        <f t="shared" ref="L134:L197" si="78">J134/$D134</f>
        <v>0.2857142857142857</v>
      </c>
      <c r="M134" s="17">
        <f t="shared" ref="M134:M197" si="79">K134/$D134</f>
        <v>1</v>
      </c>
      <c r="N134" s="18">
        <f t="shared" ref="N134:N197" si="80">J134/K134</f>
        <v>0.2857142857142857</v>
      </c>
      <c r="O134" s="16">
        <v>3</v>
      </c>
      <c r="P134" s="15">
        <v>7</v>
      </c>
      <c r="Q134" s="17">
        <f t="shared" si="54"/>
        <v>0.21428571428571427</v>
      </c>
      <c r="R134" s="17">
        <f t="shared" si="55"/>
        <v>0.5</v>
      </c>
      <c r="S134" s="18">
        <f t="shared" si="56"/>
        <v>0.42857142857142855</v>
      </c>
      <c r="T134" s="15">
        <v>1</v>
      </c>
      <c r="U134" s="15">
        <v>7</v>
      </c>
      <c r="V134" s="17">
        <f t="shared" si="57"/>
        <v>7.1428571428571425E-2</v>
      </c>
      <c r="W134" s="17">
        <f t="shared" si="58"/>
        <v>0.5</v>
      </c>
      <c r="X134" s="18">
        <f t="shared" si="59"/>
        <v>0.14285714285714285</v>
      </c>
      <c r="Y134" s="15">
        <v>0</v>
      </c>
      <c r="Z134" s="15">
        <v>2</v>
      </c>
      <c r="AA134" s="17">
        <f t="shared" si="60"/>
        <v>0</v>
      </c>
      <c r="AB134" s="17">
        <f t="shared" si="61"/>
        <v>0.14285714285714285</v>
      </c>
      <c r="AC134" s="18">
        <f t="shared" si="62"/>
        <v>0</v>
      </c>
      <c r="AD134" s="15">
        <v>9</v>
      </c>
      <c r="AE134" s="17">
        <f t="shared" si="69"/>
        <v>0.6428571428571429</v>
      </c>
      <c r="AF134" s="15">
        <v>3</v>
      </c>
      <c r="AG134" s="17">
        <f t="shared" si="70"/>
        <v>0.21428571428571427</v>
      </c>
      <c r="AH134" s="15">
        <v>6</v>
      </c>
      <c r="AI134" s="17">
        <f t="shared" si="71"/>
        <v>0.42857142857142855</v>
      </c>
      <c r="AJ134" s="15">
        <v>0</v>
      </c>
      <c r="AK134" s="17">
        <f t="shared" si="72"/>
        <v>0</v>
      </c>
      <c r="AL134" s="15">
        <v>1</v>
      </c>
      <c r="AM134" s="17">
        <f t="shared" si="73"/>
        <v>7.1428571428571425E-2</v>
      </c>
      <c r="AN134" s="15">
        <v>0</v>
      </c>
      <c r="AO134" s="17">
        <f t="shared" si="74"/>
        <v>0</v>
      </c>
      <c r="AP134" s="4">
        <v>2</v>
      </c>
      <c r="AQ134" s="17">
        <f t="shared" si="75"/>
        <v>0.14285714285714285</v>
      </c>
      <c r="AR134" s="15">
        <v>18</v>
      </c>
      <c r="AS134" s="17">
        <f t="shared" si="76"/>
        <v>1.2857142857142858</v>
      </c>
      <c r="AT134" s="19">
        <v>-0.16875603862525079</v>
      </c>
      <c r="AU134" s="19">
        <v>-0.11434627123111291</v>
      </c>
      <c r="AV134" s="19">
        <v>-0.15707850260229436</v>
      </c>
      <c r="AW134" s="19">
        <v>-1.167753602295642E-2</v>
      </c>
      <c r="AX134" s="19">
        <v>64.951712967194482</v>
      </c>
      <c r="AY134" s="19">
        <v>121.45262297202677</v>
      </c>
      <c r="AZ134" s="19">
        <v>-1.5308407892363574</v>
      </c>
      <c r="BA134" s="19">
        <v>0.35714285714285715</v>
      </c>
      <c r="BB134" s="19">
        <v>3.3879164313946926</v>
      </c>
      <c r="BC134" s="18">
        <v>0.30241935483870969</v>
      </c>
      <c r="BD134" s="18">
        <v>0.32142857142857145</v>
      </c>
      <c r="BE134" s="19">
        <v>3.4762646259766834</v>
      </c>
      <c r="BF134" s="18">
        <v>0.5</v>
      </c>
      <c r="BG134" s="18">
        <v>0.14285714285714285</v>
      </c>
      <c r="BH134" s="19">
        <v>1.4344001020017851</v>
      </c>
      <c r="BI134" s="19">
        <v>2.8688002040035703</v>
      </c>
      <c r="BJ134" s="19">
        <v>2.1038810761741313</v>
      </c>
      <c r="BK134" s="19">
        <v>0</v>
      </c>
      <c r="BL134" s="19">
        <v>0.93543679151392878</v>
      </c>
      <c r="BM134" s="19">
        <v>0</v>
      </c>
      <c r="BN134" s="19">
        <v>11.848341232227487</v>
      </c>
      <c r="BO134" s="20" t="s">
        <v>257</v>
      </c>
      <c r="BP134" s="21">
        <v>48000</v>
      </c>
      <c r="BQ134" s="31" t="s">
        <v>305</v>
      </c>
      <c r="BR134" s="31">
        <v>22.75</v>
      </c>
      <c r="BS134" s="31">
        <v>36.75</v>
      </c>
      <c r="BT134" s="31">
        <v>14</v>
      </c>
      <c r="BU134" s="35">
        <f t="shared" si="63"/>
        <v>1.625</v>
      </c>
      <c r="BV134" s="35">
        <f t="shared" si="64"/>
        <v>2.625</v>
      </c>
      <c r="BW134" s="35">
        <f t="shared" si="65"/>
        <v>1</v>
      </c>
      <c r="BX134" s="36">
        <f t="shared" si="66"/>
        <v>15.41501976284585</v>
      </c>
      <c r="BY134" s="36">
        <f t="shared" si="67"/>
        <v>24.901185770750988</v>
      </c>
      <c r="BZ134" s="36">
        <f t="shared" si="68"/>
        <v>9.4861660079051386</v>
      </c>
      <c r="CA134" s="30">
        <v>4</v>
      </c>
      <c r="CB134" s="30">
        <v>10</v>
      </c>
    </row>
    <row r="135" spans="1:80" x14ac:dyDescent="0.4">
      <c r="A135" s="11" t="s">
        <v>53</v>
      </c>
      <c r="B135" s="11" t="s">
        <v>277</v>
      </c>
      <c r="C135" s="14" t="s">
        <v>200</v>
      </c>
      <c r="D135" s="15">
        <v>13</v>
      </c>
      <c r="E135" s="15">
        <v>15</v>
      </c>
      <c r="F135" s="15">
        <v>9</v>
      </c>
      <c r="G135" s="16">
        <v>11817</v>
      </c>
      <c r="H135" s="16">
        <v>103</v>
      </c>
      <c r="I135" s="17">
        <f t="shared" si="77"/>
        <v>7.9230769230769234</v>
      </c>
      <c r="J135" s="15">
        <v>44</v>
      </c>
      <c r="K135" s="15">
        <v>79</v>
      </c>
      <c r="L135" s="17">
        <f t="shared" si="78"/>
        <v>3.3846153846153846</v>
      </c>
      <c r="M135" s="17">
        <f t="shared" si="79"/>
        <v>6.0769230769230766</v>
      </c>
      <c r="N135" s="18">
        <f t="shared" si="80"/>
        <v>0.55696202531645567</v>
      </c>
      <c r="O135" s="16">
        <v>44</v>
      </c>
      <c r="P135" s="15">
        <v>75</v>
      </c>
      <c r="Q135" s="17">
        <f t="shared" si="54"/>
        <v>3.3846153846153846</v>
      </c>
      <c r="R135" s="17">
        <f t="shared" si="55"/>
        <v>5.7692307692307692</v>
      </c>
      <c r="S135" s="18">
        <f t="shared" si="56"/>
        <v>0.58666666666666667</v>
      </c>
      <c r="T135" s="15">
        <v>0</v>
      </c>
      <c r="U135" s="15">
        <v>4</v>
      </c>
      <c r="V135" s="17">
        <f t="shared" si="57"/>
        <v>0</v>
      </c>
      <c r="W135" s="17">
        <f t="shared" si="58"/>
        <v>0.30769230769230771</v>
      </c>
      <c r="X135" s="18">
        <f t="shared" si="59"/>
        <v>0</v>
      </c>
      <c r="Y135" s="15">
        <v>15</v>
      </c>
      <c r="Z135" s="15">
        <v>23</v>
      </c>
      <c r="AA135" s="17">
        <f t="shared" si="60"/>
        <v>1.1538461538461537</v>
      </c>
      <c r="AB135" s="17">
        <f t="shared" si="61"/>
        <v>1.7692307692307692</v>
      </c>
      <c r="AC135" s="18">
        <f t="shared" si="62"/>
        <v>0.65217391304347827</v>
      </c>
      <c r="AD135" s="15">
        <v>57</v>
      </c>
      <c r="AE135" s="17">
        <f t="shared" si="69"/>
        <v>4.384615384615385</v>
      </c>
      <c r="AF135" s="15">
        <v>14</v>
      </c>
      <c r="AG135" s="17">
        <f t="shared" si="70"/>
        <v>1.0769230769230769</v>
      </c>
      <c r="AH135" s="15">
        <v>43</v>
      </c>
      <c r="AI135" s="17">
        <f t="shared" si="71"/>
        <v>3.3076923076923075</v>
      </c>
      <c r="AJ135" s="15">
        <v>17</v>
      </c>
      <c r="AK135" s="17">
        <f t="shared" si="72"/>
        <v>1.3076923076923077</v>
      </c>
      <c r="AL135" s="15">
        <v>11</v>
      </c>
      <c r="AM135" s="17">
        <f t="shared" si="73"/>
        <v>0.84615384615384615</v>
      </c>
      <c r="AN135" s="15">
        <v>19</v>
      </c>
      <c r="AO135" s="17">
        <f t="shared" si="74"/>
        <v>1.4615384615384615</v>
      </c>
      <c r="AP135" s="4">
        <v>16</v>
      </c>
      <c r="AQ135" s="17">
        <f t="shared" si="75"/>
        <v>1.2307692307692308</v>
      </c>
      <c r="AR135" s="15">
        <v>35</v>
      </c>
      <c r="AS135" s="17">
        <f t="shared" si="76"/>
        <v>2.6923076923076925</v>
      </c>
      <c r="AT135" s="19">
        <v>0.41005274137655656</v>
      </c>
      <c r="AU135" s="19">
        <v>8.3280577075715984E-2</v>
      </c>
      <c r="AV135" s="19">
        <v>0.14353973095602421</v>
      </c>
      <c r="AW135" s="19">
        <v>0.26651301042053238</v>
      </c>
      <c r="AX135" s="19">
        <v>107.17299201716793</v>
      </c>
      <c r="AY135" s="19">
        <v>106.94862139339537</v>
      </c>
      <c r="AZ135" s="19">
        <v>4.0808361913304676</v>
      </c>
      <c r="BA135" s="19">
        <v>11.384615384615385</v>
      </c>
      <c r="BB135" s="19">
        <v>30.058390454430061</v>
      </c>
      <c r="BC135" s="18">
        <v>0.57787253141831241</v>
      </c>
      <c r="BD135" s="18">
        <v>0.55696202531645567</v>
      </c>
      <c r="BE135" s="19">
        <v>6.0253513563102015</v>
      </c>
      <c r="BF135" s="18">
        <v>5.0632911392405063E-2</v>
      </c>
      <c r="BG135" s="18">
        <v>0.29113924050632911</v>
      </c>
      <c r="BH135" s="19">
        <v>1.8630895347599277</v>
      </c>
      <c r="BI135" s="19">
        <v>5.7223464281912069</v>
      </c>
      <c r="BJ135" s="19">
        <v>3.7086015156468828</v>
      </c>
      <c r="BK135" s="19">
        <v>2.8701671450278576</v>
      </c>
      <c r="BL135" s="19">
        <v>3.0842420471325802</v>
      </c>
      <c r="BM135" s="19">
        <v>2.3651587223786028</v>
      </c>
      <c r="BN135" s="19">
        <v>15.220700152207002</v>
      </c>
      <c r="BO135" s="20" t="s">
        <v>239</v>
      </c>
      <c r="BP135" s="21">
        <v>100000</v>
      </c>
      <c r="BQ135" s="31" t="s">
        <v>305</v>
      </c>
      <c r="BR135" s="31"/>
      <c r="BS135" s="31"/>
      <c r="BT135" s="31"/>
      <c r="BU135" s="35"/>
      <c r="BV135" s="35"/>
      <c r="BW135" s="35"/>
      <c r="BX135" s="36"/>
      <c r="BY135" s="36"/>
      <c r="BZ135" s="36"/>
      <c r="CA135" s="31">
        <v>9</v>
      </c>
      <c r="CB135" s="31">
        <v>4</v>
      </c>
    </row>
    <row r="136" spans="1:80" x14ac:dyDescent="0.4">
      <c r="A136" s="11" t="s">
        <v>53</v>
      </c>
      <c r="B136" s="11" t="s">
        <v>277</v>
      </c>
      <c r="C136" s="11" t="s">
        <v>303</v>
      </c>
      <c r="D136" s="10">
        <v>22</v>
      </c>
      <c r="E136" s="10">
        <v>24</v>
      </c>
      <c r="F136" s="10">
        <v>16</v>
      </c>
      <c r="G136" s="16">
        <v>32032</v>
      </c>
      <c r="H136" s="16">
        <v>242</v>
      </c>
      <c r="I136" s="17">
        <f t="shared" si="77"/>
        <v>11</v>
      </c>
      <c r="J136" s="15">
        <v>93</v>
      </c>
      <c r="K136" s="15">
        <v>194</v>
      </c>
      <c r="L136" s="17">
        <f t="shared" si="78"/>
        <v>4.2272727272727275</v>
      </c>
      <c r="M136" s="17">
        <f t="shared" si="79"/>
        <v>8.8181818181818183</v>
      </c>
      <c r="N136" s="18">
        <f t="shared" si="80"/>
        <v>0.47938144329896909</v>
      </c>
      <c r="O136" s="16">
        <v>68</v>
      </c>
      <c r="P136" s="15">
        <v>134</v>
      </c>
      <c r="Q136" s="17">
        <f t="shared" si="54"/>
        <v>3.0909090909090908</v>
      </c>
      <c r="R136" s="17">
        <f t="shared" si="55"/>
        <v>6.0909090909090908</v>
      </c>
      <c r="S136" s="18">
        <f t="shared" si="56"/>
        <v>0.5074626865671642</v>
      </c>
      <c r="T136" s="15">
        <v>25</v>
      </c>
      <c r="U136" s="15">
        <v>60</v>
      </c>
      <c r="V136" s="17">
        <f t="shared" si="57"/>
        <v>1.1363636363636365</v>
      </c>
      <c r="W136" s="17">
        <f t="shared" si="58"/>
        <v>2.7272727272727271</v>
      </c>
      <c r="X136" s="18">
        <f t="shared" si="59"/>
        <v>0.41666666666666669</v>
      </c>
      <c r="Y136" s="9">
        <v>31</v>
      </c>
      <c r="Z136" s="9">
        <v>37</v>
      </c>
      <c r="AA136" s="17">
        <f t="shared" si="60"/>
        <v>1.4090909090909092</v>
      </c>
      <c r="AB136" s="17">
        <f t="shared" si="61"/>
        <v>1.6818181818181819</v>
      </c>
      <c r="AC136" s="18">
        <f t="shared" si="62"/>
        <v>0.83783783783783783</v>
      </c>
      <c r="AD136" s="15">
        <v>154</v>
      </c>
      <c r="AE136" s="17">
        <f t="shared" si="69"/>
        <v>7</v>
      </c>
      <c r="AF136" s="15">
        <v>41</v>
      </c>
      <c r="AG136" s="17">
        <f t="shared" si="70"/>
        <v>1.8636363636363635</v>
      </c>
      <c r="AH136" s="15">
        <v>113</v>
      </c>
      <c r="AI136" s="17">
        <f t="shared" si="71"/>
        <v>5.1363636363636367</v>
      </c>
      <c r="AJ136" s="15">
        <v>83</v>
      </c>
      <c r="AK136" s="17">
        <f t="shared" si="72"/>
        <v>3.7727272727272729</v>
      </c>
      <c r="AL136" s="15">
        <v>16</v>
      </c>
      <c r="AM136" s="17">
        <f t="shared" si="73"/>
        <v>0.72727272727272729</v>
      </c>
      <c r="AN136" s="7">
        <v>6</v>
      </c>
      <c r="AO136" s="17">
        <f t="shared" si="74"/>
        <v>0.27272727272727271</v>
      </c>
      <c r="AP136" s="6">
        <v>25</v>
      </c>
      <c r="AQ136" s="17">
        <f t="shared" si="75"/>
        <v>1.1363636363636365</v>
      </c>
      <c r="AR136" s="15">
        <v>43</v>
      </c>
      <c r="AS136" s="17">
        <f t="shared" si="76"/>
        <v>1.9545454545454546</v>
      </c>
      <c r="AT136" s="19">
        <v>1.5639039812418007</v>
      </c>
      <c r="AU136" s="19">
        <v>0.11717562297016489</v>
      </c>
      <c r="AV136" s="19">
        <v>1.2939759162641371</v>
      </c>
      <c r="AW136" s="19">
        <v>0.26992806497766358</v>
      </c>
      <c r="AX136" s="19">
        <v>121.87619953310946</v>
      </c>
      <c r="AY136" s="19">
        <v>114.87470977904087</v>
      </c>
      <c r="AZ136" s="19">
        <v>6.9808275019429891</v>
      </c>
      <c r="BA136" s="19">
        <v>16.772727272727273</v>
      </c>
      <c r="BB136" s="19">
        <v>27.647352647352648</v>
      </c>
      <c r="BC136" s="18">
        <v>0.57542324519688037</v>
      </c>
      <c r="BD136" s="18">
        <v>0.54381443298969068</v>
      </c>
      <c r="BE136" s="19">
        <v>8.4194659426733907</v>
      </c>
      <c r="BF136" s="18">
        <v>0.30927835051546393</v>
      </c>
      <c r="BG136" s="18">
        <v>0.19072164948453607</v>
      </c>
      <c r="BH136" s="19">
        <v>3.4063718539524994</v>
      </c>
      <c r="BI136" s="19">
        <v>9.3882931584544487</v>
      </c>
      <c r="BJ136" s="19">
        <v>6.25544982371005</v>
      </c>
      <c r="BK136" s="19">
        <v>8.9613474411574163</v>
      </c>
      <c r="BL136" s="19">
        <v>1.6550035542169512</v>
      </c>
      <c r="BM136" s="19">
        <v>0.46629466714332346</v>
      </c>
      <c r="BN136" s="19">
        <v>10.625637538252295</v>
      </c>
      <c r="BO136" s="20" t="s">
        <v>239</v>
      </c>
      <c r="BP136" s="21">
        <v>150000</v>
      </c>
      <c r="BQ136" s="31" t="s">
        <v>307</v>
      </c>
      <c r="BR136" s="31">
        <v>561.13</v>
      </c>
      <c r="BS136" s="31">
        <v>700.93</v>
      </c>
      <c r="BT136" s="31">
        <v>139.80000000000001</v>
      </c>
      <c r="BU136" s="35">
        <f t="shared" ref="BU136" si="81">BV136-BW136</f>
        <v>25.505909090909089</v>
      </c>
      <c r="BV136" s="35">
        <f t="shared" ref="BV136" si="82">BS136/$D136</f>
        <v>31.860454545454544</v>
      </c>
      <c r="BW136" s="35">
        <f t="shared" ref="BW136" si="83">BT136/$D136</f>
        <v>6.3545454545454554</v>
      </c>
      <c r="BX136" s="36">
        <f t="shared" ref="BX136" si="84">BY136-BZ136</f>
        <v>42.042707292707291</v>
      </c>
      <c r="BY136" s="36">
        <f t="shared" ref="BY136" si="85">BS136*2400/$G136</f>
        <v>52.517232767232763</v>
      </c>
      <c r="BZ136" s="36">
        <f t="shared" ref="BZ136" si="86">BT136*2400/$G136</f>
        <v>10.474525474525475</v>
      </c>
      <c r="CA136" s="31">
        <v>10</v>
      </c>
      <c r="CB136" s="31">
        <v>12</v>
      </c>
    </row>
    <row r="137" spans="1:80" x14ac:dyDescent="0.4">
      <c r="A137" s="11" t="s">
        <v>53</v>
      </c>
      <c r="B137" s="11" t="s">
        <v>277</v>
      </c>
      <c r="C137" s="11" t="s">
        <v>223</v>
      </c>
      <c r="D137" s="15">
        <v>30</v>
      </c>
      <c r="E137" s="15">
        <v>24</v>
      </c>
      <c r="F137" s="15">
        <v>9</v>
      </c>
      <c r="G137" s="16">
        <v>43470</v>
      </c>
      <c r="H137" s="16">
        <v>298</v>
      </c>
      <c r="I137" s="17">
        <f t="shared" si="77"/>
        <v>9.9333333333333336</v>
      </c>
      <c r="J137" s="15">
        <v>117</v>
      </c>
      <c r="K137" s="15">
        <v>252</v>
      </c>
      <c r="L137" s="17">
        <f t="shared" si="78"/>
        <v>3.9</v>
      </c>
      <c r="M137" s="17">
        <f t="shared" si="79"/>
        <v>8.4</v>
      </c>
      <c r="N137" s="18">
        <f t="shared" si="80"/>
        <v>0.4642857142857143</v>
      </c>
      <c r="O137" s="16">
        <v>104</v>
      </c>
      <c r="P137" s="15">
        <v>187</v>
      </c>
      <c r="Q137" s="17">
        <f t="shared" si="54"/>
        <v>3.4666666666666668</v>
      </c>
      <c r="R137" s="17">
        <f t="shared" si="55"/>
        <v>6.2333333333333334</v>
      </c>
      <c r="S137" s="18">
        <f t="shared" si="56"/>
        <v>0.55614973262032086</v>
      </c>
      <c r="T137" s="15">
        <v>13</v>
      </c>
      <c r="U137" s="15">
        <v>65</v>
      </c>
      <c r="V137" s="17">
        <f t="shared" si="57"/>
        <v>0.43333333333333335</v>
      </c>
      <c r="W137" s="17">
        <f t="shared" si="58"/>
        <v>2.1666666666666665</v>
      </c>
      <c r="X137" s="18">
        <f t="shared" si="59"/>
        <v>0.2</v>
      </c>
      <c r="Y137" s="15">
        <v>51</v>
      </c>
      <c r="Z137" s="15">
        <v>62</v>
      </c>
      <c r="AA137" s="17">
        <f t="shared" si="60"/>
        <v>1.7</v>
      </c>
      <c r="AB137" s="17">
        <f t="shared" si="61"/>
        <v>2.0666666666666669</v>
      </c>
      <c r="AC137" s="18">
        <f t="shared" si="62"/>
        <v>0.82258064516129037</v>
      </c>
      <c r="AD137" s="15">
        <v>129</v>
      </c>
      <c r="AE137" s="17">
        <f t="shared" si="69"/>
        <v>4.3</v>
      </c>
      <c r="AF137" s="15">
        <v>48</v>
      </c>
      <c r="AG137" s="17">
        <f t="shared" si="70"/>
        <v>1.6</v>
      </c>
      <c r="AH137" s="15">
        <v>81</v>
      </c>
      <c r="AI137" s="17">
        <f t="shared" si="71"/>
        <v>2.7</v>
      </c>
      <c r="AJ137" s="15">
        <v>34</v>
      </c>
      <c r="AK137" s="17">
        <f t="shared" si="72"/>
        <v>1.1333333333333333</v>
      </c>
      <c r="AL137" s="15">
        <v>24</v>
      </c>
      <c r="AM137" s="17">
        <f t="shared" si="73"/>
        <v>0.8</v>
      </c>
      <c r="AN137" s="15">
        <v>31</v>
      </c>
      <c r="AO137" s="17">
        <f t="shared" si="74"/>
        <v>1.0333333333333334</v>
      </c>
      <c r="AP137" s="4">
        <v>40</v>
      </c>
      <c r="AQ137" s="17">
        <f t="shared" si="75"/>
        <v>1.3333333333333333</v>
      </c>
      <c r="AR137" s="15">
        <v>52</v>
      </c>
      <c r="AS137" s="17">
        <f t="shared" si="76"/>
        <v>1.7333333333333334</v>
      </c>
      <c r="AT137" s="19">
        <v>0.34603643401455475</v>
      </c>
      <c r="AU137" s="19">
        <v>1.9104841077408129E-2</v>
      </c>
      <c r="AV137" s="19">
        <v>0.19576095473349248</v>
      </c>
      <c r="AW137" s="19">
        <v>0.1502754792810623</v>
      </c>
      <c r="AX137" s="19">
        <v>104.28538403931647</v>
      </c>
      <c r="AY137" s="19">
        <v>117.66317429733816</v>
      </c>
      <c r="AZ137" s="19">
        <v>6.4340642148812597</v>
      </c>
      <c r="BA137" s="19">
        <v>11</v>
      </c>
      <c r="BB137" s="19">
        <v>18.219461697722569</v>
      </c>
      <c r="BC137" s="18">
        <v>0.53351475221999434</v>
      </c>
      <c r="BD137" s="18">
        <v>0.49007936507936506</v>
      </c>
      <c r="BE137" s="19">
        <v>11.480590788008902</v>
      </c>
      <c r="BF137" s="18">
        <v>0.25793650793650796</v>
      </c>
      <c r="BG137" s="18">
        <v>0.24603174603174602</v>
      </c>
      <c r="BH137" s="19">
        <v>4.0072129833700663</v>
      </c>
      <c r="BI137" s="19">
        <v>6.7621719094369865</v>
      </c>
      <c r="BJ137" s="19">
        <v>5.26526851338817</v>
      </c>
      <c r="BK137" s="19">
        <v>3.7891452134180317</v>
      </c>
      <c r="BL137" s="19">
        <v>1.8292986145161276</v>
      </c>
      <c r="BM137" s="19">
        <v>2.4208277083254024</v>
      </c>
      <c r="BN137" s="19">
        <v>12.528188423953898</v>
      </c>
      <c r="BO137" s="20" t="s">
        <v>244</v>
      </c>
      <c r="BP137" s="21">
        <v>19500</v>
      </c>
      <c r="BQ137" s="31" t="s">
        <v>306</v>
      </c>
      <c r="BR137" s="31">
        <v>544</v>
      </c>
      <c r="BS137" s="31">
        <v>742.6</v>
      </c>
      <c r="BT137" s="31">
        <v>198.6</v>
      </c>
      <c r="BU137" s="35">
        <f t="shared" si="63"/>
        <v>18.133333333333333</v>
      </c>
      <c r="BV137" s="35">
        <f t="shared" si="64"/>
        <v>24.753333333333334</v>
      </c>
      <c r="BW137" s="35">
        <f t="shared" si="65"/>
        <v>6.62</v>
      </c>
      <c r="BX137" s="36">
        <f t="shared" si="66"/>
        <v>30.034506556245688</v>
      </c>
      <c r="BY137" s="36">
        <f t="shared" si="67"/>
        <v>40.999309868875088</v>
      </c>
      <c r="BZ137" s="36">
        <f t="shared" si="68"/>
        <v>10.9648033126294</v>
      </c>
      <c r="CA137" s="30">
        <v>13</v>
      </c>
      <c r="CB137" s="30">
        <v>17</v>
      </c>
    </row>
    <row r="138" spans="1:80" x14ac:dyDescent="0.4">
      <c r="A138" s="11" t="s">
        <v>53</v>
      </c>
      <c r="B138" s="11" t="s">
        <v>277</v>
      </c>
      <c r="C138" s="11" t="s">
        <v>224</v>
      </c>
      <c r="D138" s="15">
        <v>32</v>
      </c>
      <c r="E138" s="15">
        <v>27</v>
      </c>
      <c r="F138" s="15">
        <v>29</v>
      </c>
      <c r="G138" s="16">
        <v>52768</v>
      </c>
      <c r="H138" s="16">
        <v>526</v>
      </c>
      <c r="I138" s="17">
        <f t="shared" si="77"/>
        <v>16.4375</v>
      </c>
      <c r="J138" s="15">
        <v>210</v>
      </c>
      <c r="K138" s="15">
        <v>465</v>
      </c>
      <c r="L138" s="17">
        <f t="shared" si="78"/>
        <v>6.5625</v>
      </c>
      <c r="M138" s="17">
        <f t="shared" si="79"/>
        <v>14.53125</v>
      </c>
      <c r="N138" s="18">
        <f t="shared" si="80"/>
        <v>0.45161290322580644</v>
      </c>
      <c r="O138" s="16">
        <v>153</v>
      </c>
      <c r="P138" s="15">
        <v>279</v>
      </c>
      <c r="Q138" s="17">
        <f t="shared" si="54"/>
        <v>4.78125</v>
      </c>
      <c r="R138" s="17">
        <f t="shared" si="55"/>
        <v>8.71875</v>
      </c>
      <c r="S138" s="18">
        <f t="shared" si="56"/>
        <v>0.54838709677419351</v>
      </c>
      <c r="T138" s="15">
        <v>57</v>
      </c>
      <c r="U138" s="15">
        <v>186</v>
      </c>
      <c r="V138" s="17">
        <f t="shared" si="57"/>
        <v>1.78125</v>
      </c>
      <c r="W138" s="17">
        <f t="shared" si="58"/>
        <v>5.8125</v>
      </c>
      <c r="X138" s="18">
        <f t="shared" si="59"/>
        <v>0.30645161290322581</v>
      </c>
      <c r="Y138" s="15">
        <v>49</v>
      </c>
      <c r="Z138" s="15">
        <v>74</v>
      </c>
      <c r="AA138" s="17">
        <f t="shared" si="60"/>
        <v>1.53125</v>
      </c>
      <c r="AB138" s="17">
        <f t="shared" si="61"/>
        <v>2.3125</v>
      </c>
      <c r="AC138" s="18">
        <f t="shared" si="62"/>
        <v>0.66216216216216217</v>
      </c>
      <c r="AD138" s="15">
        <v>221</v>
      </c>
      <c r="AE138" s="17">
        <f t="shared" si="69"/>
        <v>6.90625</v>
      </c>
      <c r="AF138" s="15">
        <v>39</v>
      </c>
      <c r="AG138" s="17">
        <f t="shared" si="70"/>
        <v>1.21875</v>
      </c>
      <c r="AH138" s="15">
        <v>182</v>
      </c>
      <c r="AI138" s="17">
        <f t="shared" si="71"/>
        <v>5.6875</v>
      </c>
      <c r="AJ138" s="15">
        <v>71</v>
      </c>
      <c r="AK138" s="17">
        <f t="shared" si="72"/>
        <v>2.21875</v>
      </c>
      <c r="AL138" s="15">
        <v>30</v>
      </c>
      <c r="AM138" s="17">
        <f t="shared" si="73"/>
        <v>0.9375</v>
      </c>
      <c r="AN138" s="15">
        <v>17</v>
      </c>
      <c r="AO138" s="17">
        <f t="shared" si="74"/>
        <v>0.53125</v>
      </c>
      <c r="AP138" s="4">
        <v>64</v>
      </c>
      <c r="AQ138" s="17">
        <f t="shared" si="75"/>
        <v>2</v>
      </c>
      <c r="AR138" s="15">
        <v>75</v>
      </c>
      <c r="AS138" s="17">
        <f t="shared" si="76"/>
        <v>2.34375</v>
      </c>
      <c r="AT138" s="19">
        <v>0.4043329479111375</v>
      </c>
      <c r="AU138" s="19">
        <v>1.8389915763089938E-2</v>
      </c>
      <c r="AV138" s="19">
        <v>-0.10559166086473329</v>
      </c>
      <c r="AW138" s="19">
        <v>0.50992460877587076</v>
      </c>
      <c r="AX138" s="19">
        <v>101.12302167376632</v>
      </c>
      <c r="AY138" s="19">
        <v>114.18082746288509</v>
      </c>
      <c r="AZ138" s="19">
        <v>8.6890574113655958</v>
      </c>
      <c r="BA138" s="19">
        <v>16.28125</v>
      </c>
      <c r="BB138" s="19">
        <v>23.696179502728928</v>
      </c>
      <c r="BC138" s="18">
        <v>0.52857946780287801</v>
      </c>
      <c r="BD138" s="18">
        <v>0.51290322580645165</v>
      </c>
      <c r="BE138" s="19">
        <v>17.743382616311941</v>
      </c>
      <c r="BF138" s="18">
        <v>0.4</v>
      </c>
      <c r="BG138" s="18">
        <v>0.15913978494623657</v>
      </c>
      <c r="BH138" s="19">
        <v>2.8609714587531054</v>
      </c>
      <c r="BI138" s="19">
        <v>13.351200140847826</v>
      </c>
      <c r="BJ138" s="19">
        <v>7.9263056810271681</v>
      </c>
      <c r="BK138" s="19">
        <v>7.5187969924812013</v>
      </c>
      <c r="BL138" s="19">
        <v>1.883708184245567</v>
      </c>
      <c r="BM138" s="19">
        <v>1.1665378614444655</v>
      </c>
      <c r="BN138" s="19">
        <v>11.396823135550965</v>
      </c>
      <c r="BO138" s="20" t="s">
        <v>239</v>
      </c>
      <c r="BP138" s="21">
        <v>50000</v>
      </c>
      <c r="BQ138" s="30" t="s">
        <v>305</v>
      </c>
      <c r="BR138" s="30">
        <v>784.72</v>
      </c>
      <c r="BS138" s="30">
        <v>1142.82</v>
      </c>
      <c r="BT138" s="30">
        <v>358.1</v>
      </c>
      <c r="BU138" s="35">
        <f t="shared" si="63"/>
        <v>24.522499999999997</v>
      </c>
      <c r="BV138" s="35">
        <f t="shared" si="64"/>
        <v>35.713124999999998</v>
      </c>
      <c r="BW138" s="35">
        <f t="shared" si="65"/>
        <v>11.190625000000001</v>
      </c>
      <c r="BX138" s="36">
        <f t="shared" si="66"/>
        <v>35.69072164948453</v>
      </c>
      <c r="BY138" s="36">
        <f t="shared" si="67"/>
        <v>51.977865372953303</v>
      </c>
      <c r="BZ138" s="36">
        <f t="shared" si="68"/>
        <v>16.28714372346877</v>
      </c>
      <c r="CA138" s="31">
        <v>8</v>
      </c>
      <c r="CB138" s="31">
        <v>24</v>
      </c>
    </row>
    <row r="139" spans="1:80" x14ac:dyDescent="0.4">
      <c r="A139" s="11" t="s">
        <v>53</v>
      </c>
      <c r="B139" s="11" t="s">
        <v>277</v>
      </c>
      <c r="C139" s="11" t="s">
        <v>269</v>
      </c>
      <c r="D139" s="15">
        <v>53</v>
      </c>
      <c r="E139" s="15">
        <v>28</v>
      </c>
      <c r="F139" s="15">
        <v>59</v>
      </c>
      <c r="G139" s="16">
        <v>92167</v>
      </c>
      <c r="H139" s="16">
        <v>639</v>
      </c>
      <c r="I139" s="17">
        <f t="shared" si="77"/>
        <v>12.056603773584905</v>
      </c>
      <c r="J139" s="15">
        <v>262</v>
      </c>
      <c r="K139" s="15">
        <v>528</v>
      </c>
      <c r="L139" s="17">
        <f t="shared" si="78"/>
        <v>4.9433962264150946</v>
      </c>
      <c r="M139" s="17">
        <f t="shared" si="79"/>
        <v>9.9622641509433958</v>
      </c>
      <c r="N139" s="18">
        <f t="shared" si="80"/>
        <v>0.49621212121212122</v>
      </c>
      <c r="O139" s="16">
        <v>209</v>
      </c>
      <c r="P139" s="15">
        <v>357</v>
      </c>
      <c r="Q139" s="17">
        <f t="shared" si="54"/>
        <v>3.9433962264150941</v>
      </c>
      <c r="R139" s="17">
        <f t="shared" si="55"/>
        <v>6.7358490566037732</v>
      </c>
      <c r="S139" s="18">
        <f t="shared" si="56"/>
        <v>0.58543417366946782</v>
      </c>
      <c r="T139" s="15">
        <v>53</v>
      </c>
      <c r="U139" s="15">
        <v>171</v>
      </c>
      <c r="V139" s="17">
        <f t="shared" si="57"/>
        <v>1</v>
      </c>
      <c r="W139" s="17">
        <f t="shared" si="58"/>
        <v>3.2264150943396226</v>
      </c>
      <c r="X139" s="18">
        <f t="shared" si="59"/>
        <v>0.30994152046783624</v>
      </c>
      <c r="Y139" s="15">
        <v>62</v>
      </c>
      <c r="Z139" s="15">
        <v>81</v>
      </c>
      <c r="AA139" s="17">
        <f t="shared" si="60"/>
        <v>1.1698113207547169</v>
      </c>
      <c r="AB139" s="17">
        <f t="shared" si="61"/>
        <v>1.5283018867924529</v>
      </c>
      <c r="AC139" s="18">
        <f t="shared" si="62"/>
        <v>0.76543209876543206</v>
      </c>
      <c r="AD139" s="15">
        <v>191</v>
      </c>
      <c r="AE139" s="17">
        <f t="shared" si="69"/>
        <v>3.6037735849056602</v>
      </c>
      <c r="AF139" s="15">
        <v>58</v>
      </c>
      <c r="AG139" s="17">
        <f t="shared" si="70"/>
        <v>1.0943396226415094</v>
      </c>
      <c r="AH139" s="15">
        <v>133</v>
      </c>
      <c r="AI139" s="17">
        <f t="shared" si="71"/>
        <v>2.5094339622641511</v>
      </c>
      <c r="AJ139" s="15">
        <v>231</v>
      </c>
      <c r="AK139" s="17">
        <f t="shared" si="72"/>
        <v>4.3584905660377355</v>
      </c>
      <c r="AL139" s="15">
        <v>75</v>
      </c>
      <c r="AM139" s="17">
        <f t="shared" si="73"/>
        <v>1.4150943396226414</v>
      </c>
      <c r="AN139" s="15">
        <v>5</v>
      </c>
      <c r="AO139" s="17">
        <f t="shared" si="74"/>
        <v>9.4339622641509441E-2</v>
      </c>
      <c r="AP139" s="4">
        <v>95</v>
      </c>
      <c r="AQ139" s="17">
        <f t="shared" si="75"/>
        <v>1.7924528301886793</v>
      </c>
      <c r="AR139" s="15">
        <v>154</v>
      </c>
      <c r="AS139" s="17">
        <f t="shared" si="76"/>
        <v>2.9056603773584904</v>
      </c>
      <c r="AT139" s="19">
        <v>2.0797047579336825</v>
      </c>
      <c r="AU139" s="19">
        <v>5.4154864745959375E-2</v>
      </c>
      <c r="AV139" s="19">
        <v>1.9389151950419676</v>
      </c>
      <c r="AW139" s="19">
        <v>0.14078956289171499</v>
      </c>
      <c r="AX139" s="19">
        <v>112.7894073451091</v>
      </c>
      <c r="AY139" s="19">
        <v>118.74574343139135</v>
      </c>
      <c r="AZ139" s="19">
        <v>12.310011044442554</v>
      </c>
      <c r="BA139" s="19">
        <v>14.358490566037736</v>
      </c>
      <c r="BB139" s="19">
        <v>19.816203196371806</v>
      </c>
      <c r="BC139" s="18">
        <v>0.56685118160528003</v>
      </c>
      <c r="BD139" s="18">
        <v>0.54640151515151514</v>
      </c>
      <c r="BE139" s="19">
        <v>19.733741204466</v>
      </c>
      <c r="BF139" s="18">
        <v>0.32386363636363635</v>
      </c>
      <c r="BG139" s="18">
        <v>0.15340909090909091</v>
      </c>
      <c r="BH139" s="19">
        <v>4.0345767868073974</v>
      </c>
      <c r="BI139" s="19">
        <v>9.251701942161791</v>
      </c>
      <c r="BJ139" s="19">
        <v>6.4958050759671933</v>
      </c>
      <c r="BK139" s="19">
        <v>24.180885585679892</v>
      </c>
      <c r="BL139" s="19">
        <v>2.6961795834265541</v>
      </c>
      <c r="BM139" s="19">
        <v>0.32534264680883596</v>
      </c>
      <c r="BN139" s="19">
        <v>14.423660876958582</v>
      </c>
      <c r="BO139" s="20" t="s">
        <v>257</v>
      </c>
      <c r="BP139" s="21">
        <v>600000</v>
      </c>
      <c r="BQ139" s="31" t="s">
        <v>306</v>
      </c>
      <c r="BR139" s="31">
        <v>1274.24</v>
      </c>
      <c r="BS139" s="31">
        <v>1686.14</v>
      </c>
      <c r="BT139" s="31">
        <v>411.9</v>
      </c>
      <c r="BU139" s="35">
        <f t="shared" si="63"/>
        <v>24.042264150943396</v>
      </c>
      <c r="BV139" s="35">
        <f t="shared" si="64"/>
        <v>31.813962264150945</v>
      </c>
      <c r="BW139" s="35">
        <f t="shared" si="65"/>
        <v>7.7716981132075471</v>
      </c>
      <c r="BX139" s="36">
        <f t="shared" si="66"/>
        <v>33.180813089283589</v>
      </c>
      <c r="BY139" s="36">
        <f t="shared" si="67"/>
        <v>43.906560916597051</v>
      </c>
      <c r="BZ139" s="36">
        <f t="shared" si="68"/>
        <v>10.725747827313464</v>
      </c>
      <c r="CA139" s="31">
        <v>18</v>
      </c>
      <c r="CB139" s="31">
        <v>35</v>
      </c>
    </row>
    <row r="140" spans="1:80" x14ac:dyDescent="0.4">
      <c r="A140" s="11" t="s">
        <v>53</v>
      </c>
      <c r="B140" s="11" t="s">
        <v>277</v>
      </c>
      <c r="C140" s="11" t="s">
        <v>227</v>
      </c>
      <c r="D140" s="10">
        <v>36</v>
      </c>
      <c r="E140" s="10">
        <v>25</v>
      </c>
      <c r="F140" s="10">
        <v>8</v>
      </c>
      <c r="G140" s="16">
        <v>54288</v>
      </c>
      <c r="H140" s="16">
        <v>329</v>
      </c>
      <c r="I140" s="17">
        <f t="shared" si="77"/>
        <v>9.1388888888888893</v>
      </c>
      <c r="J140" s="15">
        <v>121</v>
      </c>
      <c r="K140" s="15">
        <v>304</v>
      </c>
      <c r="L140" s="17">
        <f t="shared" si="78"/>
        <v>3.3611111111111112</v>
      </c>
      <c r="M140" s="17">
        <f t="shared" si="79"/>
        <v>8.4444444444444446</v>
      </c>
      <c r="N140" s="18">
        <f t="shared" si="80"/>
        <v>0.39802631578947367</v>
      </c>
      <c r="O140" s="16">
        <v>63</v>
      </c>
      <c r="P140" s="15">
        <v>135</v>
      </c>
      <c r="Q140" s="17">
        <f t="shared" si="54"/>
        <v>1.75</v>
      </c>
      <c r="R140" s="17">
        <f t="shared" si="55"/>
        <v>3.75</v>
      </c>
      <c r="S140" s="18">
        <f t="shared" si="56"/>
        <v>0.46666666666666667</v>
      </c>
      <c r="T140" s="15">
        <v>58</v>
      </c>
      <c r="U140" s="15">
        <v>169</v>
      </c>
      <c r="V140" s="17">
        <f t="shared" si="57"/>
        <v>1.6111111111111112</v>
      </c>
      <c r="W140" s="17">
        <f t="shared" si="58"/>
        <v>4.6944444444444446</v>
      </c>
      <c r="X140" s="18">
        <f t="shared" si="59"/>
        <v>0.34319526627218933</v>
      </c>
      <c r="Y140" s="9">
        <v>29</v>
      </c>
      <c r="Z140" s="9">
        <v>30</v>
      </c>
      <c r="AA140" s="17">
        <f t="shared" si="60"/>
        <v>0.80555555555555558</v>
      </c>
      <c r="AB140" s="17">
        <f t="shared" si="61"/>
        <v>0.83333333333333337</v>
      </c>
      <c r="AC140" s="18">
        <f t="shared" si="62"/>
        <v>0.96666666666666667</v>
      </c>
      <c r="AD140" s="15">
        <v>66</v>
      </c>
      <c r="AE140" s="17">
        <f t="shared" si="69"/>
        <v>1.8333333333333333</v>
      </c>
      <c r="AF140" s="15">
        <v>12</v>
      </c>
      <c r="AG140" s="17">
        <f t="shared" si="70"/>
        <v>0.33333333333333331</v>
      </c>
      <c r="AH140" s="15">
        <v>54</v>
      </c>
      <c r="AI140" s="17">
        <f t="shared" si="71"/>
        <v>1.5</v>
      </c>
      <c r="AJ140" s="15">
        <v>49</v>
      </c>
      <c r="AK140" s="17">
        <f t="shared" si="72"/>
        <v>1.3611111111111112</v>
      </c>
      <c r="AL140" s="15">
        <v>20</v>
      </c>
      <c r="AM140" s="17">
        <f t="shared" si="73"/>
        <v>0.55555555555555558</v>
      </c>
      <c r="AN140" s="7">
        <v>4</v>
      </c>
      <c r="AO140" s="17">
        <f t="shared" si="74"/>
        <v>0.1111111111111111</v>
      </c>
      <c r="AP140" s="2">
        <v>29</v>
      </c>
      <c r="AQ140" s="17">
        <f t="shared" si="75"/>
        <v>0.80555555555555558</v>
      </c>
      <c r="AR140" s="15">
        <v>51</v>
      </c>
      <c r="AS140" s="17">
        <f t="shared" si="76"/>
        <v>1.4166666666666667</v>
      </c>
      <c r="AT140" s="19">
        <v>-0.22151432428502052</v>
      </c>
      <c r="AU140" s="19">
        <v>-9.7928525324942756E-3</v>
      </c>
      <c r="AV140" s="19">
        <v>0.14239081947536572</v>
      </c>
      <c r="AW140" s="19">
        <v>-0.36390514376038624</v>
      </c>
      <c r="AX140" s="19">
        <v>103.57447779849068</v>
      </c>
      <c r="AY140" s="19">
        <v>123.36385569812164</v>
      </c>
      <c r="AZ140" s="19">
        <v>5.0439694712115299</v>
      </c>
      <c r="BA140" s="19">
        <v>7.083333333333333</v>
      </c>
      <c r="BB140" s="19">
        <v>11.27320954907162</v>
      </c>
      <c r="BC140" s="18">
        <v>0.51860025220680961</v>
      </c>
      <c r="BD140" s="18">
        <v>0.49342105263157893</v>
      </c>
      <c r="BE140" s="19">
        <v>11.961527140354967</v>
      </c>
      <c r="BF140" s="18">
        <v>0.55592105263157898</v>
      </c>
      <c r="BG140" s="18">
        <v>9.8684210526315791E-2</v>
      </c>
      <c r="BH140" s="19">
        <v>0.96260802601180806</v>
      </c>
      <c r="BI140" s="19">
        <v>4.3317361170531354</v>
      </c>
      <c r="BJ140" s="19">
        <v>2.5884619960179518</v>
      </c>
      <c r="BK140" s="19">
        <v>5.2428846565375569</v>
      </c>
      <c r="BL140" s="19">
        <v>1.22064438385733</v>
      </c>
      <c r="BM140" s="19">
        <v>0.30014369379340361</v>
      </c>
      <c r="BN140" s="19">
        <v>8.3766608896591563</v>
      </c>
      <c r="BO140" s="20" t="s">
        <v>257</v>
      </c>
      <c r="BP140" s="21">
        <v>500000</v>
      </c>
      <c r="BQ140" s="30" t="s">
        <v>306</v>
      </c>
      <c r="BR140" s="30">
        <v>510.07</v>
      </c>
      <c r="BS140" s="30">
        <v>726.27</v>
      </c>
      <c r="BT140" s="30">
        <v>216.2</v>
      </c>
      <c r="BU140" s="35">
        <f t="shared" si="63"/>
        <v>14.168611111111108</v>
      </c>
      <c r="BV140" s="35">
        <f t="shared" si="64"/>
        <v>20.174166666666665</v>
      </c>
      <c r="BW140" s="35">
        <f t="shared" si="65"/>
        <v>6.0055555555555555</v>
      </c>
      <c r="BX140" s="36">
        <f t="shared" si="66"/>
        <v>22.54951370468612</v>
      </c>
      <c r="BY140" s="36">
        <f t="shared" si="67"/>
        <v>32.107427055702921</v>
      </c>
      <c r="BZ140" s="36">
        <f t="shared" si="68"/>
        <v>9.5579133510167988</v>
      </c>
      <c r="CA140" s="30">
        <v>12</v>
      </c>
      <c r="CB140" s="30">
        <v>24</v>
      </c>
    </row>
    <row r="141" spans="1:80" x14ac:dyDescent="0.4">
      <c r="A141" s="11" t="s">
        <v>53</v>
      </c>
      <c r="B141" s="11" t="s">
        <v>277</v>
      </c>
      <c r="C141" s="11" t="s">
        <v>298</v>
      </c>
      <c r="D141" s="15">
        <v>5</v>
      </c>
      <c r="E141" s="15">
        <v>22</v>
      </c>
      <c r="F141" s="15">
        <v>34</v>
      </c>
      <c r="G141" s="16">
        <v>6770</v>
      </c>
      <c r="H141" s="16">
        <v>40</v>
      </c>
      <c r="I141" s="17">
        <f t="shared" si="77"/>
        <v>8</v>
      </c>
      <c r="J141" s="15">
        <v>16</v>
      </c>
      <c r="K141" s="15">
        <v>53</v>
      </c>
      <c r="L141" s="17">
        <f t="shared" si="78"/>
        <v>3.2</v>
      </c>
      <c r="M141" s="17">
        <f t="shared" si="79"/>
        <v>10.6</v>
      </c>
      <c r="N141" s="18">
        <f t="shared" si="80"/>
        <v>0.30188679245283018</v>
      </c>
      <c r="O141" s="16">
        <v>11</v>
      </c>
      <c r="P141" s="15">
        <v>31</v>
      </c>
      <c r="Q141" s="17">
        <f t="shared" si="54"/>
        <v>2.2000000000000002</v>
      </c>
      <c r="R141" s="17">
        <f t="shared" si="55"/>
        <v>6.2</v>
      </c>
      <c r="S141" s="18">
        <f t="shared" si="56"/>
        <v>0.35483870967741937</v>
      </c>
      <c r="T141" s="15">
        <v>5</v>
      </c>
      <c r="U141" s="15">
        <v>22</v>
      </c>
      <c r="V141" s="17">
        <f t="shared" si="57"/>
        <v>1</v>
      </c>
      <c r="W141" s="17">
        <f t="shared" si="58"/>
        <v>4.4000000000000004</v>
      </c>
      <c r="X141" s="18">
        <f t="shared" si="59"/>
        <v>0.22727272727272727</v>
      </c>
      <c r="Y141" s="15">
        <v>3</v>
      </c>
      <c r="Z141" s="15">
        <v>8</v>
      </c>
      <c r="AA141" s="17">
        <f t="shared" si="60"/>
        <v>0.6</v>
      </c>
      <c r="AB141" s="17">
        <f t="shared" si="61"/>
        <v>1.6</v>
      </c>
      <c r="AC141" s="18">
        <f t="shared" si="62"/>
        <v>0.375</v>
      </c>
      <c r="AD141" s="15">
        <v>27</v>
      </c>
      <c r="AE141" s="17">
        <f t="shared" si="69"/>
        <v>5.4</v>
      </c>
      <c r="AF141" s="15">
        <v>7</v>
      </c>
      <c r="AG141" s="17">
        <f t="shared" si="70"/>
        <v>1.4</v>
      </c>
      <c r="AH141" s="15">
        <v>20</v>
      </c>
      <c r="AI141" s="17">
        <f t="shared" si="71"/>
        <v>4</v>
      </c>
      <c r="AJ141" s="15">
        <v>8</v>
      </c>
      <c r="AK141" s="17">
        <f t="shared" si="72"/>
        <v>1.6</v>
      </c>
      <c r="AL141" s="15">
        <v>0</v>
      </c>
      <c r="AM141" s="17">
        <f t="shared" si="73"/>
        <v>0</v>
      </c>
      <c r="AN141" s="15">
        <v>2</v>
      </c>
      <c r="AO141" s="17">
        <f t="shared" si="74"/>
        <v>0.4</v>
      </c>
      <c r="AP141" s="4">
        <v>3</v>
      </c>
      <c r="AQ141" s="17">
        <f t="shared" si="75"/>
        <v>0.6</v>
      </c>
      <c r="AR141" s="15">
        <v>5</v>
      </c>
      <c r="AS141" s="17">
        <f t="shared" si="76"/>
        <v>1</v>
      </c>
      <c r="AT141" s="19">
        <v>-0.28428134186494014</v>
      </c>
      <c r="AU141" s="19">
        <v>-0.10077920538786653</v>
      </c>
      <c r="AV141" s="19">
        <v>-0.27996570757397793</v>
      </c>
      <c r="AW141" s="19">
        <v>-4.3156342909621863E-3</v>
      </c>
      <c r="AX141" s="19">
        <v>83.156605050942517</v>
      </c>
      <c r="AY141" s="19">
        <v>119.96048496749091</v>
      </c>
      <c r="AZ141" s="19">
        <v>0.55334535137341967</v>
      </c>
      <c r="BA141" s="19">
        <v>6.4</v>
      </c>
      <c r="BB141" s="19">
        <v>11.344165435745939</v>
      </c>
      <c r="BC141" s="18">
        <v>0.35385704175513089</v>
      </c>
      <c r="BD141" s="18">
        <v>0.34905660377358488</v>
      </c>
      <c r="BE141" s="19">
        <v>2.2903674668590974</v>
      </c>
      <c r="BF141" s="18">
        <v>0.41509433962264153</v>
      </c>
      <c r="BG141" s="18">
        <v>0.15094339622641509</v>
      </c>
      <c r="BH141" s="19">
        <v>0.62538714442273791</v>
      </c>
      <c r="BI141" s="19">
        <v>1.7868204126363938</v>
      </c>
      <c r="BJ141" s="19">
        <v>1.1793543107948048</v>
      </c>
      <c r="BK141" s="19">
        <v>0.85855333762609998</v>
      </c>
      <c r="BL141" s="19">
        <v>0</v>
      </c>
      <c r="BM141" s="19">
        <v>0.16714057985245664</v>
      </c>
      <c r="BN141" s="19">
        <v>5.040322580645161</v>
      </c>
      <c r="BO141" s="20" t="s">
        <v>239</v>
      </c>
      <c r="BP141" s="21">
        <v>200000</v>
      </c>
      <c r="BQ141" s="31" t="s">
        <v>305</v>
      </c>
      <c r="BR141" s="31">
        <v>68.900000000000006</v>
      </c>
      <c r="BS141" s="31">
        <v>112.7</v>
      </c>
      <c r="BT141" s="31">
        <v>43.8</v>
      </c>
      <c r="BU141" s="35">
        <f t="shared" si="63"/>
        <v>13.78</v>
      </c>
      <c r="BV141" s="35">
        <f t="shared" si="64"/>
        <v>22.54</v>
      </c>
      <c r="BW141" s="35">
        <f t="shared" si="65"/>
        <v>8.76</v>
      </c>
      <c r="BX141" s="36">
        <f t="shared" si="66"/>
        <v>24.425406203840467</v>
      </c>
      <c r="BY141" s="36">
        <f t="shared" si="67"/>
        <v>39.952732644017722</v>
      </c>
      <c r="BZ141" s="36">
        <f t="shared" si="68"/>
        <v>15.527326440177253</v>
      </c>
      <c r="CA141" s="31">
        <v>0</v>
      </c>
      <c r="CB141" s="31">
        <v>5</v>
      </c>
    </row>
    <row r="142" spans="1:80" x14ac:dyDescent="0.4">
      <c r="A142" s="11" t="s">
        <v>53</v>
      </c>
      <c r="B142" s="11" t="s">
        <v>277</v>
      </c>
      <c r="C142" s="11" t="s">
        <v>235</v>
      </c>
      <c r="D142" s="15">
        <v>1</v>
      </c>
      <c r="E142" s="15">
        <v>2</v>
      </c>
      <c r="F142" s="15">
        <v>31</v>
      </c>
      <c r="G142" s="16">
        <v>151</v>
      </c>
      <c r="H142" s="16">
        <v>0</v>
      </c>
      <c r="I142" s="17">
        <f t="shared" si="77"/>
        <v>0</v>
      </c>
      <c r="J142" s="15">
        <v>0</v>
      </c>
      <c r="K142" s="15">
        <v>2</v>
      </c>
      <c r="L142" s="17">
        <f t="shared" si="78"/>
        <v>0</v>
      </c>
      <c r="M142" s="17">
        <f t="shared" si="79"/>
        <v>2</v>
      </c>
      <c r="N142" s="18">
        <f t="shared" si="80"/>
        <v>0</v>
      </c>
      <c r="O142" s="16">
        <v>0</v>
      </c>
      <c r="P142" s="15">
        <v>0</v>
      </c>
      <c r="Q142" s="17">
        <f t="shared" si="54"/>
        <v>0</v>
      </c>
      <c r="R142" s="17">
        <f t="shared" si="55"/>
        <v>0</v>
      </c>
      <c r="S142" s="18" t="e">
        <f t="shared" si="56"/>
        <v>#DIV/0!</v>
      </c>
      <c r="T142" s="15">
        <v>0</v>
      </c>
      <c r="U142" s="15">
        <v>2</v>
      </c>
      <c r="V142" s="17">
        <f t="shared" si="57"/>
        <v>0</v>
      </c>
      <c r="W142" s="17">
        <f t="shared" si="58"/>
        <v>2</v>
      </c>
      <c r="X142" s="18">
        <f t="shared" si="59"/>
        <v>0</v>
      </c>
      <c r="Y142" s="15">
        <v>0</v>
      </c>
      <c r="Z142" s="15">
        <v>0</v>
      </c>
      <c r="AA142" s="17">
        <f t="shared" si="60"/>
        <v>0</v>
      </c>
      <c r="AB142" s="17">
        <f t="shared" si="61"/>
        <v>0</v>
      </c>
      <c r="AC142" s="18" t="e">
        <f t="shared" si="62"/>
        <v>#DIV/0!</v>
      </c>
      <c r="AD142" s="15">
        <v>0</v>
      </c>
      <c r="AE142" s="17">
        <f t="shared" si="69"/>
        <v>0</v>
      </c>
      <c r="AF142" s="15">
        <v>0</v>
      </c>
      <c r="AG142" s="17">
        <f t="shared" si="70"/>
        <v>0</v>
      </c>
      <c r="AH142" s="15">
        <v>0</v>
      </c>
      <c r="AI142" s="17">
        <f t="shared" si="71"/>
        <v>0</v>
      </c>
      <c r="AJ142" s="15">
        <v>0</v>
      </c>
      <c r="AK142" s="17">
        <f t="shared" si="72"/>
        <v>0</v>
      </c>
      <c r="AL142" s="15">
        <v>0</v>
      </c>
      <c r="AM142" s="17">
        <f t="shared" si="73"/>
        <v>0</v>
      </c>
      <c r="AN142" s="15">
        <v>0</v>
      </c>
      <c r="AO142" s="17">
        <f t="shared" si="74"/>
        <v>0</v>
      </c>
      <c r="AP142" s="4">
        <v>0</v>
      </c>
      <c r="AQ142" s="17">
        <f t="shared" si="75"/>
        <v>0</v>
      </c>
      <c r="AR142" s="15">
        <v>0</v>
      </c>
      <c r="AS142" s="17">
        <f t="shared" si="76"/>
        <v>0</v>
      </c>
      <c r="AT142" s="19">
        <v>-4.7122816085336479E-2</v>
      </c>
      <c r="AU142" s="19">
        <v>-0.7489719112901162</v>
      </c>
      <c r="AV142" s="19">
        <v>-4.4523255782797776E-2</v>
      </c>
      <c r="AW142" s="19">
        <v>-2.5995603025387014E-3</v>
      </c>
      <c r="AX142" s="19">
        <v>0</v>
      </c>
      <c r="AY142" s="19">
        <v>129.26213265493118</v>
      </c>
      <c r="AZ142" s="19">
        <v>-0.48761344409150081</v>
      </c>
      <c r="BA142" s="19">
        <v>-2</v>
      </c>
      <c r="BB142" s="19">
        <v>-31.788079470198678</v>
      </c>
      <c r="BC142" s="18">
        <v>0</v>
      </c>
      <c r="BD142" s="18">
        <v>0</v>
      </c>
      <c r="BE142" s="19">
        <v>0.69010306516752518</v>
      </c>
      <c r="BF142" s="18">
        <v>1</v>
      </c>
      <c r="BG142" s="18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20" t="s">
        <v>257</v>
      </c>
      <c r="BP142" s="21">
        <v>150000</v>
      </c>
      <c r="BQ142" s="31" t="s">
        <v>305</v>
      </c>
      <c r="BR142" s="31">
        <v>-1.17</v>
      </c>
      <c r="BS142" s="31">
        <v>0.63</v>
      </c>
      <c r="BT142" s="31">
        <v>1.8</v>
      </c>
      <c r="BU142" s="35">
        <f t="shared" si="63"/>
        <v>-1.17</v>
      </c>
      <c r="BV142" s="35">
        <f t="shared" si="64"/>
        <v>0.63</v>
      </c>
      <c r="BW142" s="35">
        <f t="shared" si="65"/>
        <v>1.8</v>
      </c>
      <c r="BX142" s="36">
        <f t="shared" si="66"/>
        <v>-18.596026490066226</v>
      </c>
      <c r="BY142" s="36">
        <f t="shared" si="67"/>
        <v>10.013245033112582</v>
      </c>
      <c r="BZ142" s="36">
        <f t="shared" si="68"/>
        <v>28.609271523178808</v>
      </c>
      <c r="CA142" s="30">
        <v>1</v>
      </c>
      <c r="CB142" s="30">
        <v>0</v>
      </c>
    </row>
    <row r="143" spans="1:80" x14ac:dyDescent="0.4">
      <c r="A143" s="11" t="s">
        <v>53</v>
      </c>
      <c r="B143" s="11" t="s">
        <v>277</v>
      </c>
      <c r="C143" s="11" t="s">
        <v>229</v>
      </c>
      <c r="D143" s="15">
        <v>27</v>
      </c>
      <c r="E143" s="15">
        <v>7</v>
      </c>
      <c r="F143" s="15">
        <v>13</v>
      </c>
      <c r="G143" s="16">
        <v>11691</v>
      </c>
      <c r="H143" s="16">
        <v>55</v>
      </c>
      <c r="I143" s="17">
        <f t="shared" si="77"/>
        <v>2.0370370370370372</v>
      </c>
      <c r="J143" s="15">
        <v>17</v>
      </c>
      <c r="K143" s="15">
        <v>55</v>
      </c>
      <c r="L143" s="17">
        <f t="shared" si="78"/>
        <v>0.62962962962962965</v>
      </c>
      <c r="M143" s="17">
        <f t="shared" si="79"/>
        <v>2.0370370370370372</v>
      </c>
      <c r="N143" s="18">
        <f t="shared" si="80"/>
        <v>0.30909090909090908</v>
      </c>
      <c r="O143" s="16">
        <v>5</v>
      </c>
      <c r="P143" s="15">
        <v>22</v>
      </c>
      <c r="Q143" s="17">
        <f t="shared" si="54"/>
        <v>0.18518518518518517</v>
      </c>
      <c r="R143" s="17">
        <f t="shared" si="55"/>
        <v>0.81481481481481477</v>
      </c>
      <c r="S143" s="18">
        <f t="shared" si="56"/>
        <v>0.22727272727272727</v>
      </c>
      <c r="T143" s="15">
        <v>12</v>
      </c>
      <c r="U143" s="15">
        <v>33</v>
      </c>
      <c r="V143" s="17">
        <f t="shared" si="57"/>
        <v>0.44444444444444442</v>
      </c>
      <c r="W143" s="17">
        <f t="shared" si="58"/>
        <v>1.2222222222222223</v>
      </c>
      <c r="X143" s="18">
        <f t="shared" si="59"/>
        <v>0.36363636363636365</v>
      </c>
      <c r="Y143" s="15">
        <v>9</v>
      </c>
      <c r="Z143" s="15">
        <v>12</v>
      </c>
      <c r="AA143" s="17">
        <f t="shared" si="60"/>
        <v>0.33333333333333331</v>
      </c>
      <c r="AB143" s="17">
        <f t="shared" si="61"/>
        <v>0.44444444444444442</v>
      </c>
      <c r="AC143" s="18">
        <f t="shared" si="62"/>
        <v>0.75</v>
      </c>
      <c r="AD143" s="15">
        <v>24</v>
      </c>
      <c r="AE143" s="17">
        <f t="shared" si="69"/>
        <v>0.88888888888888884</v>
      </c>
      <c r="AF143" s="15">
        <v>7</v>
      </c>
      <c r="AG143" s="17">
        <f t="shared" si="70"/>
        <v>0.25925925925925924</v>
      </c>
      <c r="AH143" s="15">
        <v>17</v>
      </c>
      <c r="AI143" s="17">
        <f t="shared" si="71"/>
        <v>0.62962962962962965</v>
      </c>
      <c r="AJ143" s="15">
        <v>25</v>
      </c>
      <c r="AK143" s="17">
        <f t="shared" si="72"/>
        <v>0.92592592592592593</v>
      </c>
      <c r="AL143" s="15">
        <v>9</v>
      </c>
      <c r="AM143" s="17">
        <f t="shared" si="73"/>
        <v>0.33333333333333331</v>
      </c>
      <c r="AN143" s="15">
        <v>1</v>
      </c>
      <c r="AO143" s="17">
        <f t="shared" si="74"/>
        <v>3.7037037037037035E-2</v>
      </c>
      <c r="AP143" s="4">
        <v>11</v>
      </c>
      <c r="AQ143" s="17">
        <f t="shared" si="75"/>
        <v>0.40740740740740738</v>
      </c>
      <c r="AR143" s="15">
        <v>30</v>
      </c>
      <c r="AS143" s="17">
        <f t="shared" si="76"/>
        <v>1.1111111111111112</v>
      </c>
      <c r="AT143" s="19">
        <v>-5.5629720965130018E-2</v>
      </c>
      <c r="AU143" s="19">
        <v>-1.1420009436003083E-2</v>
      </c>
      <c r="AV143" s="19">
        <v>-7.2877734792830551E-2</v>
      </c>
      <c r="AW143" s="19">
        <v>1.7248013827700533E-2</v>
      </c>
      <c r="AX143" s="19">
        <v>98.124432086517217</v>
      </c>
      <c r="AY143" s="19">
        <v>118.77504541557117</v>
      </c>
      <c r="AZ143" s="19">
        <v>2.7131335277361921</v>
      </c>
      <c r="BA143" s="19">
        <v>2.2962962962962963</v>
      </c>
      <c r="BB143" s="19">
        <v>12.727739286630742</v>
      </c>
      <c r="BC143" s="18">
        <v>0.45620437956204379</v>
      </c>
      <c r="BD143" s="18">
        <v>0.41818181818181815</v>
      </c>
      <c r="BE143" s="19">
        <v>8.5771045257001379</v>
      </c>
      <c r="BF143" s="18">
        <v>0.6</v>
      </c>
      <c r="BG143" s="18">
        <v>0.21818181818181817</v>
      </c>
      <c r="BH143" s="19">
        <v>1.955598599418908</v>
      </c>
      <c r="BI143" s="19">
        <v>4.7493108843030614</v>
      </c>
      <c r="BJ143" s="19">
        <v>3.2781026159941815</v>
      </c>
      <c r="BK143" s="19">
        <v>8.7382034253757421</v>
      </c>
      <c r="BL143" s="19">
        <v>2.5506675254367486</v>
      </c>
      <c r="BM143" s="19">
        <v>0.26132603362612739</v>
      </c>
      <c r="BN143" s="19">
        <v>15.432098765432098</v>
      </c>
      <c r="BO143" s="20" t="s">
        <v>257</v>
      </c>
      <c r="BP143" s="21"/>
      <c r="BQ143" s="31" t="s">
        <v>306</v>
      </c>
      <c r="BR143" s="31">
        <v>125.44</v>
      </c>
      <c r="BS143" s="31">
        <v>180.24</v>
      </c>
      <c r="BT143" s="31">
        <v>54.8</v>
      </c>
      <c r="BU143" s="35">
        <f t="shared" si="63"/>
        <v>4.6459259259259262</v>
      </c>
      <c r="BV143" s="35">
        <f t="shared" si="64"/>
        <v>6.6755555555555555</v>
      </c>
      <c r="BW143" s="35">
        <f t="shared" si="65"/>
        <v>2.0296296296296297</v>
      </c>
      <c r="BX143" s="36">
        <f t="shared" si="66"/>
        <v>25.751090582499359</v>
      </c>
      <c r="BY143" s="36">
        <f t="shared" si="67"/>
        <v>37.000769822940725</v>
      </c>
      <c r="BZ143" s="36">
        <f t="shared" si="68"/>
        <v>11.249679240441365</v>
      </c>
      <c r="CA143" s="30">
        <v>8</v>
      </c>
      <c r="CB143" s="30">
        <v>19</v>
      </c>
    </row>
    <row r="144" spans="1:80" x14ac:dyDescent="0.4">
      <c r="A144" s="11" t="s">
        <v>53</v>
      </c>
      <c r="B144" s="11" t="s">
        <v>277</v>
      </c>
      <c r="C144" s="11" t="s">
        <v>220</v>
      </c>
      <c r="D144" s="15">
        <v>52</v>
      </c>
      <c r="E144" s="15">
        <v>22</v>
      </c>
      <c r="F144" s="15">
        <v>4</v>
      </c>
      <c r="G144" s="16">
        <v>68848</v>
      </c>
      <c r="H144" s="16">
        <v>379</v>
      </c>
      <c r="I144" s="17">
        <f t="shared" si="77"/>
        <v>7.2884615384615383</v>
      </c>
      <c r="J144" s="15">
        <v>152</v>
      </c>
      <c r="K144" s="15">
        <v>285</v>
      </c>
      <c r="L144" s="17">
        <f t="shared" si="78"/>
        <v>2.9230769230769229</v>
      </c>
      <c r="M144" s="17">
        <f t="shared" si="79"/>
        <v>5.4807692307692308</v>
      </c>
      <c r="N144" s="18">
        <f t="shared" si="80"/>
        <v>0.53333333333333333</v>
      </c>
      <c r="O144" s="16">
        <v>136</v>
      </c>
      <c r="P144" s="15">
        <v>234</v>
      </c>
      <c r="Q144" s="17">
        <f t="shared" si="54"/>
        <v>2.6153846153846154</v>
      </c>
      <c r="R144" s="17">
        <f t="shared" si="55"/>
        <v>4.5</v>
      </c>
      <c r="S144" s="18">
        <f t="shared" si="56"/>
        <v>0.58119658119658124</v>
      </c>
      <c r="T144" s="15">
        <v>16</v>
      </c>
      <c r="U144" s="15">
        <v>51</v>
      </c>
      <c r="V144" s="17">
        <f t="shared" si="57"/>
        <v>0.30769230769230771</v>
      </c>
      <c r="W144" s="17">
        <f t="shared" si="58"/>
        <v>0.98076923076923073</v>
      </c>
      <c r="X144" s="18">
        <f t="shared" si="59"/>
        <v>0.31372549019607843</v>
      </c>
      <c r="Y144" s="15">
        <v>59</v>
      </c>
      <c r="Z144" s="15">
        <v>75</v>
      </c>
      <c r="AA144" s="17">
        <f t="shared" si="60"/>
        <v>1.1346153846153846</v>
      </c>
      <c r="AB144" s="17">
        <f t="shared" si="61"/>
        <v>1.4423076923076923</v>
      </c>
      <c r="AC144" s="18">
        <f t="shared" si="62"/>
        <v>0.78666666666666663</v>
      </c>
      <c r="AD144" s="15">
        <v>271</v>
      </c>
      <c r="AE144" s="17">
        <f t="shared" si="69"/>
        <v>5.2115384615384617</v>
      </c>
      <c r="AF144" s="15">
        <v>83</v>
      </c>
      <c r="AG144" s="17">
        <f t="shared" si="70"/>
        <v>1.5961538461538463</v>
      </c>
      <c r="AH144" s="15">
        <v>188</v>
      </c>
      <c r="AI144" s="17">
        <f t="shared" si="71"/>
        <v>3.6153846153846154</v>
      </c>
      <c r="AJ144" s="15">
        <v>54</v>
      </c>
      <c r="AK144" s="17">
        <f t="shared" si="72"/>
        <v>1.0384615384615385</v>
      </c>
      <c r="AL144" s="15">
        <v>36</v>
      </c>
      <c r="AM144" s="17">
        <f t="shared" si="73"/>
        <v>0.69230769230769229</v>
      </c>
      <c r="AN144" s="15">
        <v>45</v>
      </c>
      <c r="AO144" s="17">
        <f t="shared" si="74"/>
        <v>0.86538461538461542</v>
      </c>
      <c r="AP144" s="3">
        <v>52</v>
      </c>
      <c r="AQ144" s="17">
        <f t="shared" si="75"/>
        <v>1</v>
      </c>
      <c r="AR144" s="15">
        <v>89</v>
      </c>
      <c r="AS144" s="17">
        <f t="shared" si="76"/>
        <v>1.7115384615384615</v>
      </c>
      <c r="AT144" s="19">
        <v>1.7475898085046859</v>
      </c>
      <c r="AU144" s="19">
        <v>6.0919932901627442E-2</v>
      </c>
      <c r="AV144" s="19">
        <v>1.2558831276691818</v>
      </c>
      <c r="AW144" s="19">
        <v>0.49170668083550406</v>
      </c>
      <c r="AX144" s="19">
        <v>114.70984278767237</v>
      </c>
      <c r="AY144" s="19">
        <v>115.59564391260143</v>
      </c>
      <c r="AZ144" s="19">
        <v>11.730667295260789</v>
      </c>
      <c r="BA144" s="19">
        <v>11.23076923076923</v>
      </c>
      <c r="BB144" s="19">
        <v>20.357889844294679</v>
      </c>
      <c r="BC144" s="18">
        <v>0.59591194968553463</v>
      </c>
      <c r="BD144" s="18">
        <v>0.56140350877192979</v>
      </c>
      <c r="BE144" s="19">
        <v>14.560444958802728</v>
      </c>
      <c r="BF144" s="18">
        <v>0.17894736842105263</v>
      </c>
      <c r="BG144" s="18">
        <v>0.26315789473684209</v>
      </c>
      <c r="BH144" s="19">
        <v>7.5833252119676438</v>
      </c>
      <c r="BI144" s="19">
        <v>17.176688431926713</v>
      </c>
      <c r="BJ144" s="19">
        <v>12.105437917566881</v>
      </c>
      <c r="BK144" s="19">
        <v>6.9695405265875072</v>
      </c>
      <c r="BL144" s="19">
        <v>1.7325037206530922</v>
      </c>
      <c r="BM144" s="19">
        <v>3.8458744450189513</v>
      </c>
      <c r="BN144" s="19">
        <v>14.054054054054054</v>
      </c>
      <c r="BO144" s="20" t="s">
        <v>257</v>
      </c>
      <c r="BP144" s="21">
        <v>50000</v>
      </c>
      <c r="BQ144" s="31" t="s">
        <v>307</v>
      </c>
      <c r="BR144" s="31">
        <v>923</v>
      </c>
      <c r="BS144" s="31">
        <v>1143.3</v>
      </c>
      <c r="BT144" s="31">
        <v>220.3</v>
      </c>
      <c r="BU144" s="35">
        <f t="shared" si="63"/>
        <v>17.75</v>
      </c>
      <c r="BV144" s="35">
        <f t="shared" si="64"/>
        <v>21.986538461538462</v>
      </c>
      <c r="BW144" s="35">
        <f t="shared" si="65"/>
        <v>4.236538461538462</v>
      </c>
      <c r="BX144" s="36">
        <f t="shared" si="66"/>
        <v>32.175226586102717</v>
      </c>
      <c r="BY144" s="36">
        <f t="shared" si="67"/>
        <v>39.854752498257028</v>
      </c>
      <c r="BZ144" s="36">
        <f t="shared" si="68"/>
        <v>7.6795259121543111</v>
      </c>
      <c r="CA144" s="30">
        <v>18</v>
      </c>
      <c r="CB144" s="30">
        <v>34</v>
      </c>
    </row>
    <row r="145" spans="1:80" x14ac:dyDescent="0.4">
      <c r="A145" s="11" t="s">
        <v>53</v>
      </c>
      <c r="B145" s="11" t="s">
        <v>277</v>
      </c>
      <c r="C145" s="11" t="s">
        <v>230</v>
      </c>
      <c r="D145" s="15">
        <v>17</v>
      </c>
      <c r="E145" s="15">
        <v>18</v>
      </c>
      <c r="F145" s="15">
        <v>54</v>
      </c>
      <c r="G145" s="16">
        <v>19278</v>
      </c>
      <c r="H145" s="16">
        <v>183</v>
      </c>
      <c r="I145" s="17">
        <f t="shared" si="77"/>
        <v>10.764705882352942</v>
      </c>
      <c r="J145" s="15">
        <v>68</v>
      </c>
      <c r="K145" s="15">
        <v>135</v>
      </c>
      <c r="L145" s="17">
        <f t="shared" si="78"/>
        <v>4</v>
      </c>
      <c r="M145" s="17">
        <f t="shared" si="79"/>
        <v>7.9411764705882355</v>
      </c>
      <c r="N145" s="18">
        <f t="shared" si="80"/>
        <v>0.50370370370370365</v>
      </c>
      <c r="O145" s="16">
        <v>41</v>
      </c>
      <c r="P145" s="15">
        <v>78</v>
      </c>
      <c r="Q145" s="17">
        <f t="shared" si="54"/>
        <v>2.4117647058823528</v>
      </c>
      <c r="R145" s="17">
        <f t="shared" si="55"/>
        <v>4.5882352941176467</v>
      </c>
      <c r="S145" s="18">
        <f t="shared" si="56"/>
        <v>0.52564102564102566</v>
      </c>
      <c r="T145" s="15">
        <v>27</v>
      </c>
      <c r="U145" s="15">
        <v>57</v>
      </c>
      <c r="V145" s="17">
        <f t="shared" si="57"/>
        <v>1.588235294117647</v>
      </c>
      <c r="W145" s="17">
        <f t="shared" si="58"/>
        <v>3.3529411764705883</v>
      </c>
      <c r="X145" s="18">
        <f t="shared" si="59"/>
        <v>0.47368421052631576</v>
      </c>
      <c r="Y145" s="15">
        <v>20</v>
      </c>
      <c r="Z145" s="15">
        <v>27</v>
      </c>
      <c r="AA145" s="17">
        <f t="shared" si="60"/>
        <v>1.1764705882352942</v>
      </c>
      <c r="AB145" s="17">
        <f t="shared" si="61"/>
        <v>1.588235294117647</v>
      </c>
      <c r="AC145" s="18">
        <f t="shared" si="62"/>
        <v>0.7407407407407407</v>
      </c>
      <c r="AD145" s="15">
        <v>62</v>
      </c>
      <c r="AE145" s="17">
        <f t="shared" si="69"/>
        <v>3.6470588235294117</v>
      </c>
      <c r="AF145" s="15">
        <v>7</v>
      </c>
      <c r="AG145" s="17">
        <f t="shared" si="70"/>
        <v>0.41176470588235292</v>
      </c>
      <c r="AH145" s="15">
        <v>55</v>
      </c>
      <c r="AI145" s="17">
        <f t="shared" si="71"/>
        <v>3.2352941176470589</v>
      </c>
      <c r="AJ145" s="15">
        <v>25</v>
      </c>
      <c r="AK145" s="17">
        <f t="shared" si="72"/>
        <v>1.4705882352941178</v>
      </c>
      <c r="AL145" s="15">
        <v>9</v>
      </c>
      <c r="AM145" s="17">
        <f t="shared" si="73"/>
        <v>0.52941176470588236</v>
      </c>
      <c r="AN145" s="15">
        <v>10</v>
      </c>
      <c r="AO145" s="17">
        <f t="shared" si="74"/>
        <v>0.58823529411764708</v>
      </c>
      <c r="AP145" s="4">
        <v>21</v>
      </c>
      <c r="AQ145" s="17">
        <f t="shared" si="75"/>
        <v>1.2352941176470589</v>
      </c>
      <c r="AR145" s="15">
        <v>39</v>
      </c>
      <c r="AS145" s="17">
        <f t="shared" si="76"/>
        <v>2.2941176470588234</v>
      </c>
      <c r="AT145" s="19">
        <v>0.59222166452139369</v>
      </c>
      <c r="AU145" s="19">
        <v>7.3728187304250695E-2</v>
      </c>
      <c r="AV145" s="19">
        <v>0.46555874448328782</v>
      </c>
      <c r="AW145" s="19">
        <v>0.12666292003810589</v>
      </c>
      <c r="AX145" s="19">
        <v>113.22923097115172</v>
      </c>
      <c r="AY145" s="19">
        <v>115.91634587905993</v>
      </c>
      <c r="AZ145" s="19">
        <v>4.6465721011245167</v>
      </c>
      <c r="BA145" s="19">
        <v>11.411764705882353</v>
      </c>
      <c r="BB145" s="19">
        <v>24.151882975412384</v>
      </c>
      <c r="BC145" s="18">
        <v>0.62295751633986929</v>
      </c>
      <c r="BD145" s="18">
        <v>0.60370370370370374</v>
      </c>
      <c r="BE145" s="19">
        <v>7.7134170589192861</v>
      </c>
      <c r="BF145" s="18">
        <v>0.42222222222222222</v>
      </c>
      <c r="BG145" s="18">
        <v>0.2</v>
      </c>
      <c r="BH145" s="19">
        <v>0.74671445639187572</v>
      </c>
      <c r="BI145" s="19">
        <v>5.8670421573647378</v>
      </c>
      <c r="BJ145" s="19">
        <v>3.2335369940101333</v>
      </c>
      <c r="BK145" s="19">
        <v>3.4444750620005515</v>
      </c>
      <c r="BL145" s="19">
        <v>1.5468333872746665</v>
      </c>
      <c r="BM145" s="19">
        <v>0.99783220952480745</v>
      </c>
      <c r="BN145" s="19">
        <v>12.508934953538242</v>
      </c>
      <c r="BO145" s="20" t="s">
        <v>239</v>
      </c>
      <c r="BP145" s="21">
        <v>40000</v>
      </c>
      <c r="BQ145" s="31" t="s">
        <v>305</v>
      </c>
      <c r="BR145" s="31">
        <v>284.2</v>
      </c>
      <c r="BS145" s="31">
        <v>385.3</v>
      </c>
      <c r="BT145" s="31">
        <v>101.1</v>
      </c>
      <c r="BU145" s="35">
        <f t="shared" si="63"/>
        <v>16.71764705882353</v>
      </c>
      <c r="BV145" s="35">
        <f t="shared" si="64"/>
        <v>22.664705882352941</v>
      </c>
      <c r="BW145" s="35">
        <f t="shared" si="65"/>
        <v>5.9470588235294111</v>
      </c>
      <c r="BX145" s="36">
        <f t="shared" si="66"/>
        <v>35.381263616557739</v>
      </c>
      <c r="BY145" s="36">
        <f t="shared" si="67"/>
        <v>47.967631497043264</v>
      </c>
      <c r="BZ145" s="36">
        <f t="shared" si="68"/>
        <v>12.586367880485527</v>
      </c>
      <c r="CA145" s="31">
        <v>4</v>
      </c>
      <c r="CB145" s="31">
        <v>13</v>
      </c>
    </row>
    <row r="146" spans="1:80" x14ac:dyDescent="0.4">
      <c r="A146" s="11" t="s">
        <v>53</v>
      </c>
      <c r="B146" s="11" t="s">
        <v>277</v>
      </c>
      <c r="C146" s="11" t="s">
        <v>236</v>
      </c>
      <c r="D146" s="15">
        <v>11</v>
      </c>
      <c r="E146" s="15">
        <v>3</v>
      </c>
      <c r="F146" s="15">
        <v>43</v>
      </c>
      <c r="G146" s="16">
        <v>2453</v>
      </c>
      <c r="H146" s="16">
        <v>14</v>
      </c>
      <c r="I146" s="17">
        <f t="shared" si="77"/>
        <v>1.2727272727272727</v>
      </c>
      <c r="J146" s="15">
        <v>6</v>
      </c>
      <c r="K146" s="15">
        <v>12</v>
      </c>
      <c r="L146" s="17">
        <f t="shared" si="78"/>
        <v>0.54545454545454541</v>
      </c>
      <c r="M146" s="17">
        <f t="shared" si="79"/>
        <v>1.0909090909090908</v>
      </c>
      <c r="N146" s="18">
        <f t="shared" si="80"/>
        <v>0.5</v>
      </c>
      <c r="O146" s="16">
        <v>5</v>
      </c>
      <c r="P146" s="15">
        <v>8</v>
      </c>
      <c r="Q146" s="17">
        <f t="shared" si="54"/>
        <v>0.45454545454545453</v>
      </c>
      <c r="R146" s="17">
        <f t="shared" si="55"/>
        <v>0.72727272727272729</v>
      </c>
      <c r="S146" s="18">
        <f t="shared" si="56"/>
        <v>0.625</v>
      </c>
      <c r="T146" s="15">
        <v>1</v>
      </c>
      <c r="U146" s="15">
        <v>4</v>
      </c>
      <c r="V146" s="17">
        <f t="shared" si="57"/>
        <v>9.0909090909090912E-2</v>
      </c>
      <c r="W146" s="17">
        <f t="shared" si="58"/>
        <v>0.36363636363636365</v>
      </c>
      <c r="X146" s="18">
        <f t="shared" si="59"/>
        <v>0.25</v>
      </c>
      <c r="Y146" s="15">
        <v>1</v>
      </c>
      <c r="Z146" s="15">
        <v>2</v>
      </c>
      <c r="AA146" s="17">
        <f t="shared" si="60"/>
        <v>9.0909090909090912E-2</v>
      </c>
      <c r="AB146" s="17">
        <f t="shared" si="61"/>
        <v>0.18181818181818182</v>
      </c>
      <c r="AC146" s="18">
        <f t="shared" si="62"/>
        <v>0.5</v>
      </c>
      <c r="AD146" s="15">
        <v>4</v>
      </c>
      <c r="AE146" s="17">
        <f t="shared" si="69"/>
        <v>0.36363636363636365</v>
      </c>
      <c r="AF146" s="15">
        <v>0</v>
      </c>
      <c r="AG146" s="17">
        <f t="shared" si="70"/>
        <v>0</v>
      </c>
      <c r="AH146" s="15">
        <v>4</v>
      </c>
      <c r="AI146" s="17">
        <f t="shared" si="71"/>
        <v>0.36363636363636365</v>
      </c>
      <c r="AJ146" s="15">
        <v>4</v>
      </c>
      <c r="AK146" s="17">
        <f t="shared" si="72"/>
        <v>0.36363636363636365</v>
      </c>
      <c r="AL146" s="15">
        <v>2</v>
      </c>
      <c r="AM146" s="17">
        <f t="shared" si="73"/>
        <v>0.18181818181818182</v>
      </c>
      <c r="AN146" s="15">
        <v>0</v>
      </c>
      <c r="AO146" s="17">
        <f t="shared" si="74"/>
        <v>0</v>
      </c>
      <c r="AP146" s="4">
        <v>2</v>
      </c>
      <c r="AQ146" s="17">
        <f t="shared" si="75"/>
        <v>0.18181818181818182</v>
      </c>
      <c r="AR146" s="15">
        <v>10</v>
      </c>
      <c r="AS146" s="17">
        <f t="shared" si="76"/>
        <v>0.90909090909090906</v>
      </c>
      <c r="AT146" s="19">
        <v>1.3506073313094835E-2</v>
      </c>
      <c r="AU146" s="19">
        <v>1.3214258439228539E-2</v>
      </c>
      <c r="AV146" s="19">
        <v>6.0777207438685961E-3</v>
      </c>
      <c r="AW146" s="19">
        <v>7.4283525692262391E-3</v>
      </c>
      <c r="AX146" s="19">
        <v>103.4879051225375</v>
      </c>
      <c r="AY146" s="19">
        <v>117.90371990553842</v>
      </c>
      <c r="AZ146" s="19">
        <v>1.0088158847099327</v>
      </c>
      <c r="BA146" s="19">
        <v>1.3636363636363635</v>
      </c>
      <c r="BB146" s="19">
        <v>14.675907052588668</v>
      </c>
      <c r="BC146" s="18">
        <v>0.54347826086956519</v>
      </c>
      <c r="BD146" s="18">
        <v>0.54166666666666663</v>
      </c>
      <c r="BE146" s="19">
        <v>3.4766340248062981</v>
      </c>
      <c r="BF146" s="18">
        <v>0.33333333333333331</v>
      </c>
      <c r="BG146" s="18">
        <v>0.16666666666666666</v>
      </c>
      <c r="BH146" s="19">
        <v>0</v>
      </c>
      <c r="BI146" s="19">
        <v>2.1698249674526253</v>
      </c>
      <c r="BJ146" s="19">
        <v>1.0608508465810766</v>
      </c>
      <c r="BK146" s="19">
        <v>2.6648900732844769</v>
      </c>
      <c r="BL146" s="19">
        <v>2.7014407790805843</v>
      </c>
      <c r="BM146" s="19">
        <v>0</v>
      </c>
      <c r="BN146" s="19">
        <v>13.440860215053762</v>
      </c>
      <c r="BO146" s="20" t="s">
        <v>257</v>
      </c>
      <c r="BP146" s="21">
        <v>70000</v>
      </c>
      <c r="BQ146" s="31" t="s">
        <v>306</v>
      </c>
      <c r="BR146" s="31">
        <v>26.72</v>
      </c>
      <c r="BS146" s="31">
        <v>36.22</v>
      </c>
      <c r="BT146" s="31">
        <v>9.5</v>
      </c>
      <c r="BU146" s="35">
        <f t="shared" si="63"/>
        <v>2.4290909090909087</v>
      </c>
      <c r="BV146" s="35">
        <f t="shared" si="64"/>
        <v>3.2927272727272725</v>
      </c>
      <c r="BW146" s="35">
        <f t="shared" si="65"/>
        <v>0.86363636363636365</v>
      </c>
      <c r="BX146" s="36">
        <f t="shared" si="66"/>
        <v>26.142682429677947</v>
      </c>
      <c r="BY146" s="36">
        <f t="shared" si="67"/>
        <v>35.437423562984101</v>
      </c>
      <c r="BZ146" s="36">
        <f t="shared" si="68"/>
        <v>9.2947411333061556</v>
      </c>
      <c r="CA146" s="31">
        <v>3</v>
      </c>
      <c r="CB146" s="31">
        <v>8</v>
      </c>
    </row>
    <row r="147" spans="1:80" x14ac:dyDescent="0.4">
      <c r="A147" s="11" t="s">
        <v>53</v>
      </c>
      <c r="B147" s="11" t="s">
        <v>277</v>
      </c>
      <c r="C147" s="11" t="s">
        <v>225</v>
      </c>
      <c r="D147" s="15">
        <v>45</v>
      </c>
      <c r="E147" s="15">
        <v>12</v>
      </c>
      <c r="F147" s="15">
        <v>12</v>
      </c>
      <c r="G147" s="16">
        <v>32940</v>
      </c>
      <c r="H147" s="16">
        <v>165</v>
      </c>
      <c r="I147" s="17">
        <f t="shared" si="77"/>
        <v>3.6666666666666665</v>
      </c>
      <c r="J147" s="15">
        <v>65</v>
      </c>
      <c r="K147" s="15">
        <v>159</v>
      </c>
      <c r="L147" s="17">
        <f t="shared" si="78"/>
        <v>1.4444444444444444</v>
      </c>
      <c r="M147" s="17">
        <f t="shared" si="79"/>
        <v>3.5333333333333332</v>
      </c>
      <c r="N147" s="18">
        <f t="shared" si="80"/>
        <v>0.4088050314465409</v>
      </c>
      <c r="O147" s="16">
        <v>48</v>
      </c>
      <c r="P147" s="15">
        <v>97</v>
      </c>
      <c r="Q147" s="17">
        <f t="shared" si="54"/>
        <v>1.0666666666666667</v>
      </c>
      <c r="R147" s="17">
        <f t="shared" si="55"/>
        <v>2.1555555555555554</v>
      </c>
      <c r="S147" s="18">
        <f t="shared" si="56"/>
        <v>0.49484536082474229</v>
      </c>
      <c r="T147" s="15">
        <v>17</v>
      </c>
      <c r="U147" s="15">
        <v>62</v>
      </c>
      <c r="V147" s="17">
        <f t="shared" si="57"/>
        <v>0.37777777777777777</v>
      </c>
      <c r="W147" s="17">
        <f t="shared" si="58"/>
        <v>1.3777777777777778</v>
      </c>
      <c r="X147" s="18">
        <f t="shared" si="59"/>
        <v>0.27419354838709675</v>
      </c>
      <c r="Y147" s="15">
        <v>18</v>
      </c>
      <c r="Z147" s="15">
        <v>27</v>
      </c>
      <c r="AA147" s="17">
        <f t="shared" si="60"/>
        <v>0.4</v>
      </c>
      <c r="AB147" s="17">
        <f t="shared" si="61"/>
        <v>0.6</v>
      </c>
      <c r="AC147" s="18">
        <f t="shared" si="62"/>
        <v>0.66666666666666663</v>
      </c>
      <c r="AD147" s="15">
        <v>66</v>
      </c>
      <c r="AE147" s="17">
        <f t="shared" si="69"/>
        <v>1.4666666666666666</v>
      </c>
      <c r="AF147" s="15">
        <v>30</v>
      </c>
      <c r="AG147" s="17">
        <f t="shared" si="70"/>
        <v>0.66666666666666663</v>
      </c>
      <c r="AH147" s="15">
        <v>36</v>
      </c>
      <c r="AI147" s="17">
        <f t="shared" si="71"/>
        <v>0.8</v>
      </c>
      <c r="AJ147" s="15">
        <v>12</v>
      </c>
      <c r="AK147" s="17">
        <f t="shared" si="72"/>
        <v>0.26666666666666666</v>
      </c>
      <c r="AL147" s="15">
        <v>14</v>
      </c>
      <c r="AM147" s="17">
        <f t="shared" si="73"/>
        <v>0.31111111111111112</v>
      </c>
      <c r="AN147" s="15">
        <v>6</v>
      </c>
      <c r="AO147" s="17">
        <f t="shared" si="74"/>
        <v>0.13333333333333333</v>
      </c>
      <c r="AP147" s="4">
        <v>19</v>
      </c>
      <c r="AQ147" s="17">
        <f t="shared" si="75"/>
        <v>0.42222222222222222</v>
      </c>
      <c r="AR147" s="15">
        <v>61</v>
      </c>
      <c r="AS147" s="17">
        <f t="shared" si="76"/>
        <v>1.3555555555555556</v>
      </c>
      <c r="AT147" s="19">
        <v>-0.35725040613287184</v>
      </c>
      <c r="AU147" s="19">
        <v>-2.602917348873383E-2</v>
      </c>
      <c r="AV147" s="19">
        <v>-0.20586866538696713</v>
      </c>
      <c r="AW147" s="19">
        <v>-0.15138174074590471</v>
      </c>
      <c r="AX147" s="19">
        <v>97.564393893213605</v>
      </c>
      <c r="AY147" s="19">
        <v>122.18135407615767</v>
      </c>
      <c r="AZ147" s="19">
        <v>4.3925278637357534</v>
      </c>
      <c r="BA147" s="19">
        <v>3.1333333333333333</v>
      </c>
      <c r="BB147" s="19">
        <v>10.273224043715848</v>
      </c>
      <c r="BC147" s="18">
        <v>0.48279494382022475</v>
      </c>
      <c r="BD147" s="18">
        <v>0.46226415094339623</v>
      </c>
      <c r="BE147" s="19">
        <v>13.515404557455915</v>
      </c>
      <c r="BF147" s="18">
        <v>0.38993710691823902</v>
      </c>
      <c r="BG147" s="18">
        <v>0.16981132075471697</v>
      </c>
      <c r="BH147" s="19">
        <v>4.9576943416181916</v>
      </c>
      <c r="BI147" s="19">
        <v>5.9492332099418297</v>
      </c>
      <c r="BJ147" s="19">
        <v>5.3325146038184039</v>
      </c>
      <c r="BK147" s="19">
        <v>2.6821636119803309</v>
      </c>
      <c r="BL147" s="19">
        <v>1.4082100673221827</v>
      </c>
      <c r="BM147" s="19">
        <v>0.92749321770584559</v>
      </c>
      <c r="BN147" s="19">
        <v>10.006319780914263</v>
      </c>
      <c r="BO147" s="20" t="s">
        <v>257</v>
      </c>
      <c r="BP147" s="21">
        <v>105000</v>
      </c>
      <c r="BQ147" s="30" t="s">
        <v>305</v>
      </c>
      <c r="BR147" s="30">
        <v>297.5</v>
      </c>
      <c r="BS147" s="30">
        <v>422.7</v>
      </c>
      <c r="BT147" s="30">
        <v>125.2</v>
      </c>
      <c r="BU147" s="35">
        <f t="shared" si="63"/>
        <v>6.6111111111111107</v>
      </c>
      <c r="BV147" s="35">
        <f t="shared" si="64"/>
        <v>9.3933333333333326</v>
      </c>
      <c r="BW147" s="35">
        <f t="shared" si="65"/>
        <v>2.7822222222222224</v>
      </c>
      <c r="BX147" s="36">
        <f t="shared" si="66"/>
        <v>21.67577413479053</v>
      </c>
      <c r="BY147" s="36">
        <f t="shared" si="67"/>
        <v>30.797814207650273</v>
      </c>
      <c r="BZ147" s="36">
        <f t="shared" si="68"/>
        <v>9.1220400728597451</v>
      </c>
      <c r="CA147" s="31">
        <v>15</v>
      </c>
      <c r="CB147" s="31">
        <v>30</v>
      </c>
    </row>
    <row r="148" spans="1:80" x14ac:dyDescent="0.4">
      <c r="A148" s="11" t="s">
        <v>53</v>
      </c>
      <c r="B148" s="11" t="s">
        <v>277</v>
      </c>
      <c r="C148" s="11" t="s">
        <v>222</v>
      </c>
      <c r="D148" s="15">
        <v>49</v>
      </c>
      <c r="E148" s="15">
        <v>23</v>
      </c>
      <c r="F148" s="15">
        <v>16</v>
      </c>
      <c r="G148" s="16">
        <v>68404</v>
      </c>
      <c r="H148" s="16">
        <v>428</v>
      </c>
      <c r="I148" s="17">
        <f t="shared" si="77"/>
        <v>8.7346938775510203</v>
      </c>
      <c r="J148" s="15">
        <v>150</v>
      </c>
      <c r="K148" s="15">
        <v>383</v>
      </c>
      <c r="L148" s="17">
        <f t="shared" si="78"/>
        <v>3.0612244897959182</v>
      </c>
      <c r="M148" s="17">
        <f t="shared" si="79"/>
        <v>7.8163265306122449</v>
      </c>
      <c r="N148" s="18">
        <f t="shared" si="80"/>
        <v>0.391644908616188</v>
      </c>
      <c r="O148" s="16">
        <v>100</v>
      </c>
      <c r="P148" s="15">
        <v>214</v>
      </c>
      <c r="Q148" s="17">
        <f t="shared" si="54"/>
        <v>2.0408163265306123</v>
      </c>
      <c r="R148" s="17">
        <f t="shared" si="55"/>
        <v>4.3673469387755102</v>
      </c>
      <c r="S148" s="18">
        <f t="shared" si="56"/>
        <v>0.46728971962616822</v>
      </c>
      <c r="T148" s="15">
        <v>50</v>
      </c>
      <c r="U148" s="15">
        <v>169</v>
      </c>
      <c r="V148" s="17">
        <f t="shared" si="57"/>
        <v>1.0204081632653061</v>
      </c>
      <c r="W148" s="17">
        <f t="shared" si="58"/>
        <v>3.4489795918367347</v>
      </c>
      <c r="X148" s="18">
        <f t="shared" si="59"/>
        <v>0.29585798816568049</v>
      </c>
      <c r="Y148" s="15">
        <v>78</v>
      </c>
      <c r="Z148" s="15">
        <v>112</v>
      </c>
      <c r="AA148" s="17">
        <f t="shared" si="60"/>
        <v>1.5918367346938775</v>
      </c>
      <c r="AB148" s="17">
        <f t="shared" si="61"/>
        <v>2.2857142857142856</v>
      </c>
      <c r="AC148" s="18">
        <f t="shared" si="62"/>
        <v>0.6964285714285714</v>
      </c>
      <c r="AD148" s="15">
        <v>204</v>
      </c>
      <c r="AE148" s="17">
        <f t="shared" si="69"/>
        <v>4.1632653061224492</v>
      </c>
      <c r="AF148" s="15">
        <v>50</v>
      </c>
      <c r="AG148" s="17">
        <f t="shared" si="70"/>
        <v>1.0204081632653061</v>
      </c>
      <c r="AH148" s="15">
        <v>154</v>
      </c>
      <c r="AI148" s="17">
        <f t="shared" si="71"/>
        <v>3.1428571428571428</v>
      </c>
      <c r="AJ148" s="15">
        <v>81</v>
      </c>
      <c r="AK148" s="17">
        <f t="shared" si="72"/>
        <v>1.653061224489796</v>
      </c>
      <c r="AL148" s="15">
        <v>33</v>
      </c>
      <c r="AM148" s="17">
        <f t="shared" si="73"/>
        <v>0.67346938775510201</v>
      </c>
      <c r="AN148" s="15">
        <v>14</v>
      </c>
      <c r="AO148" s="17">
        <f t="shared" si="74"/>
        <v>0.2857142857142857</v>
      </c>
      <c r="AP148" s="4">
        <v>46</v>
      </c>
      <c r="AQ148" s="17">
        <f t="shared" si="75"/>
        <v>0.93877551020408168</v>
      </c>
      <c r="AR148" s="15">
        <v>118</v>
      </c>
      <c r="AS148" s="17">
        <f t="shared" si="76"/>
        <v>2.4081632653061225</v>
      </c>
      <c r="AT148" s="19">
        <v>0.29377740191966406</v>
      </c>
      <c r="AU148" s="19">
        <v>1.0307376244184459E-2</v>
      </c>
      <c r="AV148" s="19">
        <v>0.15480955117532716</v>
      </c>
      <c r="AW148" s="19">
        <v>0.13896785074433687</v>
      </c>
      <c r="AX148" s="19">
        <v>103.15084208143688</v>
      </c>
      <c r="AY148" s="19">
        <v>118.46294520474697</v>
      </c>
      <c r="AZ148" s="19">
        <v>7.8749117823153618</v>
      </c>
      <c r="BA148" s="19">
        <v>9.1224489795918373</v>
      </c>
      <c r="BB148" s="19">
        <v>15.683293374656452</v>
      </c>
      <c r="BC148" s="18">
        <v>0.4950495049504951</v>
      </c>
      <c r="BD148" s="18">
        <v>0.45691906005221933</v>
      </c>
      <c r="BE148" s="19">
        <v>17.850801072799754</v>
      </c>
      <c r="BF148" s="18">
        <v>0.44125326370757179</v>
      </c>
      <c r="BG148" s="18">
        <v>0.29242819843342038</v>
      </c>
      <c r="BH148" s="19">
        <v>4.3326555134485627</v>
      </c>
      <c r="BI148" s="19">
        <v>13.344578981421574</v>
      </c>
      <c r="BJ148" s="19">
        <v>8.6425907436723381</v>
      </c>
      <c r="BK148" s="19">
        <v>9.7920696324951635</v>
      </c>
      <c r="BL148" s="19">
        <v>1.5984367114919753</v>
      </c>
      <c r="BM148" s="19">
        <v>1.1347839655025675</v>
      </c>
      <c r="BN148" s="19">
        <v>9.6177971062975676</v>
      </c>
      <c r="BO148" s="20" t="s">
        <v>257</v>
      </c>
      <c r="BP148" s="21">
        <v>40000</v>
      </c>
      <c r="BQ148" s="31" t="s">
        <v>305</v>
      </c>
      <c r="BR148" s="31">
        <v>799.26</v>
      </c>
      <c r="BS148" s="31">
        <v>1116.56</v>
      </c>
      <c r="BT148" s="31">
        <v>317.3</v>
      </c>
      <c r="BU148" s="35">
        <f t="shared" si="63"/>
        <v>16.311428571428571</v>
      </c>
      <c r="BV148" s="35">
        <f t="shared" si="64"/>
        <v>22.786938775510205</v>
      </c>
      <c r="BW148" s="35">
        <f t="shared" si="65"/>
        <v>6.4755102040816332</v>
      </c>
      <c r="BX148" s="36">
        <f t="shared" si="66"/>
        <v>28.042570609905852</v>
      </c>
      <c r="BY148" s="36">
        <f t="shared" si="67"/>
        <v>39.175252909186597</v>
      </c>
      <c r="BZ148" s="36">
        <f t="shared" si="68"/>
        <v>11.132682299280743</v>
      </c>
      <c r="CA148" s="30">
        <v>15</v>
      </c>
      <c r="CB148" s="30">
        <v>34</v>
      </c>
    </row>
    <row r="149" spans="1:80" x14ac:dyDescent="0.4">
      <c r="A149" s="11" t="s">
        <v>53</v>
      </c>
      <c r="B149" s="11" t="s">
        <v>277</v>
      </c>
      <c r="C149" s="14" t="s">
        <v>165</v>
      </c>
      <c r="D149" s="15">
        <v>1</v>
      </c>
      <c r="E149" s="15">
        <v>2</v>
      </c>
      <c r="F149" s="15">
        <v>17</v>
      </c>
      <c r="G149" s="16">
        <v>137</v>
      </c>
      <c r="H149" s="16">
        <v>0</v>
      </c>
      <c r="I149" s="17">
        <f t="shared" si="77"/>
        <v>0</v>
      </c>
      <c r="J149" s="15">
        <v>0</v>
      </c>
      <c r="K149" s="15">
        <v>0</v>
      </c>
      <c r="L149" s="17">
        <f t="shared" si="78"/>
        <v>0</v>
      </c>
      <c r="M149" s="17">
        <f t="shared" si="79"/>
        <v>0</v>
      </c>
      <c r="N149" s="18" t="e">
        <f t="shared" si="80"/>
        <v>#DIV/0!</v>
      </c>
      <c r="O149" s="16">
        <v>0</v>
      </c>
      <c r="P149" s="15">
        <v>0</v>
      </c>
      <c r="Q149" s="17">
        <f t="shared" si="54"/>
        <v>0</v>
      </c>
      <c r="R149" s="17">
        <f t="shared" si="55"/>
        <v>0</v>
      </c>
      <c r="S149" s="18" t="e">
        <f t="shared" si="56"/>
        <v>#DIV/0!</v>
      </c>
      <c r="T149" s="15">
        <v>0</v>
      </c>
      <c r="U149" s="15">
        <v>0</v>
      </c>
      <c r="V149" s="17">
        <f t="shared" si="57"/>
        <v>0</v>
      </c>
      <c r="W149" s="17">
        <f t="shared" si="58"/>
        <v>0</v>
      </c>
      <c r="X149" s="18" t="e">
        <f t="shared" si="59"/>
        <v>#DIV/0!</v>
      </c>
      <c r="Y149" s="15">
        <v>0</v>
      </c>
      <c r="Z149" s="15">
        <v>0</v>
      </c>
      <c r="AA149" s="17">
        <f t="shared" si="60"/>
        <v>0</v>
      </c>
      <c r="AB149" s="17">
        <f t="shared" si="61"/>
        <v>0</v>
      </c>
      <c r="AC149" s="18" t="e">
        <f t="shared" si="62"/>
        <v>#DIV/0!</v>
      </c>
      <c r="AD149" s="15">
        <v>0</v>
      </c>
      <c r="AE149" s="17">
        <f t="shared" si="69"/>
        <v>0</v>
      </c>
      <c r="AF149" s="15">
        <v>0</v>
      </c>
      <c r="AG149" s="17">
        <f t="shared" si="70"/>
        <v>0</v>
      </c>
      <c r="AH149" s="15">
        <v>0</v>
      </c>
      <c r="AI149" s="17">
        <f t="shared" si="71"/>
        <v>0</v>
      </c>
      <c r="AJ149" s="15">
        <v>1</v>
      </c>
      <c r="AK149" s="17">
        <f t="shared" si="72"/>
        <v>1</v>
      </c>
      <c r="AL149" s="15">
        <v>0</v>
      </c>
      <c r="AM149" s="17">
        <f t="shared" si="73"/>
        <v>0</v>
      </c>
      <c r="AN149" s="15">
        <v>0</v>
      </c>
      <c r="AO149" s="17">
        <f t="shared" si="74"/>
        <v>0</v>
      </c>
      <c r="AP149" s="4">
        <v>0</v>
      </c>
      <c r="AQ149" s="17">
        <f t="shared" si="75"/>
        <v>0</v>
      </c>
      <c r="AR149" s="15">
        <v>0</v>
      </c>
      <c r="AS149" s="17">
        <f t="shared" si="76"/>
        <v>0</v>
      </c>
      <c r="AT149" s="19">
        <v>6.5012501267523405E-3</v>
      </c>
      <c r="AU149" s="19">
        <v>0.11389051316938406</v>
      </c>
      <c r="AV149" s="19">
        <v>8.8597915932940759E-3</v>
      </c>
      <c r="AW149" s="19">
        <v>-2.3585414665417354E-3</v>
      </c>
      <c r="AX149" s="19">
        <v>228.6057692307692</v>
      </c>
      <c r="AY149" s="19">
        <v>129.26213265493118</v>
      </c>
      <c r="AZ149" s="19">
        <v>0.22144933504764117</v>
      </c>
      <c r="BA149" s="19">
        <v>1</v>
      </c>
      <c r="BB149" s="19">
        <v>17.518248175182482</v>
      </c>
      <c r="BC149" s="18">
        <v>0</v>
      </c>
      <c r="BD149" s="18" t="e">
        <v>#DIV/0!</v>
      </c>
      <c r="BE149" s="19">
        <v>0</v>
      </c>
      <c r="BF149" s="18">
        <v>0</v>
      </c>
      <c r="BG149" s="18">
        <v>0</v>
      </c>
      <c r="BH149" s="19">
        <v>0</v>
      </c>
      <c r="BI149" s="19">
        <v>0</v>
      </c>
      <c r="BJ149" s="19">
        <v>0</v>
      </c>
      <c r="BK149" s="19">
        <v>1.0427528675703857</v>
      </c>
      <c r="BL149" s="19">
        <v>0</v>
      </c>
      <c r="BM149" s="19">
        <v>0</v>
      </c>
      <c r="BN149" s="19">
        <v>0</v>
      </c>
      <c r="BO149" s="20" t="s">
        <v>257</v>
      </c>
      <c r="BP149" s="21">
        <v>240000</v>
      </c>
      <c r="BQ149" s="31" t="s">
        <v>306</v>
      </c>
      <c r="BU149" s="35"/>
      <c r="BV149" s="35"/>
      <c r="BW149" s="35"/>
      <c r="BX149" s="36"/>
      <c r="BY149" s="36"/>
      <c r="BZ149" s="36"/>
      <c r="CA149" s="45">
        <v>0</v>
      </c>
      <c r="CB149" s="45">
        <v>1</v>
      </c>
    </row>
    <row r="150" spans="1:80" x14ac:dyDescent="0.4">
      <c r="A150" s="11" t="s">
        <v>53</v>
      </c>
      <c r="B150" s="11" t="s">
        <v>277</v>
      </c>
      <c r="C150" s="11" t="s">
        <v>226</v>
      </c>
      <c r="D150" s="15">
        <v>49</v>
      </c>
      <c r="E150" s="15">
        <v>28</v>
      </c>
      <c r="F150" s="15">
        <v>51</v>
      </c>
      <c r="G150" s="16">
        <v>84819</v>
      </c>
      <c r="H150" s="16">
        <v>564</v>
      </c>
      <c r="I150" s="17">
        <f t="shared" si="77"/>
        <v>11.510204081632653</v>
      </c>
      <c r="J150" s="15">
        <v>186</v>
      </c>
      <c r="K150" s="15">
        <v>449</v>
      </c>
      <c r="L150" s="17">
        <f t="shared" si="78"/>
        <v>3.795918367346939</v>
      </c>
      <c r="M150" s="17">
        <f t="shared" si="79"/>
        <v>9.1632653061224492</v>
      </c>
      <c r="N150" s="18">
        <f t="shared" si="80"/>
        <v>0.41425389755011138</v>
      </c>
      <c r="O150" s="16">
        <v>84</v>
      </c>
      <c r="P150" s="15">
        <v>186</v>
      </c>
      <c r="Q150" s="17">
        <f t="shared" si="54"/>
        <v>1.7142857142857142</v>
      </c>
      <c r="R150" s="17">
        <f t="shared" si="55"/>
        <v>3.795918367346939</v>
      </c>
      <c r="S150" s="18">
        <f t="shared" si="56"/>
        <v>0.45161290322580644</v>
      </c>
      <c r="T150" s="15">
        <v>102</v>
      </c>
      <c r="U150" s="15">
        <v>263</v>
      </c>
      <c r="V150" s="17">
        <f t="shared" si="57"/>
        <v>2.0816326530612246</v>
      </c>
      <c r="W150" s="17">
        <f t="shared" si="58"/>
        <v>5.3673469387755102</v>
      </c>
      <c r="X150" s="18">
        <f t="shared" si="59"/>
        <v>0.38783269961977185</v>
      </c>
      <c r="Y150" s="15">
        <v>90</v>
      </c>
      <c r="Z150" s="15">
        <v>101</v>
      </c>
      <c r="AA150" s="17">
        <f t="shared" si="60"/>
        <v>1.8367346938775511</v>
      </c>
      <c r="AB150" s="17">
        <f t="shared" si="61"/>
        <v>2.0612244897959182</v>
      </c>
      <c r="AC150" s="18">
        <f t="shared" si="62"/>
        <v>0.8910891089108911</v>
      </c>
      <c r="AD150" s="15">
        <v>80</v>
      </c>
      <c r="AE150" s="17">
        <f t="shared" si="69"/>
        <v>1.6326530612244898</v>
      </c>
      <c r="AF150" s="15">
        <v>16</v>
      </c>
      <c r="AG150" s="17">
        <f t="shared" si="70"/>
        <v>0.32653061224489793</v>
      </c>
      <c r="AH150" s="15">
        <v>64</v>
      </c>
      <c r="AI150" s="17">
        <f t="shared" si="71"/>
        <v>1.3061224489795917</v>
      </c>
      <c r="AJ150" s="15">
        <v>199</v>
      </c>
      <c r="AK150" s="17">
        <f t="shared" si="72"/>
        <v>4.0612244897959187</v>
      </c>
      <c r="AL150" s="15">
        <v>32</v>
      </c>
      <c r="AM150" s="17">
        <f t="shared" si="73"/>
        <v>0.65306122448979587</v>
      </c>
      <c r="AN150" s="15">
        <v>0</v>
      </c>
      <c r="AO150" s="17">
        <f t="shared" si="74"/>
        <v>0</v>
      </c>
      <c r="AP150" s="4">
        <v>69</v>
      </c>
      <c r="AQ150" s="17">
        <f t="shared" si="75"/>
        <v>1.4081632653061225</v>
      </c>
      <c r="AR150" s="15">
        <v>87</v>
      </c>
      <c r="AS150" s="17">
        <f t="shared" si="76"/>
        <v>1.7755102040816326</v>
      </c>
      <c r="AT150" s="19">
        <v>1.2996220873715409</v>
      </c>
      <c r="AU150" s="19">
        <v>3.6773517840244498E-2</v>
      </c>
      <c r="AV150" s="19">
        <v>1.9902299999581397</v>
      </c>
      <c r="AW150" s="19">
        <v>-0.69060791258659859</v>
      </c>
      <c r="AX150" s="19">
        <v>115.33731750694677</v>
      </c>
      <c r="AY150" s="19">
        <v>124.17119298935536</v>
      </c>
      <c r="AZ150" s="19">
        <v>9.3292551936434194</v>
      </c>
      <c r="BA150" s="19">
        <v>10.857142857142858</v>
      </c>
      <c r="BB150" s="19">
        <v>15.053230997771724</v>
      </c>
      <c r="BC150" s="18">
        <v>0.57149805447470814</v>
      </c>
      <c r="BD150" s="18">
        <v>0.5278396436525612</v>
      </c>
      <c r="BE150" s="19">
        <v>16.929340486394068</v>
      </c>
      <c r="BF150" s="18">
        <v>0.58574610244988867</v>
      </c>
      <c r="BG150" s="18">
        <v>0.22494432071269488</v>
      </c>
      <c r="BH150" s="19">
        <v>1.1181304858276961</v>
      </c>
      <c r="BI150" s="19">
        <v>4.4725219433107846</v>
      </c>
      <c r="BJ150" s="19">
        <v>2.7333303152811101</v>
      </c>
      <c r="BK150" s="19">
        <v>19.401384420395832</v>
      </c>
      <c r="BL150" s="19">
        <v>1.2500282683992356</v>
      </c>
      <c r="BM150" s="19">
        <v>0</v>
      </c>
      <c r="BN150" s="19">
        <v>12.267975250693405</v>
      </c>
      <c r="BO150" s="20" t="s">
        <v>257</v>
      </c>
      <c r="BP150" s="21">
        <v>40000</v>
      </c>
      <c r="BQ150" s="31" t="s">
        <v>306</v>
      </c>
      <c r="BR150" s="31">
        <v>981.12</v>
      </c>
      <c r="BS150" s="31">
        <v>1340.32</v>
      </c>
      <c r="BT150" s="31">
        <v>359.2</v>
      </c>
      <c r="BU150" s="35">
        <f t="shared" si="63"/>
        <v>20.022857142857141</v>
      </c>
      <c r="BV150" s="35">
        <f t="shared" si="64"/>
        <v>27.353469387755101</v>
      </c>
      <c r="BW150" s="35">
        <f t="shared" si="65"/>
        <v>7.3306122448979592</v>
      </c>
      <c r="BX150" s="36">
        <f t="shared" si="66"/>
        <v>27.76132706115375</v>
      </c>
      <c r="BY150" s="36">
        <f t="shared" si="67"/>
        <v>37.925087539348496</v>
      </c>
      <c r="BZ150" s="36">
        <f t="shared" si="68"/>
        <v>10.163760478194744</v>
      </c>
      <c r="CA150" s="30">
        <v>16</v>
      </c>
      <c r="CB150" s="30">
        <v>33</v>
      </c>
    </row>
    <row r="151" spans="1:80" x14ac:dyDescent="0.4">
      <c r="A151" s="11" t="s">
        <v>53</v>
      </c>
      <c r="B151" s="11" t="s">
        <v>277</v>
      </c>
      <c r="C151" s="11" t="s">
        <v>234</v>
      </c>
      <c r="D151" s="10">
        <v>5</v>
      </c>
      <c r="E151" s="10">
        <v>2</v>
      </c>
      <c r="F151" s="10">
        <v>58</v>
      </c>
      <c r="G151" s="16">
        <v>890</v>
      </c>
      <c r="H151" s="16">
        <v>4</v>
      </c>
      <c r="I151" s="17">
        <f t="shared" si="77"/>
        <v>0.8</v>
      </c>
      <c r="J151" s="15">
        <v>2</v>
      </c>
      <c r="K151" s="15">
        <v>9</v>
      </c>
      <c r="L151" s="17">
        <f t="shared" si="78"/>
        <v>0.4</v>
      </c>
      <c r="M151" s="17">
        <f t="shared" si="79"/>
        <v>1.8</v>
      </c>
      <c r="N151" s="18">
        <f t="shared" si="80"/>
        <v>0.22222222222222221</v>
      </c>
      <c r="O151" s="16">
        <v>2</v>
      </c>
      <c r="P151" s="15">
        <v>6</v>
      </c>
      <c r="Q151" s="17">
        <f t="shared" si="54"/>
        <v>0.4</v>
      </c>
      <c r="R151" s="17">
        <f t="shared" si="55"/>
        <v>1.2</v>
      </c>
      <c r="S151" s="18">
        <f t="shared" si="56"/>
        <v>0.33333333333333331</v>
      </c>
      <c r="T151" s="15">
        <v>0</v>
      </c>
      <c r="U151" s="15">
        <v>3</v>
      </c>
      <c r="V151" s="17">
        <f t="shared" si="57"/>
        <v>0</v>
      </c>
      <c r="W151" s="17">
        <f t="shared" si="58"/>
        <v>0.6</v>
      </c>
      <c r="X151" s="18">
        <f t="shared" si="59"/>
        <v>0</v>
      </c>
      <c r="Y151" s="9">
        <v>0</v>
      </c>
      <c r="Z151" s="9">
        <v>0</v>
      </c>
      <c r="AA151" s="17">
        <f t="shared" si="60"/>
        <v>0</v>
      </c>
      <c r="AB151" s="17">
        <f t="shared" si="61"/>
        <v>0</v>
      </c>
      <c r="AC151" s="18" t="e">
        <f t="shared" si="62"/>
        <v>#DIV/0!</v>
      </c>
      <c r="AD151" s="15">
        <v>4</v>
      </c>
      <c r="AE151" s="17">
        <f t="shared" si="69"/>
        <v>0.8</v>
      </c>
      <c r="AF151" s="15">
        <v>3</v>
      </c>
      <c r="AG151" s="17">
        <f t="shared" si="70"/>
        <v>0.6</v>
      </c>
      <c r="AH151" s="15">
        <v>1</v>
      </c>
      <c r="AI151" s="17">
        <f t="shared" si="71"/>
        <v>0.2</v>
      </c>
      <c r="AJ151" s="15">
        <v>0</v>
      </c>
      <c r="AK151" s="17">
        <f t="shared" si="72"/>
        <v>0</v>
      </c>
      <c r="AL151" s="15">
        <v>2</v>
      </c>
      <c r="AM151" s="17">
        <f t="shared" si="73"/>
        <v>0.4</v>
      </c>
      <c r="AN151" s="7">
        <v>0</v>
      </c>
      <c r="AO151" s="17">
        <f t="shared" si="74"/>
        <v>0</v>
      </c>
      <c r="AP151" s="6">
        <v>0</v>
      </c>
      <c r="AQ151" s="17">
        <f t="shared" si="75"/>
        <v>0</v>
      </c>
      <c r="AR151" s="15">
        <v>0</v>
      </c>
      <c r="AS151" s="17">
        <f t="shared" si="76"/>
        <v>0</v>
      </c>
      <c r="AT151" s="19">
        <v>-6.1689967486792605E-2</v>
      </c>
      <c r="AU151" s="19">
        <v>-0.16635496850371037</v>
      </c>
      <c r="AV151" s="19">
        <v>-7.7587670374442225E-2</v>
      </c>
      <c r="AW151" s="19">
        <v>1.589770288764962E-2</v>
      </c>
      <c r="AX151" s="19">
        <v>68.142777503263176</v>
      </c>
      <c r="AY151" s="19">
        <v>109.58050938529794</v>
      </c>
      <c r="AZ151" s="19">
        <v>0.73152953420056466</v>
      </c>
      <c r="BA151" s="19">
        <v>0.6</v>
      </c>
      <c r="BB151" s="19">
        <v>8.0898876404494384</v>
      </c>
      <c r="BC151" s="18">
        <v>0.22222222222222221</v>
      </c>
      <c r="BD151" s="18">
        <v>0.22222222222222221</v>
      </c>
      <c r="BE151" s="19">
        <v>2.6344102965243446</v>
      </c>
      <c r="BF151" s="18">
        <v>0.33333333333333331</v>
      </c>
      <c r="BG151" s="18">
        <v>0</v>
      </c>
      <c r="BH151" s="19">
        <v>2.0387821674519753</v>
      </c>
      <c r="BI151" s="19">
        <v>0.67959405581732513</v>
      </c>
      <c r="BJ151" s="19">
        <v>1.3290434763347196</v>
      </c>
      <c r="BK151" s="19">
        <v>0</v>
      </c>
      <c r="BL151" s="19">
        <v>7.445656439420981</v>
      </c>
      <c r="BM151" s="19">
        <v>0</v>
      </c>
      <c r="BN151" s="19">
        <v>0</v>
      </c>
      <c r="BO151" s="20" t="s">
        <v>257</v>
      </c>
      <c r="BP151" s="21">
        <v>105000</v>
      </c>
      <c r="BQ151" s="30" t="s">
        <v>305</v>
      </c>
      <c r="BR151" s="30">
        <v>8.52</v>
      </c>
      <c r="BS151" s="30">
        <v>15.22</v>
      </c>
      <c r="BT151" s="30">
        <v>6.7</v>
      </c>
      <c r="BU151" s="35">
        <f t="shared" si="63"/>
        <v>1.704</v>
      </c>
      <c r="BV151" s="35">
        <f t="shared" si="64"/>
        <v>3.044</v>
      </c>
      <c r="BW151" s="35">
        <f t="shared" si="65"/>
        <v>1.34</v>
      </c>
      <c r="BX151" s="36">
        <f t="shared" si="66"/>
        <v>22.975280898876402</v>
      </c>
      <c r="BY151" s="36">
        <f t="shared" si="67"/>
        <v>41.042696629213481</v>
      </c>
      <c r="BZ151" s="36">
        <f t="shared" si="68"/>
        <v>18.067415730337078</v>
      </c>
      <c r="CA151" s="30">
        <v>0</v>
      </c>
      <c r="CB151" s="30">
        <v>5</v>
      </c>
    </row>
    <row r="152" spans="1:80" x14ac:dyDescent="0.4">
      <c r="A152" s="11" t="s">
        <v>53</v>
      </c>
      <c r="B152" s="11" t="s">
        <v>280</v>
      </c>
      <c r="C152" s="11" t="s">
        <v>108</v>
      </c>
      <c r="D152" s="15">
        <v>54</v>
      </c>
      <c r="E152" s="15">
        <v>23</v>
      </c>
      <c r="F152" s="15">
        <v>52</v>
      </c>
      <c r="G152" s="16">
        <v>77328</v>
      </c>
      <c r="H152" s="16">
        <v>1104</v>
      </c>
      <c r="I152" s="17">
        <f t="shared" si="77"/>
        <v>20.444444444444443</v>
      </c>
      <c r="J152" s="15">
        <v>439</v>
      </c>
      <c r="K152" s="15">
        <v>783</v>
      </c>
      <c r="L152" s="17">
        <f t="shared" si="78"/>
        <v>8.1296296296296298</v>
      </c>
      <c r="M152" s="17">
        <f t="shared" si="79"/>
        <v>14.5</v>
      </c>
      <c r="N152" s="18">
        <f t="shared" si="80"/>
        <v>0.56066411238825031</v>
      </c>
      <c r="O152" s="16">
        <v>430</v>
      </c>
      <c r="P152" s="15">
        <v>736</v>
      </c>
      <c r="Q152" s="17">
        <f t="shared" si="54"/>
        <v>7.9629629629629628</v>
      </c>
      <c r="R152" s="17">
        <f t="shared" si="55"/>
        <v>13.62962962962963</v>
      </c>
      <c r="S152" s="18">
        <f t="shared" si="56"/>
        <v>0.58423913043478259</v>
      </c>
      <c r="T152" s="15">
        <v>9</v>
      </c>
      <c r="U152" s="15">
        <v>47</v>
      </c>
      <c r="V152" s="17">
        <f t="shared" si="57"/>
        <v>0.16666666666666666</v>
      </c>
      <c r="W152" s="17">
        <f t="shared" si="58"/>
        <v>0.87037037037037035</v>
      </c>
      <c r="X152" s="18">
        <f t="shared" si="59"/>
        <v>0.19148936170212766</v>
      </c>
      <c r="Y152" s="15">
        <v>217</v>
      </c>
      <c r="Z152" s="15">
        <v>270</v>
      </c>
      <c r="AA152" s="17">
        <f t="shared" si="60"/>
        <v>4.0185185185185182</v>
      </c>
      <c r="AB152" s="17">
        <f t="shared" si="61"/>
        <v>5</v>
      </c>
      <c r="AC152" s="18">
        <f t="shared" si="62"/>
        <v>0.8037037037037037</v>
      </c>
      <c r="AD152" s="15">
        <v>423</v>
      </c>
      <c r="AE152" s="17">
        <f t="shared" si="69"/>
        <v>7.833333333333333</v>
      </c>
      <c r="AF152" s="15">
        <v>144</v>
      </c>
      <c r="AG152" s="17">
        <f t="shared" si="70"/>
        <v>2.6666666666666665</v>
      </c>
      <c r="AH152" s="15">
        <v>279</v>
      </c>
      <c r="AI152" s="17">
        <f t="shared" si="71"/>
        <v>5.166666666666667</v>
      </c>
      <c r="AJ152" s="15">
        <v>88</v>
      </c>
      <c r="AK152" s="17">
        <f t="shared" si="72"/>
        <v>1.6296296296296295</v>
      </c>
      <c r="AL152" s="15">
        <v>47</v>
      </c>
      <c r="AM152" s="17">
        <f t="shared" si="73"/>
        <v>0.87037037037037035</v>
      </c>
      <c r="AN152" s="15">
        <v>25</v>
      </c>
      <c r="AO152" s="17">
        <f t="shared" si="74"/>
        <v>0.46296296296296297</v>
      </c>
      <c r="AP152" s="4">
        <v>86</v>
      </c>
      <c r="AQ152" s="17">
        <f t="shared" si="75"/>
        <v>1.5925925925925926</v>
      </c>
      <c r="AR152" s="15">
        <v>121</v>
      </c>
      <c r="AS152" s="17">
        <f t="shared" si="76"/>
        <v>2.2407407407407409</v>
      </c>
      <c r="AT152" s="19">
        <v>5.8592763274252482</v>
      </c>
      <c r="AU152" s="19">
        <v>0.18185215168917593</v>
      </c>
      <c r="AV152" s="19">
        <v>4.4794369205535185</v>
      </c>
      <c r="AW152" s="19">
        <v>1.3798394068717295</v>
      </c>
      <c r="AX152" s="19">
        <v>121.7196712297077</v>
      </c>
      <c r="AY152" s="19">
        <v>109.57744861285082</v>
      </c>
      <c r="AZ152" s="19">
        <v>23.933539889844656</v>
      </c>
      <c r="BA152" s="19">
        <v>22.296296296296298</v>
      </c>
      <c r="BB152" s="19">
        <v>37.368094351334577</v>
      </c>
      <c r="BC152" s="18">
        <v>0.61210911510312715</v>
      </c>
      <c r="BD152" s="18">
        <v>0.56641123882503197</v>
      </c>
      <c r="BE152" s="19">
        <v>35.940731485211131</v>
      </c>
      <c r="BF152" s="18">
        <v>6.0025542784163471E-2</v>
      </c>
      <c r="BG152" s="18">
        <v>0.34482758620689657</v>
      </c>
      <c r="BH152" s="19">
        <v>12.164353937646423</v>
      </c>
      <c r="BI152" s="19">
        <v>23.568435754189945</v>
      </c>
      <c r="BJ152" s="19">
        <v>17.470146562001812</v>
      </c>
      <c r="BK152" s="19">
        <v>15.619453319133831</v>
      </c>
      <c r="BL152" s="19">
        <v>2.0138359252856635</v>
      </c>
      <c r="BM152" s="19">
        <v>1.9754569231863326</v>
      </c>
      <c r="BN152" s="19">
        <v>8.7062158331646078</v>
      </c>
      <c r="BO152" s="20" t="s">
        <v>239</v>
      </c>
      <c r="BP152" s="21"/>
      <c r="BQ152" s="31" t="s">
        <v>307</v>
      </c>
      <c r="BR152" s="31">
        <v>1615.19</v>
      </c>
      <c r="BS152" s="31">
        <v>2126.79</v>
      </c>
      <c r="BT152" s="31">
        <v>511.6</v>
      </c>
      <c r="BU152" s="35">
        <f t="shared" si="63"/>
        <v>29.910925925925923</v>
      </c>
      <c r="BV152" s="35">
        <f t="shared" si="64"/>
        <v>39.384999999999998</v>
      </c>
      <c r="BW152" s="35">
        <f t="shared" si="65"/>
        <v>9.4740740740740748</v>
      </c>
      <c r="BX152" s="36">
        <f t="shared" si="66"/>
        <v>50.130043451272499</v>
      </c>
      <c r="BY152" s="36">
        <f t="shared" si="67"/>
        <v>66.008379888268152</v>
      </c>
      <c r="BZ152" s="36">
        <f t="shared" si="68"/>
        <v>15.878336436995655</v>
      </c>
      <c r="CA152" s="31">
        <v>26</v>
      </c>
      <c r="CB152" s="31">
        <v>28</v>
      </c>
    </row>
    <row r="153" spans="1:80" x14ac:dyDescent="0.4">
      <c r="A153" s="11" t="s">
        <v>53</v>
      </c>
      <c r="B153" s="11" t="s">
        <v>280</v>
      </c>
      <c r="C153" s="11" t="s">
        <v>114</v>
      </c>
      <c r="D153" s="15">
        <v>52</v>
      </c>
      <c r="E153" s="15">
        <v>21</v>
      </c>
      <c r="F153" s="15">
        <v>35</v>
      </c>
      <c r="G153" s="16">
        <v>67340</v>
      </c>
      <c r="H153" s="16">
        <v>366</v>
      </c>
      <c r="I153" s="17">
        <f t="shared" si="77"/>
        <v>7.0384615384615383</v>
      </c>
      <c r="J153" s="15">
        <v>125</v>
      </c>
      <c r="K153" s="15">
        <v>294</v>
      </c>
      <c r="L153" s="17">
        <f t="shared" si="78"/>
        <v>2.4038461538461537</v>
      </c>
      <c r="M153" s="17">
        <f t="shared" si="79"/>
        <v>5.6538461538461542</v>
      </c>
      <c r="N153" s="18">
        <f t="shared" si="80"/>
        <v>0.42517006802721086</v>
      </c>
      <c r="O153" s="16">
        <v>49</v>
      </c>
      <c r="P153" s="15">
        <v>97</v>
      </c>
      <c r="Q153" s="17">
        <f t="shared" si="54"/>
        <v>0.94230769230769229</v>
      </c>
      <c r="R153" s="17">
        <f t="shared" si="55"/>
        <v>1.8653846153846154</v>
      </c>
      <c r="S153" s="18">
        <f t="shared" si="56"/>
        <v>0.50515463917525771</v>
      </c>
      <c r="T153" s="15">
        <v>76</v>
      </c>
      <c r="U153" s="15">
        <v>197</v>
      </c>
      <c r="V153" s="17">
        <f t="shared" si="57"/>
        <v>1.4615384615384615</v>
      </c>
      <c r="W153" s="17">
        <f t="shared" si="58"/>
        <v>3.7884615384615383</v>
      </c>
      <c r="X153" s="18">
        <f t="shared" si="59"/>
        <v>0.38578680203045684</v>
      </c>
      <c r="Y153" s="15">
        <v>40</v>
      </c>
      <c r="Z153" s="15">
        <v>51</v>
      </c>
      <c r="AA153" s="17">
        <f t="shared" si="60"/>
        <v>0.76923076923076927</v>
      </c>
      <c r="AB153" s="17">
        <f t="shared" si="61"/>
        <v>0.98076923076923073</v>
      </c>
      <c r="AC153" s="18">
        <f t="shared" si="62"/>
        <v>0.78431372549019607</v>
      </c>
      <c r="AD153" s="15">
        <v>153</v>
      </c>
      <c r="AE153" s="17">
        <f t="shared" si="69"/>
        <v>2.9423076923076925</v>
      </c>
      <c r="AF153" s="15">
        <v>37</v>
      </c>
      <c r="AG153" s="17">
        <f t="shared" si="70"/>
        <v>0.71153846153846156</v>
      </c>
      <c r="AH153" s="15">
        <v>116</v>
      </c>
      <c r="AI153" s="17">
        <f t="shared" si="71"/>
        <v>2.2307692307692308</v>
      </c>
      <c r="AJ153" s="15">
        <v>73</v>
      </c>
      <c r="AK153" s="17">
        <f t="shared" si="72"/>
        <v>1.4038461538461537</v>
      </c>
      <c r="AL153" s="15">
        <v>36</v>
      </c>
      <c r="AM153" s="17">
        <f t="shared" si="73"/>
        <v>0.69230769230769229</v>
      </c>
      <c r="AN153" s="15">
        <v>2</v>
      </c>
      <c r="AO153" s="17">
        <f t="shared" si="74"/>
        <v>3.8461538461538464E-2</v>
      </c>
      <c r="AP153" s="4">
        <v>59</v>
      </c>
      <c r="AQ153" s="17">
        <f t="shared" si="75"/>
        <v>1.1346153846153846</v>
      </c>
      <c r="AR153" s="15">
        <v>137</v>
      </c>
      <c r="AS153" s="17">
        <f t="shared" si="76"/>
        <v>2.6346153846153846</v>
      </c>
      <c r="AT153" s="19">
        <v>1.1068912281664782</v>
      </c>
      <c r="AU153" s="19">
        <v>3.9449642821496107E-2</v>
      </c>
      <c r="AV153" s="19">
        <v>0.61076079823046436</v>
      </c>
      <c r="AW153" s="19">
        <v>0.49613042993601375</v>
      </c>
      <c r="AX153" s="19">
        <v>108.73346999790066</v>
      </c>
      <c r="AY153" s="19">
        <v>115.46347517567644</v>
      </c>
      <c r="AZ153" s="19">
        <v>6.4569197010363606</v>
      </c>
      <c r="BA153" s="19">
        <v>7.5192307692307692</v>
      </c>
      <c r="BB153" s="19">
        <v>13.935253935253938</v>
      </c>
      <c r="BC153" s="18">
        <v>0.57830868411073189</v>
      </c>
      <c r="BD153" s="18">
        <v>0.55442176870748294</v>
      </c>
      <c r="BE153" s="19">
        <v>15.105380892957854</v>
      </c>
      <c r="BF153" s="18">
        <v>0.67006802721088432</v>
      </c>
      <c r="BG153" s="18">
        <v>0.17346938775510204</v>
      </c>
      <c r="BH153" s="19">
        <v>3.4562211981566824</v>
      </c>
      <c r="BI153" s="19">
        <v>10.835720513139869</v>
      </c>
      <c r="BJ153" s="19">
        <v>6.9874845626447399</v>
      </c>
      <c r="BK153" s="19">
        <v>9.3410108765195137</v>
      </c>
      <c r="BL153" s="19">
        <v>1.7713011012700337</v>
      </c>
      <c r="BM153" s="19">
        <v>0.1747554788573176</v>
      </c>
      <c r="BN153" s="19">
        <v>15.71489452375879</v>
      </c>
      <c r="BO153" s="20" t="s">
        <v>257</v>
      </c>
      <c r="BP153" s="21"/>
      <c r="BQ153" s="31" t="s">
        <v>305</v>
      </c>
      <c r="BR153" s="31">
        <v>720.39</v>
      </c>
      <c r="BS153" s="31">
        <v>974.59</v>
      </c>
      <c r="BT153" s="31">
        <v>254.2</v>
      </c>
      <c r="BU153" s="35">
        <f t="shared" si="63"/>
        <v>13.853653846153847</v>
      </c>
      <c r="BV153" s="35">
        <f t="shared" si="64"/>
        <v>18.742115384615385</v>
      </c>
      <c r="BW153" s="35">
        <f t="shared" si="65"/>
        <v>4.888461538461538</v>
      </c>
      <c r="BX153" s="36">
        <f t="shared" si="66"/>
        <v>25.674725274725276</v>
      </c>
      <c r="BY153" s="36">
        <f t="shared" si="67"/>
        <v>34.734422334422334</v>
      </c>
      <c r="BZ153" s="36">
        <f t="shared" si="68"/>
        <v>9.0596970596970596</v>
      </c>
      <c r="CA153" s="31">
        <v>25</v>
      </c>
      <c r="CB153" s="31">
        <v>27</v>
      </c>
    </row>
    <row r="154" spans="1:80" x14ac:dyDescent="0.4">
      <c r="A154" s="11" t="s">
        <v>53</v>
      </c>
      <c r="B154" s="11" t="s">
        <v>280</v>
      </c>
      <c r="C154" s="11" t="s">
        <v>113</v>
      </c>
      <c r="D154" s="15">
        <v>39</v>
      </c>
      <c r="E154" s="15">
        <v>11</v>
      </c>
      <c r="F154" s="15">
        <v>14</v>
      </c>
      <c r="G154" s="16">
        <v>26286</v>
      </c>
      <c r="H154" s="16">
        <v>159</v>
      </c>
      <c r="I154" s="17">
        <f t="shared" si="77"/>
        <v>4.0769230769230766</v>
      </c>
      <c r="J154" s="15">
        <v>56</v>
      </c>
      <c r="K154" s="15">
        <v>114</v>
      </c>
      <c r="L154" s="17">
        <f t="shared" si="78"/>
        <v>1.4358974358974359</v>
      </c>
      <c r="M154" s="17">
        <f t="shared" si="79"/>
        <v>2.9230769230769229</v>
      </c>
      <c r="N154" s="18">
        <f t="shared" si="80"/>
        <v>0.49122807017543857</v>
      </c>
      <c r="O154" s="16">
        <v>55</v>
      </c>
      <c r="P154" s="15">
        <v>112</v>
      </c>
      <c r="Q154" s="17">
        <f t="shared" si="54"/>
        <v>1.4102564102564104</v>
      </c>
      <c r="R154" s="17">
        <f t="shared" si="55"/>
        <v>2.8717948717948718</v>
      </c>
      <c r="S154" s="18">
        <f t="shared" si="56"/>
        <v>0.49107142857142855</v>
      </c>
      <c r="T154" s="15">
        <v>1</v>
      </c>
      <c r="U154" s="15">
        <v>2</v>
      </c>
      <c r="V154" s="17">
        <f t="shared" si="57"/>
        <v>2.564102564102564E-2</v>
      </c>
      <c r="W154" s="17">
        <f t="shared" si="58"/>
        <v>5.128205128205128E-2</v>
      </c>
      <c r="X154" s="18">
        <f t="shared" si="59"/>
        <v>0.5</v>
      </c>
      <c r="Y154" s="15">
        <v>46</v>
      </c>
      <c r="Z154" s="15">
        <v>60</v>
      </c>
      <c r="AA154" s="17">
        <f t="shared" si="60"/>
        <v>1.1794871794871795</v>
      </c>
      <c r="AB154" s="17">
        <f t="shared" si="61"/>
        <v>1.5384615384615385</v>
      </c>
      <c r="AC154" s="18">
        <f t="shared" si="62"/>
        <v>0.76666666666666672</v>
      </c>
      <c r="AD154" s="15">
        <v>96</v>
      </c>
      <c r="AE154" s="17">
        <f t="shared" si="69"/>
        <v>2.4615384615384617</v>
      </c>
      <c r="AF154" s="15">
        <v>40</v>
      </c>
      <c r="AG154" s="17">
        <f t="shared" si="70"/>
        <v>1.0256410256410255</v>
      </c>
      <c r="AH154" s="15">
        <v>56</v>
      </c>
      <c r="AI154" s="17">
        <f t="shared" si="71"/>
        <v>1.4358974358974359</v>
      </c>
      <c r="AJ154" s="15">
        <v>46</v>
      </c>
      <c r="AK154" s="17">
        <f t="shared" si="72"/>
        <v>1.1794871794871795</v>
      </c>
      <c r="AL154" s="15">
        <v>14</v>
      </c>
      <c r="AM154" s="17">
        <f t="shared" si="73"/>
        <v>0.35897435897435898</v>
      </c>
      <c r="AN154" s="15">
        <v>6</v>
      </c>
      <c r="AO154" s="17">
        <f t="shared" si="74"/>
        <v>0.15384615384615385</v>
      </c>
      <c r="AP154" s="4">
        <v>32</v>
      </c>
      <c r="AQ154" s="17">
        <f t="shared" si="75"/>
        <v>0.82051282051282048</v>
      </c>
      <c r="AR154" s="15">
        <v>76</v>
      </c>
      <c r="AS154" s="17">
        <f t="shared" si="76"/>
        <v>1.9487179487179487</v>
      </c>
      <c r="AT154" s="19">
        <v>0.72358295714651399</v>
      </c>
      <c r="AU154" s="19">
        <v>6.6065551896508923E-2</v>
      </c>
      <c r="AV154" s="19">
        <v>0.44671339034669799</v>
      </c>
      <c r="AW154" s="19">
        <v>0.276869566799816</v>
      </c>
      <c r="AX154" s="19">
        <v>111.73638887287349</v>
      </c>
      <c r="AY154" s="19">
        <v>113.68503075145898</v>
      </c>
      <c r="AZ154" s="19">
        <v>6.3242310465284914</v>
      </c>
      <c r="BA154" s="19">
        <v>5.5641025641025639</v>
      </c>
      <c r="BB154" s="19">
        <v>19.812828121433462</v>
      </c>
      <c r="BC154" s="18">
        <v>0.56623931623931623</v>
      </c>
      <c r="BD154" s="18">
        <v>0.49561403508771928</v>
      </c>
      <c r="BE154" s="19">
        <v>13.327180292037893</v>
      </c>
      <c r="BF154" s="18">
        <v>1.7543859649122806E-2</v>
      </c>
      <c r="BG154" s="18">
        <v>0.52631578947368418</v>
      </c>
      <c r="BH154" s="19">
        <v>7.179094476883316</v>
      </c>
      <c r="BI154" s="19">
        <v>10.050732267636642</v>
      </c>
      <c r="BJ154" s="19">
        <v>8.4238482654331186</v>
      </c>
      <c r="BK154" s="19">
        <v>11.063011063011063</v>
      </c>
      <c r="BL154" s="19">
        <v>1.7646823258613979</v>
      </c>
      <c r="BM154" s="19">
        <v>1.0073071741256365</v>
      </c>
      <c r="BN154" s="19">
        <v>18.561484918793504</v>
      </c>
      <c r="BO154" s="20" t="s">
        <v>257</v>
      </c>
      <c r="BP154" s="21">
        <v>330000</v>
      </c>
      <c r="BQ154" s="30" t="s">
        <v>307</v>
      </c>
      <c r="BR154" s="30">
        <v>357.9</v>
      </c>
      <c r="BS154" s="30">
        <v>475</v>
      </c>
      <c r="BT154" s="30">
        <v>117.1</v>
      </c>
      <c r="BU154" s="35">
        <f t="shared" si="63"/>
        <v>9.1769230769230763</v>
      </c>
      <c r="BV154" s="35">
        <f t="shared" si="64"/>
        <v>12.179487179487179</v>
      </c>
      <c r="BW154" s="35">
        <f t="shared" si="65"/>
        <v>3.0025641025641026</v>
      </c>
      <c r="BX154" s="36">
        <f t="shared" si="66"/>
        <v>32.677470897055464</v>
      </c>
      <c r="BY154" s="36">
        <f t="shared" si="67"/>
        <v>43.369093814197669</v>
      </c>
      <c r="BZ154" s="36">
        <f t="shared" si="68"/>
        <v>10.691622917142205</v>
      </c>
      <c r="CA154" s="30">
        <v>20</v>
      </c>
      <c r="CB154" s="30">
        <v>19</v>
      </c>
    </row>
    <row r="155" spans="1:80" x14ac:dyDescent="0.4">
      <c r="A155" s="11" t="s">
        <v>53</v>
      </c>
      <c r="B155" s="11" t="s">
        <v>280</v>
      </c>
      <c r="C155" s="11" t="s">
        <v>118</v>
      </c>
      <c r="D155" s="15">
        <v>43</v>
      </c>
      <c r="E155" s="15">
        <v>22</v>
      </c>
      <c r="F155" s="15">
        <v>18</v>
      </c>
      <c r="G155" s="16">
        <v>57534</v>
      </c>
      <c r="H155" s="16">
        <v>221</v>
      </c>
      <c r="I155" s="17">
        <f t="shared" si="77"/>
        <v>5.1395348837209305</v>
      </c>
      <c r="J155" s="15">
        <v>82</v>
      </c>
      <c r="K155" s="15">
        <v>207</v>
      </c>
      <c r="L155" s="17">
        <f t="shared" si="78"/>
        <v>1.9069767441860466</v>
      </c>
      <c r="M155" s="17">
        <f t="shared" si="79"/>
        <v>4.8139534883720927</v>
      </c>
      <c r="N155" s="18">
        <f t="shared" si="80"/>
        <v>0.39613526570048307</v>
      </c>
      <c r="O155" s="16">
        <v>42</v>
      </c>
      <c r="P155" s="15">
        <v>82</v>
      </c>
      <c r="Q155" s="17">
        <f t="shared" si="54"/>
        <v>0.97674418604651159</v>
      </c>
      <c r="R155" s="17">
        <f t="shared" si="55"/>
        <v>1.9069767441860466</v>
      </c>
      <c r="S155" s="18">
        <f t="shared" si="56"/>
        <v>0.51219512195121952</v>
      </c>
      <c r="T155" s="15">
        <v>40</v>
      </c>
      <c r="U155" s="15">
        <v>125</v>
      </c>
      <c r="V155" s="17">
        <f t="shared" si="57"/>
        <v>0.93023255813953487</v>
      </c>
      <c r="W155" s="17">
        <f t="shared" si="58"/>
        <v>2.9069767441860463</v>
      </c>
      <c r="X155" s="18">
        <f t="shared" si="59"/>
        <v>0.32</v>
      </c>
      <c r="Y155" s="15">
        <v>17</v>
      </c>
      <c r="Z155" s="15">
        <v>20</v>
      </c>
      <c r="AA155" s="17">
        <f t="shared" si="60"/>
        <v>0.39534883720930231</v>
      </c>
      <c r="AB155" s="17">
        <f t="shared" si="61"/>
        <v>0.46511627906976744</v>
      </c>
      <c r="AC155" s="18">
        <f t="shared" si="62"/>
        <v>0.85</v>
      </c>
      <c r="AD155" s="15">
        <v>77</v>
      </c>
      <c r="AE155" s="17">
        <f t="shared" si="69"/>
        <v>1.7906976744186047</v>
      </c>
      <c r="AF155" s="15">
        <v>18</v>
      </c>
      <c r="AG155" s="17">
        <f t="shared" si="70"/>
        <v>0.41860465116279072</v>
      </c>
      <c r="AH155" s="15">
        <v>59</v>
      </c>
      <c r="AI155" s="17">
        <f t="shared" si="71"/>
        <v>1.3720930232558139</v>
      </c>
      <c r="AJ155" s="15">
        <v>123</v>
      </c>
      <c r="AK155" s="17">
        <f t="shared" si="72"/>
        <v>2.86046511627907</v>
      </c>
      <c r="AL155" s="15">
        <v>19</v>
      </c>
      <c r="AM155" s="17">
        <f t="shared" si="73"/>
        <v>0.44186046511627908</v>
      </c>
      <c r="AN155" s="15">
        <v>0</v>
      </c>
      <c r="AO155" s="17">
        <f t="shared" si="74"/>
        <v>0</v>
      </c>
      <c r="AP155" s="4">
        <v>41</v>
      </c>
      <c r="AQ155" s="17">
        <f t="shared" si="75"/>
        <v>0.95348837209302328</v>
      </c>
      <c r="AR155" s="15">
        <v>93</v>
      </c>
      <c r="AS155" s="17">
        <f t="shared" si="76"/>
        <v>2.1627906976744184</v>
      </c>
      <c r="AT155" s="19">
        <v>0.52360620206899933</v>
      </c>
      <c r="AU155" s="19">
        <v>2.1841952323245359E-2</v>
      </c>
      <c r="AV155" s="19">
        <v>0.43708676399816543</v>
      </c>
      <c r="AW155" s="19">
        <v>8.6519438070833926E-2</v>
      </c>
      <c r="AX155" s="19">
        <v>108.51415112784169</v>
      </c>
      <c r="AY155" s="19">
        <v>118.75793233992783</v>
      </c>
      <c r="AZ155" s="19">
        <v>4.2234750555761229</v>
      </c>
      <c r="BA155" s="19">
        <v>6.3023255813953485</v>
      </c>
      <c r="BB155" s="19">
        <v>11.304619876942329</v>
      </c>
      <c r="BC155" s="18">
        <v>0.51204819277108427</v>
      </c>
      <c r="BD155" s="18">
        <v>0.49275362318840582</v>
      </c>
      <c r="BE155" s="19">
        <v>9.9999957165127391</v>
      </c>
      <c r="BF155" s="18">
        <v>0.60386473429951693</v>
      </c>
      <c r="BG155" s="18">
        <v>9.6618357487922704E-2</v>
      </c>
      <c r="BH155" s="19">
        <v>1.6273687255894693</v>
      </c>
      <c r="BI155" s="19">
        <v>5.3341530449877039</v>
      </c>
      <c r="BJ155" s="19">
        <v>3.4035631327809543</v>
      </c>
      <c r="BK155" s="19">
        <v>14.392698338403932</v>
      </c>
      <c r="BL155" s="19">
        <v>1.0941882225345776</v>
      </c>
      <c r="BM155" s="19">
        <v>0</v>
      </c>
      <c r="BN155" s="19">
        <v>15.965732087227414</v>
      </c>
      <c r="BO155" s="20" t="s">
        <v>257</v>
      </c>
      <c r="BP155" s="21">
        <v>40000</v>
      </c>
      <c r="BQ155" s="31" t="s">
        <v>306</v>
      </c>
      <c r="BR155" s="31">
        <v>572.85</v>
      </c>
      <c r="BS155" s="31">
        <v>753.25</v>
      </c>
      <c r="BT155" s="31">
        <v>180.4</v>
      </c>
      <c r="BU155" s="35">
        <f t="shared" si="63"/>
        <v>13.322093023255814</v>
      </c>
      <c r="BV155" s="35">
        <f t="shared" si="64"/>
        <v>17.517441860465116</v>
      </c>
      <c r="BW155" s="35">
        <f t="shared" si="65"/>
        <v>4.1953488372093029</v>
      </c>
      <c r="BX155" s="36">
        <f t="shared" si="66"/>
        <v>23.896130983418502</v>
      </c>
      <c r="BY155" s="36">
        <f t="shared" si="67"/>
        <v>31.421420377515904</v>
      </c>
      <c r="BZ155" s="36">
        <f t="shared" si="68"/>
        <v>7.5252893940974035</v>
      </c>
      <c r="CA155" s="30">
        <v>21</v>
      </c>
      <c r="CB155" s="30">
        <v>22</v>
      </c>
    </row>
    <row r="156" spans="1:80" x14ac:dyDescent="0.4">
      <c r="A156" s="11" t="s">
        <v>53</v>
      </c>
      <c r="B156" s="11" t="s">
        <v>280</v>
      </c>
      <c r="C156" s="11" t="s">
        <v>120</v>
      </c>
      <c r="D156" s="15">
        <v>39</v>
      </c>
      <c r="E156" s="15">
        <v>14</v>
      </c>
      <c r="F156" s="15">
        <v>6</v>
      </c>
      <c r="G156" s="16">
        <v>32994</v>
      </c>
      <c r="H156" s="16">
        <v>101</v>
      </c>
      <c r="I156" s="17">
        <f t="shared" si="77"/>
        <v>2.5897435897435899</v>
      </c>
      <c r="J156" s="15">
        <v>37</v>
      </c>
      <c r="K156" s="15">
        <v>113</v>
      </c>
      <c r="L156" s="17">
        <f t="shared" si="78"/>
        <v>0.94871794871794868</v>
      </c>
      <c r="M156" s="17">
        <f t="shared" si="79"/>
        <v>2.8974358974358974</v>
      </c>
      <c r="N156" s="18">
        <f t="shared" si="80"/>
        <v>0.32743362831858408</v>
      </c>
      <c r="O156" s="16">
        <v>20</v>
      </c>
      <c r="P156" s="15">
        <v>60</v>
      </c>
      <c r="Q156" s="17">
        <f t="shared" si="54"/>
        <v>0.51282051282051277</v>
      </c>
      <c r="R156" s="17">
        <f t="shared" si="55"/>
        <v>1.5384615384615385</v>
      </c>
      <c r="S156" s="18">
        <f t="shared" si="56"/>
        <v>0.33333333333333331</v>
      </c>
      <c r="T156" s="15">
        <v>17</v>
      </c>
      <c r="U156" s="15">
        <v>53</v>
      </c>
      <c r="V156" s="17">
        <f t="shared" si="57"/>
        <v>0.4358974358974359</v>
      </c>
      <c r="W156" s="17">
        <f t="shared" si="58"/>
        <v>1.358974358974359</v>
      </c>
      <c r="X156" s="18">
        <f t="shared" si="59"/>
        <v>0.32075471698113206</v>
      </c>
      <c r="Y156" s="15">
        <v>10</v>
      </c>
      <c r="Z156" s="15">
        <v>17</v>
      </c>
      <c r="AA156" s="17">
        <f t="shared" si="60"/>
        <v>0.25641025641025639</v>
      </c>
      <c r="AB156" s="17">
        <f t="shared" si="61"/>
        <v>0.4358974358974359</v>
      </c>
      <c r="AC156" s="18">
        <f t="shared" si="62"/>
        <v>0.58823529411764708</v>
      </c>
      <c r="AD156" s="15">
        <v>45</v>
      </c>
      <c r="AE156" s="17">
        <f t="shared" si="69"/>
        <v>1.1538461538461537</v>
      </c>
      <c r="AF156" s="15">
        <v>12</v>
      </c>
      <c r="AG156" s="17">
        <f t="shared" si="70"/>
        <v>0.30769230769230771</v>
      </c>
      <c r="AH156" s="15">
        <v>33</v>
      </c>
      <c r="AI156" s="17">
        <f t="shared" si="71"/>
        <v>0.84615384615384615</v>
      </c>
      <c r="AJ156" s="15">
        <v>48</v>
      </c>
      <c r="AK156" s="17">
        <f t="shared" si="72"/>
        <v>1.2307692307692308</v>
      </c>
      <c r="AL156" s="15">
        <v>22</v>
      </c>
      <c r="AM156" s="17">
        <f t="shared" si="73"/>
        <v>0.5641025641025641</v>
      </c>
      <c r="AN156" s="15">
        <v>2</v>
      </c>
      <c r="AO156" s="17">
        <f t="shared" si="74"/>
        <v>5.128205128205128E-2</v>
      </c>
      <c r="AP156" s="4">
        <v>28</v>
      </c>
      <c r="AQ156" s="17">
        <f t="shared" si="75"/>
        <v>0.71794871794871795</v>
      </c>
      <c r="AR156" s="15">
        <v>59</v>
      </c>
      <c r="AS156" s="17">
        <f t="shared" si="76"/>
        <v>1.5128205128205128</v>
      </c>
      <c r="AT156" s="19">
        <v>-0.30668091343261777</v>
      </c>
      <c r="AU156" s="19">
        <v>-2.2308122453727423E-2</v>
      </c>
      <c r="AV156" s="19">
        <v>-0.50487445518074592</v>
      </c>
      <c r="AW156" s="19">
        <v>0.19819354174812814</v>
      </c>
      <c r="AX156" s="19">
        <v>88.27278259719526</v>
      </c>
      <c r="AY156" s="19">
        <v>116.2279003346648</v>
      </c>
      <c r="AZ156" s="19">
        <v>1.8901071527823978</v>
      </c>
      <c r="BA156" s="19">
        <v>2.7435897435897436</v>
      </c>
      <c r="BB156" s="19">
        <v>7.7832333151482089</v>
      </c>
      <c r="BC156" s="18">
        <v>0.41915670650730408</v>
      </c>
      <c r="BD156" s="18">
        <v>0.40265486725663718</v>
      </c>
      <c r="BE156" s="19">
        <v>9.1444692497205651</v>
      </c>
      <c r="BF156" s="18">
        <v>0.46902654867256638</v>
      </c>
      <c r="BG156" s="18">
        <v>0.15044247787610621</v>
      </c>
      <c r="BH156" s="19">
        <v>1.7158544955387784</v>
      </c>
      <c r="BI156" s="19">
        <v>4.718599862731641</v>
      </c>
      <c r="BJ156" s="19">
        <v>3.1458741860050545</v>
      </c>
      <c r="BK156" s="19">
        <v>8.6455331412103753</v>
      </c>
      <c r="BL156" s="19">
        <v>2.2092797642580893</v>
      </c>
      <c r="BM156" s="19">
        <v>0.26750395404282074</v>
      </c>
      <c r="BN156" s="19">
        <v>18.857758620689651</v>
      </c>
      <c r="BO156" s="20" t="s">
        <v>257</v>
      </c>
      <c r="BP156" s="21"/>
      <c r="BQ156" s="31" t="s">
        <v>306</v>
      </c>
      <c r="BR156" s="31">
        <v>271.41000000000003</v>
      </c>
      <c r="BS156" s="31">
        <v>391.41</v>
      </c>
      <c r="BT156" s="31">
        <v>120</v>
      </c>
      <c r="BU156" s="35">
        <f t="shared" si="63"/>
        <v>6.9592307692307696</v>
      </c>
      <c r="BV156" s="35">
        <f t="shared" si="64"/>
        <v>10.036153846153846</v>
      </c>
      <c r="BW156" s="35">
        <f t="shared" si="65"/>
        <v>3.0769230769230771</v>
      </c>
      <c r="BX156" s="36">
        <f t="shared" si="66"/>
        <v>19.742498636115663</v>
      </c>
      <c r="BY156" s="36">
        <f t="shared" si="67"/>
        <v>28.471358428805242</v>
      </c>
      <c r="BZ156" s="36">
        <f t="shared" si="68"/>
        <v>8.7288597926895797</v>
      </c>
      <c r="CA156" s="31">
        <v>19</v>
      </c>
      <c r="CB156" s="31">
        <v>20</v>
      </c>
    </row>
    <row r="157" spans="1:80" x14ac:dyDescent="0.4">
      <c r="A157" s="11" t="s">
        <v>53</v>
      </c>
      <c r="B157" s="11" t="s">
        <v>280</v>
      </c>
      <c r="C157" s="11" t="s">
        <v>121</v>
      </c>
      <c r="D157" s="15">
        <v>6</v>
      </c>
      <c r="E157" s="15">
        <v>3</v>
      </c>
      <c r="F157" s="15">
        <v>28</v>
      </c>
      <c r="G157" s="16">
        <v>1248</v>
      </c>
      <c r="H157" s="16">
        <v>8</v>
      </c>
      <c r="I157" s="17">
        <f t="shared" si="77"/>
        <v>1.3333333333333333</v>
      </c>
      <c r="J157" s="15">
        <v>4</v>
      </c>
      <c r="K157" s="15">
        <v>8</v>
      </c>
      <c r="L157" s="17">
        <f t="shared" si="78"/>
        <v>0.66666666666666663</v>
      </c>
      <c r="M157" s="17">
        <f t="shared" si="79"/>
        <v>1.3333333333333333</v>
      </c>
      <c r="N157" s="18">
        <f t="shared" si="80"/>
        <v>0.5</v>
      </c>
      <c r="O157" s="16">
        <v>4</v>
      </c>
      <c r="P157" s="15">
        <v>5</v>
      </c>
      <c r="Q157" s="17">
        <f t="shared" si="54"/>
        <v>0.66666666666666663</v>
      </c>
      <c r="R157" s="17">
        <f t="shared" si="55"/>
        <v>0.83333333333333337</v>
      </c>
      <c r="S157" s="18">
        <f t="shared" si="56"/>
        <v>0.8</v>
      </c>
      <c r="T157" s="15">
        <v>0</v>
      </c>
      <c r="U157" s="15">
        <v>3</v>
      </c>
      <c r="V157" s="17">
        <f t="shared" si="57"/>
        <v>0</v>
      </c>
      <c r="W157" s="17">
        <f t="shared" si="58"/>
        <v>0.5</v>
      </c>
      <c r="X157" s="18">
        <f t="shared" si="59"/>
        <v>0</v>
      </c>
      <c r="Y157" s="15">
        <v>0</v>
      </c>
      <c r="Z157" s="15">
        <v>0</v>
      </c>
      <c r="AA157" s="17">
        <f t="shared" si="60"/>
        <v>0</v>
      </c>
      <c r="AB157" s="17">
        <f t="shared" si="61"/>
        <v>0</v>
      </c>
      <c r="AC157" s="18" t="e">
        <f t="shared" si="62"/>
        <v>#DIV/0!</v>
      </c>
      <c r="AD157" s="15">
        <v>7</v>
      </c>
      <c r="AE157" s="17">
        <f t="shared" si="69"/>
        <v>1.1666666666666667</v>
      </c>
      <c r="AF157" s="15">
        <v>5</v>
      </c>
      <c r="AG157" s="17">
        <f t="shared" si="70"/>
        <v>0.83333333333333337</v>
      </c>
      <c r="AH157" s="15">
        <v>2</v>
      </c>
      <c r="AI157" s="17">
        <f t="shared" si="71"/>
        <v>0.33333333333333331</v>
      </c>
      <c r="AJ157" s="15">
        <v>3</v>
      </c>
      <c r="AK157" s="17">
        <f t="shared" si="72"/>
        <v>0.5</v>
      </c>
      <c r="AL157" s="15">
        <v>2</v>
      </c>
      <c r="AM157" s="17">
        <f t="shared" si="73"/>
        <v>0.33333333333333331</v>
      </c>
      <c r="AN157" s="15">
        <v>0</v>
      </c>
      <c r="AO157" s="17">
        <f t="shared" si="74"/>
        <v>0</v>
      </c>
      <c r="AP157" s="4">
        <v>1</v>
      </c>
      <c r="AQ157" s="17">
        <f t="shared" si="75"/>
        <v>0.16666666666666666</v>
      </c>
      <c r="AR157" s="15">
        <v>4</v>
      </c>
      <c r="AS157" s="17">
        <f t="shared" si="76"/>
        <v>0.66666666666666663</v>
      </c>
      <c r="AT157" s="19">
        <v>7.2168654164566415E-2</v>
      </c>
      <c r="AU157" s="19">
        <v>0.13878587339339696</v>
      </c>
      <c r="AV157" s="19">
        <v>4.6628365581523862E-2</v>
      </c>
      <c r="AW157" s="19">
        <v>2.5540288583042556E-2</v>
      </c>
      <c r="AX157" s="19">
        <v>120.11497613179465</v>
      </c>
      <c r="AY157" s="19">
        <v>108.10488351690876</v>
      </c>
      <c r="AZ157" s="19">
        <v>1.9123550145115633</v>
      </c>
      <c r="BA157" s="19">
        <v>2.5</v>
      </c>
      <c r="BB157" s="19">
        <v>28.846153846153847</v>
      </c>
      <c r="BC157" s="18">
        <v>0.5</v>
      </c>
      <c r="BD157" s="18">
        <v>0.5</v>
      </c>
      <c r="BE157" s="19">
        <v>2.2544472729871794</v>
      </c>
      <c r="BF157" s="18">
        <v>0.375</v>
      </c>
      <c r="BG157" s="18">
        <v>0</v>
      </c>
      <c r="BH157" s="19">
        <v>2.9078784119106702</v>
      </c>
      <c r="BI157" s="19">
        <v>1.1631513647642679</v>
      </c>
      <c r="BJ157" s="19">
        <v>1.990370398453198</v>
      </c>
      <c r="BK157" s="19">
        <v>2.1186440677966103</v>
      </c>
      <c r="BL157" s="19">
        <v>5.3098030697793845</v>
      </c>
      <c r="BM157" s="19">
        <v>0</v>
      </c>
      <c r="BN157" s="19">
        <v>11.111111111111111</v>
      </c>
      <c r="BO157" s="20" t="s">
        <v>257</v>
      </c>
      <c r="BP157" s="21"/>
      <c r="BQ157" s="30" t="s">
        <v>307</v>
      </c>
      <c r="BR157" s="30">
        <v>24</v>
      </c>
      <c r="BS157" s="30">
        <v>29.2</v>
      </c>
      <c r="BT157" s="30">
        <v>5.2</v>
      </c>
      <c r="BU157" s="35">
        <f t="shared" si="63"/>
        <v>3.9999999999999996</v>
      </c>
      <c r="BV157" s="35">
        <f t="shared" si="64"/>
        <v>4.8666666666666663</v>
      </c>
      <c r="BW157" s="35">
        <f t="shared" si="65"/>
        <v>0.8666666666666667</v>
      </c>
      <c r="BX157" s="36">
        <f t="shared" si="66"/>
        <v>46.153846153846153</v>
      </c>
      <c r="BY157" s="36">
        <f t="shared" si="67"/>
        <v>56.153846153846153</v>
      </c>
      <c r="BZ157" s="36">
        <f t="shared" si="68"/>
        <v>10</v>
      </c>
      <c r="CA157" s="30">
        <v>1</v>
      </c>
      <c r="CB157" s="30">
        <v>5</v>
      </c>
    </row>
    <row r="158" spans="1:80" x14ac:dyDescent="0.4">
      <c r="A158" s="11" t="s">
        <v>53</v>
      </c>
      <c r="B158" s="11" t="s">
        <v>280</v>
      </c>
      <c r="C158" s="11" t="s">
        <v>122</v>
      </c>
      <c r="D158" s="15">
        <v>24</v>
      </c>
      <c r="E158" s="15">
        <v>4</v>
      </c>
      <c r="F158" s="15">
        <v>33</v>
      </c>
      <c r="G158" s="16">
        <v>6552</v>
      </c>
      <c r="H158" s="16">
        <v>34</v>
      </c>
      <c r="I158" s="17">
        <f t="shared" si="77"/>
        <v>1.4166666666666667</v>
      </c>
      <c r="J158" s="15">
        <v>13</v>
      </c>
      <c r="K158" s="15">
        <v>27</v>
      </c>
      <c r="L158" s="17">
        <f t="shared" si="78"/>
        <v>0.54166666666666663</v>
      </c>
      <c r="M158" s="17">
        <f t="shared" si="79"/>
        <v>1.125</v>
      </c>
      <c r="N158" s="18">
        <f t="shared" si="80"/>
        <v>0.48148148148148145</v>
      </c>
      <c r="O158" s="16">
        <v>8</v>
      </c>
      <c r="P158" s="15">
        <v>12</v>
      </c>
      <c r="Q158" s="17">
        <f t="shared" si="54"/>
        <v>0.33333333333333331</v>
      </c>
      <c r="R158" s="17">
        <f t="shared" si="55"/>
        <v>0.5</v>
      </c>
      <c r="S158" s="18">
        <f t="shared" si="56"/>
        <v>0.66666666666666663</v>
      </c>
      <c r="T158" s="15">
        <v>5</v>
      </c>
      <c r="U158" s="15">
        <v>15</v>
      </c>
      <c r="V158" s="17">
        <f t="shared" si="57"/>
        <v>0.20833333333333334</v>
      </c>
      <c r="W158" s="17">
        <f t="shared" si="58"/>
        <v>0.625</v>
      </c>
      <c r="X158" s="18">
        <f t="shared" si="59"/>
        <v>0.33333333333333331</v>
      </c>
      <c r="Y158" s="15">
        <v>3</v>
      </c>
      <c r="Z158" s="15">
        <v>3</v>
      </c>
      <c r="AA158" s="17">
        <f t="shared" si="60"/>
        <v>0.125</v>
      </c>
      <c r="AB158" s="17">
        <f t="shared" si="61"/>
        <v>0.125</v>
      </c>
      <c r="AC158" s="18">
        <f t="shared" si="62"/>
        <v>1</v>
      </c>
      <c r="AD158" s="15">
        <v>9</v>
      </c>
      <c r="AE158" s="17">
        <f t="shared" si="69"/>
        <v>0.375</v>
      </c>
      <c r="AF158" s="15">
        <v>3</v>
      </c>
      <c r="AG158" s="17">
        <f t="shared" si="70"/>
        <v>0.125</v>
      </c>
      <c r="AH158" s="15">
        <v>6</v>
      </c>
      <c r="AI158" s="17">
        <f t="shared" si="71"/>
        <v>0.25</v>
      </c>
      <c r="AJ158" s="15">
        <v>9</v>
      </c>
      <c r="AK158" s="17">
        <f t="shared" si="72"/>
        <v>0.375</v>
      </c>
      <c r="AL158" s="15">
        <v>4</v>
      </c>
      <c r="AM158" s="17">
        <f t="shared" si="73"/>
        <v>0.16666666666666666</v>
      </c>
      <c r="AN158" s="15">
        <v>0</v>
      </c>
      <c r="AO158" s="17">
        <f t="shared" si="74"/>
        <v>0</v>
      </c>
      <c r="AP158" s="4">
        <v>3</v>
      </c>
      <c r="AQ158" s="17">
        <f t="shared" si="75"/>
        <v>0.125</v>
      </c>
      <c r="AR158" s="15">
        <v>8</v>
      </c>
      <c r="AS158" s="17">
        <f t="shared" si="76"/>
        <v>0.33333333333333331</v>
      </c>
      <c r="AT158" s="19">
        <v>0.19292174126697831</v>
      </c>
      <c r="AU158" s="19">
        <v>7.0667304493398642E-2</v>
      </c>
      <c r="AV158" s="19">
        <v>0.16417694795346352</v>
      </c>
      <c r="AW158" s="19">
        <v>2.8744793313514778E-2</v>
      </c>
      <c r="AX158" s="19">
        <v>123.80974108664553</v>
      </c>
      <c r="AY158" s="19">
        <v>117.13794824768883</v>
      </c>
      <c r="AZ158" s="19">
        <v>4.0300592815134477</v>
      </c>
      <c r="BA158" s="19">
        <v>1.625</v>
      </c>
      <c r="BB158" s="19">
        <v>14.285714285714286</v>
      </c>
      <c r="BC158" s="18">
        <v>0.60028248587570621</v>
      </c>
      <c r="BD158" s="18">
        <v>0.57407407407407407</v>
      </c>
      <c r="BE158" s="19">
        <v>5.9775059123774357</v>
      </c>
      <c r="BF158" s="18">
        <v>0.55555555555555558</v>
      </c>
      <c r="BG158" s="18">
        <v>0.1111111111111111</v>
      </c>
      <c r="BH158" s="19">
        <v>1.3293158454448777</v>
      </c>
      <c r="BI158" s="19">
        <v>2.6586316908897554</v>
      </c>
      <c r="BJ158" s="19">
        <v>1.9497505944031326</v>
      </c>
      <c r="BK158" s="19">
        <v>5.0533408197641778</v>
      </c>
      <c r="BL158" s="19">
        <v>2.0227821218207183</v>
      </c>
      <c r="BM158" s="19">
        <v>0</v>
      </c>
      <c r="BN158" s="19">
        <v>9.5785440613026811</v>
      </c>
      <c r="BO158" s="20" t="s">
        <v>257</v>
      </c>
      <c r="BP158" s="21">
        <v>750000</v>
      </c>
      <c r="BQ158" s="31" t="s">
        <v>306</v>
      </c>
      <c r="BR158" s="31">
        <v>73.3</v>
      </c>
      <c r="BS158" s="31">
        <v>90.8</v>
      </c>
      <c r="BT158" s="31">
        <v>17.5</v>
      </c>
      <c r="BU158" s="35">
        <f t="shared" si="63"/>
        <v>3.0541666666666667</v>
      </c>
      <c r="BV158" s="35">
        <f t="shared" si="64"/>
        <v>3.7833333333333332</v>
      </c>
      <c r="BW158" s="35">
        <f t="shared" si="65"/>
        <v>0.72916666666666663</v>
      </c>
      <c r="BX158" s="36">
        <f t="shared" si="66"/>
        <v>26.849816849816854</v>
      </c>
      <c r="BY158" s="36">
        <f t="shared" si="67"/>
        <v>33.260073260073263</v>
      </c>
      <c r="BZ158" s="36">
        <f t="shared" si="68"/>
        <v>6.4102564102564106</v>
      </c>
      <c r="CA158" s="31">
        <v>11</v>
      </c>
      <c r="CB158" s="31">
        <v>13</v>
      </c>
    </row>
    <row r="159" spans="1:80" x14ac:dyDescent="0.4">
      <c r="A159" s="11" t="s">
        <v>53</v>
      </c>
      <c r="B159" s="11" t="s">
        <v>280</v>
      </c>
      <c r="C159" s="11" t="s">
        <v>119</v>
      </c>
      <c r="D159" s="15">
        <v>21</v>
      </c>
      <c r="E159" s="15">
        <v>23</v>
      </c>
      <c r="F159" s="15">
        <v>18</v>
      </c>
      <c r="G159" s="16">
        <v>29358</v>
      </c>
      <c r="H159" s="16">
        <v>199</v>
      </c>
      <c r="I159" s="17">
        <f t="shared" si="77"/>
        <v>9.4761904761904763</v>
      </c>
      <c r="J159" s="15">
        <v>75</v>
      </c>
      <c r="K159" s="15">
        <v>187</v>
      </c>
      <c r="L159" s="17">
        <f t="shared" si="78"/>
        <v>3.5714285714285716</v>
      </c>
      <c r="M159" s="17">
        <f t="shared" si="79"/>
        <v>8.9047619047619051</v>
      </c>
      <c r="N159" s="18">
        <f t="shared" si="80"/>
        <v>0.40106951871657753</v>
      </c>
      <c r="O159" s="16">
        <v>49</v>
      </c>
      <c r="P159" s="15">
        <v>96</v>
      </c>
      <c r="Q159" s="17">
        <f t="shared" si="54"/>
        <v>2.3333333333333335</v>
      </c>
      <c r="R159" s="17">
        <f t="shared" si="55"/>
        <v>4.5714285714285712</v>
      </c>
      <c r="S159" s="18">
        <f t="shared" si="56"/>
        <v>0.51041666666666663</v>
      </c>
      <c r="T159" s="15">
        <v>26</v>
      </c>
      <c r="U159" s="15">
        <v>91</v>
      </c>
      <c r="V159" s="17">
        <f t="shared" si="57"/>
        <v>1.2380952380952381</v>
      </c>
      <c r="W159" s="17">
        <f t="shared" si="58"/>
        <v>4.333333333333333</v>
      </c>
      <c r="X159" s="18">
        <f t="shared" si="59"/>
        <v>0.2857142857142857</v>
      </c>
      <c r="Y159" s="15">
        <v>23</v>
      </c>
      <c r="Z159" s="15">
        <v>33</v>
      </c>
      <c r="AA159" s="17">
        <f t="shared" si="60"/>
        <v>1.0952380952380953</v>
      </c>
      <c r="AB159" s="17">
        <f t="shared" si="61"/>
        <v>1.5714285714285714</v>
      </c>
      <c r="AC159" s="18">
        <f t="shared" si="62"/>
        <v>0.69696969696969702</v>
      </c>
      <c r="AD159" s="15">
        <v>45</v>
      </c>
      <c r="AE159" s="17">
        <f t="shared" si="69"/>
        <v>2.1428571428571428</v>
      </c>
      <c r="AF159" s="15">
        <v>13</v>
      </c>
      <c r="AG159" s="17">
        <f t="shared" si="70"/>
        <v>0.61904761904761907</v>
      </c>
      <c r="AH159" s="15">
        <v>32</v>
      </c>
      <c r="AI159" s="17">
        <f t="shared" si="71"/>
        <v>1.5238095238095237</v>
      </c>
      <c r="AJ159" s="15">
        <v>79</v>
      </c>
      <c r="AK159" s="17">
        <f t="shared" si="72"/>
        <v>3.7619047619047619</v>
      </c>
      <c r="AL159" s="15">
        <v>9</v>
      </c>
      <c r="AM159" s="17">
        <f t="shared" si="73"/>
        <v>0.42857142857142855</v>
      </c>
      <c r="AN159" s="15">
        <v>6</v>
      </c>
      <c r="AO159" s="17">
        <f t="shared" si="74"/>
        <v>0.2857142857142857</v>
      </c>
      <c r="AP159" s="4">
        <v>35</v>
      </c>
      <c r="AQ159" s="17">
        <f t="shared" si="75"/>
        <v>1.6666666666666667</v>
      </c>
      <c r="AR159" s="15">
        <v>41</v>
      </c>
      <c r="AS159" s="17">
        <f t="shared" si="76"/>
        <v>1.9523809523809523</v>
      </c>
      <c r="AT159" s="19">
        <v>0.1222043365522572</v>
      </c>
      <c r="AU159" s="19">
        <v>9.9901358309631878E-3</v>
      </c>
      <c r="AV159" s="19">
        <v>4.71046724791057E-2</v>
      </c>
      <c r="AW159" s="19">
        <v>7.5099664073151495E-2</v>
      </c>
      <c r="AX159" s="19">
        <v>102.69169347650131</v>
      </c>
      <c r="AY159" s="19">
        <v>118.16560791552132</v>
      </c>
      <c r="AZ159" s="19">
        <v>3.2025399865614013</v>
      </c>
      <c r="BA159" s="19">
        <v>8.6190476190476186</v>
      </c>
      <c r="BB159" s="19">
        <v>14.796648273043122</v>
      </c>
      <c r="BC159" s="18">
        <v>0.49374751885668916</v>
      </c>
      <c r="BD159" s="18">
        <v>0.47058823529411764</v>
      </c>
      <c r="BE159" s="19">
        <v>8.814985594773562</v>
      </c>
      <c r="BF159" s="18">
        <v>0.48663101604278075</v>
      </c>
      <c r="BG159" s="18">
        <v>0.17647058823529413</v>
      </c>
      <c r="BH159" s="19">
        <v>1.1248788591997785</v>
      </c>
      <c r="BI159" s="19">
        <v>2.7689325764917623</v>
      </c>
      <c r="BJ159" s="19">
        <v>1.903726438741256</v>
      </c>
      <c r="BK159" s="19">
        <v>8.7428065515714923</v>
      </c>
      <c r="BL159" s="19">
        <v>1.0157317950773561</v>
      </c>
      <c r="BM159" s="19">
        <v>0.48564022557988473</v>
      </c>
      <c r="BN159" s="19">
        <v>14.797902925756807</v>
      </c>
      <c r="BO159" s="20" t="s">
        <v>244</v>
      </c>
      <c r="BP159" s="21">
        <v>60000</v>
      </c>
      <c r="BQ159" s="31" t="s">
        <v>306</v>
      </c>
      <c r="BR159" s="31">
        <v>344.78</v>
      </c>
      <c r="BS159" s="31">
        <v>510.78</v>
      </c>
      <c r="BT159" s="31">
        <v>166</v>
      </c>
      <c r="BU159" s="35">
        <f t="shared" si="63"/>
        <v>16.418095238095237</v>
      </c>
      <c r="BV159" s="35">
        <f t="shared" si="64"/>
        <v>24.322857142857142</v>
      </c>
      <c r="BW159" s="35">
        <f t="shared" si="65"/>
        <v>7.9047619047619051</v>
      </c>
      <c r="BX159" s="36">
        <f t="shared" si="66"/>
        <v>28.185571224197837</v>
      </c>
      <c r="BY159" s="36">
        <f t="shared" si="67"/>
        <v>41.755977927651749</v>
      </c>
      <c r="BZ159" s="36">
        <f t="shared" si="68"/>
        <v>13.570406703453914</v>
      </c>
      <c r="CA159" s="30">
        <v>11</v>
      </c>
      <c r="CB159" s="30">
        <v>10</v>
      </c>
    </row>
    <row r="160" spans="1:80" x14ac:dyDescent="0.4">
      <c r="A160" s="11" t="s">
        <v>53</v>
      </c>
      <c r="B160" s="11" t="s">
        <v>280</v>
      </c>
      <c r="C160" s="11" t="s">
        <v>115</v>
      </c>
      <c r="D160" s="15">
        <v>32</v>
      </c>
      <c r="E160" s="15">
        <v>24</v>
      </c>
      <c r="F160" s="15">
        <v>32</v>
      </c>
      <c r="G160" s="16">
        <v>47104</v>
      </c>
      <c r="H160" s="16">
        <v>292</v>
      </c>
      <c r="I160" s="17">
        <f t="shared" si="77"/>
        <v>9.125</v>
      </c>
      <c r="J160" s="15">
        <v>108</v>
      </c>
      <c r="K160" s="15">
        <v>258</v>
      </c>
      <c r="L160" s="17">
        <f t="shared" si="78"/>
        <v>3.375</v>
      </c>
      <c r="M160" s="17">
        <f t="shared" si="79"/>
        <v>8.0625</v>
      </c>
      <c r="N160" s="18">
        <f t="shared" si="80"/>
        <v>0.41860465116279072</v>
      </c>
      <c r="O160" s="16">
        <v>74</v>
      </c>
      <c r="P160" s="15">
        <v>148</v>
      </c>
      <c r="Q160" s="17">
        <f t="shared" si="54"/>
        <v>2.3125</v>
      </c>
      <c r="R160" s="17">
        <f t="shared" si="55"/>
        <v>4.625</v>
      </c>
      <c r="S160" s="18">
        <f t="shared" si="56"/>
        <v>0.5</v>
      </c>
      <c r="T160" s="15">
        <v>34</v>
      </c>
      <c r="U160" s="15">
        <v>110</v>
      </c>
      <c r="V160" s="17">
        <f t="shared" si="57"/>
        <v>1.0625</v>
      </c>
      <c r="W160" s="17">
        <f t="shared" si="58"/>
        <v>3.4375</v>
      </c>
      <c r="X160" s="18">
        <f t="shared" si="59"/>
        <v>0.30909090909090908</v>
      </c>
      <c r="Y160" s="15">
        <v>42</v>
      </c>
      <c r="Z160" s="15">
        <v>58</v>
      </c>
      <c r="AA160" s="17">
        <f t="shared" si="60"/>
        <v>1.3125</v>
      </c>
      <c r="AB160" s="17">
        <f t="shared" si="61"/>
        <v>1.8125</v>
      </c>
      <c r="AC160" s="18">
        <f t="shared" si="62"/>
        <v>0.72413793103448276</v>
      </c>
      <c r="AD160" s="15">
        <v>102</v>
      </c>
      <c r="AE160" s="17">
        <f t="shared" si="69"/>
        <v>3.1875</v>
      </c>
      <c r="AF160" s="15">
        <v>34</v>
      </c>
      <c r="AG160" s="17">
        <f t="shared" si="70"/>
        <v>1.0625</v>
      </c>
      <c r="AH160" s="15">
        <v>68</v>
      </c>
      <c r="AI160" s="17">
        <f t="shared" si="71"/>
        <v>2.125</v>
      </c>
      <c r="AJ160" s="15">
        <v>136</v>
      </c>
      <c r="AK160" s="17">
        <f t="shared" si="72"/>
        <v>4.25</v>
      </c>
      <c r="AL160" s="15">
        <v>20</v>
      </c>
      <c r="AM160" s="17">
        <f t="shared" si="73"/>
        <v>0.625</v>
      </c>
      <c r="AN160" s="15">
        <v>0</v>
      </c>
      <c r="AO160" s="17">
        <f t="shared" si="74"/>
        <v>0</v>
      </c>
      <c r="AP160" s="4">
        <v>67</v>
      </c>
      <c r="AQ160" s="17">
        <f t="shared" si="75"/>
        <v>2.09375</v>
      </c>
      <c r="AR160" s="15">
        <v>78</v>
      </c>
      <c r="AS160" s="17">
        <f t="shared" si="76"/>
        <v>2.4375</v>
      </c>
      <c r="AT160" s="19">
        <v>0.36598037010408024</v>
      </c>
      <c r="AU160" s="19">
        <v>1.8647097661553001E-2</v>
      </c>
      <c r="AV160" s="19">
        <v>0.15455131997696619</v>
      </c>
      <c r="AW160" s="19">
        <v>0.21142905012711408</v>
      </c>
      <c r="AX160" s="19">
        <v>103.59311698374003</v>
      </c>
      <c r="AY160" s="19">
        <v>117.08098953459057</v>
      </c>
      <c r="AZ160" s="19">
        <v>4.8872131914902806</v>
      </c>
      <c r="BA160" s="19">
        <v>9.90625</v>
      </c>
      <c r="BB160" s="19">
        <v>16.151494565217391</v>
      </c>
      <c r="BC160" s="18">
        <v>0.51495485327313772</v>
      </c>
      <c r="BD160" s="18">
        <v>0.48449612403100772</v>
      </c>
      <c r="BE160" s="19">
        <v>12.406974825672778</v>
      </c>
      <c r="BF160" s="18">
        <v>0.4263565891472868</v>
      </c>
      <c r="BG160" s="18">
        <v>0.22480620155038761</v>
      </c>
      <c r="BH160" s="19">
        <v>2.7940918653576436</v>
      </c>
      <c r="BI160" s="19">
        <v>5.5881837307152873</v>
      </c>
      <c r="BJ160" s="19">
        <v>4.0981850129641932</v>
      </c>
      <c r="BK160" s="19">
        <v>14.744145706851693</v>
      </c>
      <c r="BL160" s="19">
        <v>1.4068092372377445</v>
      </c>
      <c r="BM160" s="19">
        <v>0</v>
      </c>
      <c r="BN160" s="19">
        <v>19.114458518772111</v>
      </c>
      <c r="BO160" s="20" t="s">
        <v>257</v>
      </c>
      <c r="BP160" s="21">
        <v>100000</v>
      </c>
      <c r="BQ160" s="30" t="s">
        <v>306</v>
      </c>
      <c r="BR160" s="30">
        <v>589.13</v>
      </c>
      <c r="BS160" s="30">
        <v>844.83</v>
      </c>
      <c r="BT160" s="30">
        <v>255.7</v>
      </c>
      <c r="BU160" s="35">
        <f t="shared" si="63"/>
        <v>18.410312500000003</v>
      </c>
      <c r="BV160" s="35">
        <f t="shared" si="64"/>
        <v>26.400937500000001</v>
      </c>
      <c r="BW160" s="35">
        <f t="shared" si="65"/>
        <v>7.9906249999999996</v>
      </c>
      <c r="BX160" s="36">
        <f t="shared" si="66"/>
        <v>30.016813858695649</v>
      </c>
      <c r="BY160" s="36">
        <f t="shared" si="67"/>
        <v>43.045006793478258</v>
      </c>
      <c r="BZ160" s="36">
        <f t="shared" si="68"/>
        <v>13.028192934782609</v>
      </c>
      <c r="CA160" s="31">
        <v>16</v>
      </c>
      <c r="CB160" s="31">
        <v>16</v>
      </c>
    </row>
    <row r="161" spans="1:80" x14ac:dyDescent="0.4">
      <c r="A161" s="11" t="s">
        <v>53</v>
      </c>
      <c r="B161" s="11" t="s">
        <v>280</v>
      </c>
      <c r="C161" s="11" t="s">
        <v>123</v>
      </c>
      <c r="D161" s="15">
        <v>7</v>
      </c>
      <c r="E161" s="15">
        <v>6</v>
      </c>
      <c r="F161" s="15">
        <v>2</v>
      </c>
      <c r="G161" s="16">
        <v>2534</v>
      </c>
      <c r="H161" s="16">
        <v>8</v>
      </c>
      <c r="I161" s="17">
        <f t="shared" si="77"/>
        <v>1.1428571428571428</v>
      </c>
      <c r="J161" s="15">
        <v>3</v>
      </c>
      <c r="K161" s="15">
        <v>12</v>
      </c>
      <c r="L161" s="17">
        <f t="shared" si="78"/>
        <v>0.42857142857142855</v>
      </c>
      <c r="M161" s="17">
        <f t="shared" si="79"/>
        <v>1.7142857142857142</v>
      </c>
      <c r="N161" s="18">
        <f t="shared" si="80"/>
        <v>0.25</v>
      </c>
      <c r="O161" s="16">
        <v>1</v>
      </c>
      <c r="P161" s="15">
        <v>3</v>
      </c>
      <c r="Q161" s="17">
        <f t="shared" si="54"/>
        <v>0.14285714285714285</v>
      </c>
      <c r="R161" s="17">
        <f t="shared" si="55"/>
        <v>0.42857142857142855</v>
      </c>
      <c r="S161" s="18">
        <f t="shared" si="56"/>
        <v>0.33333333333333331</v>
      </c>
      <c r="T161" s="15">
        <v>2</v>
      </c>
      <c r="U161" s="15">
        <v>9</v>
      </c>
      <c r="V161" s="17">
        <f t="shared" si="57"/>
        <v>0.2857142857142857</v>
      </c>
      <c r="W161" s="17">
        <f t="shared" si="58"/>
        <v>1.2857142857142858</v>
      </c>
      <c r="X161" s="18">
        <f t="shared" si="59"/>
        <v>0.22222222222222221</v>
      </c>
      <c r="Y161" s="15">
        <v>0</v>
      </c>
      <c r="Z161" s="15">
        <v>0</v>
      </c>
      <c r="AA161" s="17">
        <f t="shared" si="60"/>
        <v>0</v>
      </c>
      <c r="AB161" s="17">
        <f t="shared" si="61"/>
        <v>0</v>
      </c>
      <c r="AC161" s="18" t="e">
        <f t="shared" si="62"/>
        <v>#DIV/0!</v>
      </c>
      <c r="AD161" s="15">
        <v>6</v>
      </c>
      <c r="AE161" s="17">
        <f t="shared" si="69"/>
        <v>0.8571428571428571</v>
      </c>
      <c r="AF161" s="15">
        <v>1</v>
      </c>
      <c r="AG161" s="17">
        <f t="shared" si="70"/>
        <v>0.14285714285714285</v>
      </c>
      <c r="AH161" s="15">
        <v>5</v>
      </c>
      <c r="AI161" s="17">
        <f t="shared" si="71"/>
        <v>0.7142857142857143</v>
      </c>
      <c r="AJ161" s="15">
        <v>1</v>
      </c>
      <c r="AK161" s="17">
        <f t="shared" si="72"/>
        <v>0.14285714285714285</v>
      </c>
      <c r="AL161" s="15">
        <v>0</v>
      </c>
      <c r="AM161" s="17">
        <f t="shared" si="73"/>
        <v>0</v>
      </c>
      <c r="AN161" s="15">
        <v>0</v>
      </c>
      <c r="AO161" s="17">
        <f t="shared" si="74"/>
        <v>0</v>
      </c>
      <c r="AP161" s="4">
        <v>3</v>
      </c>
      <c r="AQ161" s="17">
        <f t="shared" si="75"/>
        <v>0.42857142857142855</v>
      </c>
      <c r="AR161" s="15">
        <v>6</v>
      </c>
      <c r="AS161" s="17">
        <f t="shared" si="76"/>
        <v>0.8571428571428571</v>
      </c>
      <c r="AT161" s="19">
        <v>-0.12711332985821297</v>
      </c>
      <c r="AU161" s="19">
        <v>-0.12039147263603438</v>
      </c>
      <c r="AV161" s="19">
        <v>-0.13146888423881395</v>
      </c>
      <c r="AW161" s="19">
        <v>4.3555543806009876E-3</v>
      </c>
      <c r="AX161" s="19">
        <v>63.492549124787658</v>
      </c>
      <c r="AY161" s="19">
        <v>118.63711046414171</v>
      </c>
      <c r="AZ161" s="19">
        <v>-0.47798530152141772</v>
      </c>
      <c r="BA161" s="19">
        <v>0.42857142857142855</v>
      </c>
      <c r="BB161" s="19">
        <v>2.8413575374901341</v>
      </c>
      <c r="BC161" s="18">
        <v>0.33333333333333331</v>
      </c>
      <c r="BD161" s="18">
        <v>0.33333333333333331</v>
      </c>
      <c r="BE161" s="19">
        <v>2.1589550312216086</v>
      </c>
      <c r="BF161" s="18">
        <v>0.75</v>
      </c>
      <c r="BG161" s="18">
        <v>0</v>
      </c>
      <c r="BH161" s="19">
        <v>0.3341650329709499</v>
      </c>
      <c r="BI161" s="19">
        <v>1.6708251648547496</v>
      </c>
      <c r="BJ161" s="19">
        <v>0.98026134856732083</v>
      </c>
      <c r="BK161" s="19">
        <v>0.39936102236421722</v>
      </c>
      <c r="BL161" s="19">
        <v>0</v>
      </c>
      <c r="BM161" s="19">
        <v>0</v>
      </c>
      <c r="BN161" s="19">
        <v>20</v>
      </c>
      <c r="BO161" s="20" t="s">
        <v>257</v>
      </c>
      <c r="BP161" s="21">
        <v>265000</v>
      </c>
      <c r="BQ161" s="30" t="s">
        <v>305</v>
      </c>
      <c r="BR161" s="30">
        <v>13.76</v>
      </c>
      <c r="BS161" s="30">
        <v>26.56</v>
      </c>
      <c r="BT161" s="30">
        <v>12.8</v>
      </c>
      <c r="BU161" s="35">
        <f t="shared" si="63"/>
        <v>1.9657142857142853</v>
      </c>
      <c r="BV161" s="35">
        <f t="shared" si="64"/>
        <v>3.794285714285714</v>
      </c>
      <c r="BW161" s="35">
        <f t="shared" si="65"/>
        <v>1.8285714285714287</v>
      </c>
      <c r="BX161" s="36">
        <f t="shared" si="66"/>
        <v>13.032359905288084</v>
      </c>
      <c r="BY161" s="36">
        <f t="shared" si="67"/>
        <v>25.155485398579323</v>
      </c>
      <c r="BZ161" s="36">
        <f t="shared" si="68"/>
        <v>12.123125493291239</v>
      </c>
      <c r="CA161" s="30">
        <v>4</v>
      </c>
      <c r="CB161" s="30">
        <v>3</v>
      </c>
    </row>
    <row r="162" spans="1:80" x14ac:dyDescent="0.4">
      <c r="A162" s="11" t="s">
        <v>53</v>
      </c>
      <c r="B162" s="11" t="s">
        <v>280</v>
      </c>
      <c r="C162" s="11" t="s">
        <v>124</v>
      </c>
      <c r="D162" s="10">
        <v>4</v>
      </c>
      <c r="E162" s="10">
        <v>19</v>
      </c>
      <c r="F162" s="10">
        <v>50</v>
      </c>
      <c r="G162" s="16">
        <v>4760</v>
      </c>
      <c r="H162" s="16">
        <v>23</v>
      </c>
      <c r="I162" s="17">
        <f t="shared" si="77"/>
        <v>5.75</v>
      </c>
      <c r="J162" s="15">
        <v>9</v>
      </c>
      <c r="K162" s="15">
        <v>29</v>
      </c>
      <c r="L162" s="17">
        <f t="shared" si="78"/>
        <v>2.25</v>
      </c>
      <c r="M162" s="17">
        <f t="shared" si="79"/>
        <v>7.25</v>
      </c>
      <c r="N162" s="18">
        <f t="shared" si="80"/>
        <v>0.31034482758620691</v>
      </c>
      <c r="O162" s="16">
        <v>4</v>
      </c>
      <c r="P162" s="15">
        <v>12</v>
      </c>
      <c r="Q162" s="17">
        <f t="shared" si="54"/>
        <v>1</v>
      </c>
      <c r="R162" s="17">
        <f t="shared" si="55"/>
        <v>3</v>
      </c>
      <c r="S162" s="18">
        <f t="shared" si="56"/>
        <v>0.33333333333333331</v>
      </c>
      <c r="T162" s="15">
        <v>5</v>
      </c>
      <c r="U162" s="15">
        <v>17</v>
      </c>
      <c r="V162" s="17">
        <f t="shared" si="57"/>
        <v>1.25</v>
      </c>
      <c r="W162" s="17">
        <f t="shared" si="58"/>
        <v>4.25</v>
      </c>
      <c r="X162" s="18">
        <f t="shared" si="59"/>
        <v>0.29411764705882354</v>
      </c>
      <c r="Y162" s="9">
        <v>0</v>
      </c>
      <c r="Z162" s="9">
        <v>0</v>
      </c>
      <c r="AA162" s="17">
        <f t="shared" si="60"/>
        <v>0</v>
      </c>
      <c r="AB162" s="17">
        <f t="shared" si="61"/>
        <v>0</v>
      </c>
      <c r="AC162" s="18" t="e">
        <f t="shared" si="62"/>
        <v>#DIV/0!</v>
      </c>
      <c r="AD162" s="15">
        <v>6</v>
      </c>
      <c r="AE162" s="17">
        <f t="shared" si="69"/>
        <v>1.5</v>
      </c>
      <c r="AF162" s="15">
        <v>1</v>
      </c>
      <c r="AG162" s="17">
        <f t="shared" si="70"/>
        <v>0.25</v>
      </c>
      <c r="AH162" s="15">
        <v>5</v>
      </c>
      <c r="AI162" s="17">
        <f t="shared" si="71"/>
        <v>1.25</v>
      </c>
      <c r="AJ162" s="15">
        <v>10</v>
      </c>
      <c r="AK162" s="17">
        <f t="shared" si="72"/>
        <v>2.5</v>
      </c>
      <c r="AL162" s="15">
        <v>3</v>
      </c>
      <c r="AM162" s="17">
        <f t="shared" si="73"/>
        <v>0.75</v>
      </c>
      <c r="AN162" s="7">
        <v>1</v>
      </c>
      <c r="AO162" s="17">
        <f t="shared" si="74"/>
        <v>0.25</v>
      </c>
      <c r="AP162" s="6">
        <v>5</v>
      </c>
      <c r="AQ162" s="17">
        <f t="shared" si="75"/>
        <v>1.25</v>
      </c>
      <c r="AR162" s="15">
        <v>7</v>
      </c>
      <c r="AS162" s="17">
        <f t="shared" si="76"/>
        <v>1.75</v>
      </c>
      <c r="AT162" s="19">
        <v>-9.4179425111054899E-2</v>
      </c>
      <c r="AU162" s="19">
        <v>-4.7485424425741968E-2</v>
      </c>
      <c r="AV162" s="19">
        <v>-0.12508313114362216</v>
      </c>
      <c r="AW162" s="19">
        <v>3.0903706032567264E-2</v>
      </c>
      <c r="AX162" s="19">
        <v>86.446135570855972</v>
      </c>
      <c r="AY162" s="19">
        <v>115.95517555353177</v>
      </c>
      <c r="AZ162" s="19">
        <v>0.29712708897867857</v>
      </c>
      <c r="BA162" s="19">
        <v>4.5</v>
      </c>
      <c r="BB162" s="19">
        <v>9.0756302521008418</v>
      </c>
      <c r="BC162" s="18">
        <v>0.39655172413793105</v>
      </c>
      <c r="BD162" s="18">
        <v>0.39655172413793105</v>
      </c>
      <c r="BE162" s="19">
        <v>1.4886508977185187</v>
      </c>
      <c r="BF162" s="18">
        <v>0.58620689655172409</v>
      </c>
      <c r="BG162" s="18">
        <v>0</v>
      </c>
      <c r="BH162" s="19">
        <v>0.10165356465166712</v>
      </c>
      <c r="BI162" s="19">
        <v>0.50826782325833553</v>
      </c>
      <c r="BJ162" s="19">
        <v>0.29819714973224382</v>
      </c>
      <c r="BK162" s="19">
        <v>1.2135922330097086</v>
      </c>
      <c r="BL162" s="19">
        <v>2.0882250728208001</v>
      </c>
      <c r="BM162" s="19">
        <v>9.5087539966481643E-2</v>
      </c>
      <c r="BN162" s="19">
        <v>14.705882352941176</v>
      </c>
      <c r="BO162" s="20" t="s">
        <v>257</v>
      </c>
      <c r="BP162" s="21">
        <v>90000</v>
      </c>
      <c r="BQ162" s="30" t="s">
        <v>306</v>
      </c>
      <c r="BR162" s="30">
        <v>43.53</v>
      </c>
      <c r="BS162" s="30">
        <v>69.83</v>
      </c>
      <c r="BT162" s="30">
        <v>26.3</v>
      </c>
      <c r="BU162" s="35">
        <f t="shared" si="63"/>
        <v>10.8825</v>
      </c>
      <c r="BV162" s="35">
        <f t="shared" si="64"/>
        <v>17.4575</v>
      </c>
      <c r="BW162" s="35">
        <f t="shared" si="65"/>
        <v>6.5750000000000002</v>
      </c>
      <c r="BX162" s="36">
        <f t="shared" si="66"/>
        <v>21.947899159663862</v>
      </c>
      <c r="BY162" s="36">
        <f t="shared" si="67"/>
        <v>35.208403361344537</v>
      </c>
      <c r="BZ162" s="36">
        <f t="shared" si="68"/>
        <v>13.260504201680673</v>
      </c>
      <c r="CA162" s="30">
        <v>3</v>
      </c>
      <c r="CB162" s="30">
        <v>1</v>
      </c>
    </row>
    <row r="163" spans="1:80" x14ac:dyDescent="0.4">
      <c r="A163" s="11" t="s">
        <v>53</v>
      </c>
      <c r="B163" s="11" t="s">
        <v>280</v>
      </c>
      <c r="C163" s="11" t="s">
        <v>117</v>
      </c>
      <c r="D163" s="10">
        <v>27</v>
      </c>
      <c r="E163" s="10">
        <v>11</v>
      </c>
      <c r="F163" s="10">
        <v>33</v>
      </c>
      <c r="G163" s="16">
        <v>18711</v>
      </c>
      <c r="H163" s="16">
        <v>91</v>
      </c>
      <c r="I163" s="17">
        <f t="shared" si="77"/>
        <v>3.3703703703703702</v>
      </c>
      <c r="J163" s="15">
        <v>38</v>
      </c>
      <c r="K163" s="15">
        <v>99</v>
      </c>
      <c r="L163" s="17">
        <f t="shared" si="78"/>
        <v>1.4074074074074074</v>
      </c>
      <c r="M163" s="17">
        <f t="shared" si="79"/>
        <v>3.6666666666666665</v>
      </c>
      <c r="N163" s="18">
        <f t="shared" si="80"/>
        <v>0.38383838383838381</v>
      </c>
      <c r="O163" s="16">
        <v>26</v>
      </c>
      <c r="P163" s="15">
        <v>44</v>
      </c>
      <c r="Q163" s="17">
        <f t="shared" si="54"/>
        <v>0.96296296296296291</v>
      </c>
      <c r="R163" s="17">
        <f t="shared" si="55"/>
        <v>1.6296296296296295</v>
      </c>
      <c r="S163" s="18">
        <f t="shared" si="56"/>
        <v>0.59090909090909094</v>
      </c>
      <c r="T163" s="15">
        <v>12</v>
      </c>
      <c r="U163" s="15">
        <v>55</v>
      </c>
      <c r="V163" s="17">
        <f t="shared" si="57"/>
        <v>0.44444444444444442</v>
      </c>
      <c r="W163" s="17">
        <f t="shared" si="58"/>
        <v>2.0370370370370372</v>
      </c>
      <c r="X163" s="18">
        <f t="shared" si="59"/>
        <v>0.21818181818181817</v>
      </c>
      <c r="Y163" s="9">
        <v>3</v>
      </c>
      <c r="Z163" s="9">
        <v>4</v>
      </c>
      <c r="AA163" s="17">
        <f t="shared" si="60"/>
        <v>0.1111111111111111</v>
      </c>
      <c r="AB163" s="17">
        <f t="shared" si="61"/>
        <v>0.14814814814814814</v>
      </c>
      <c r="AC163" s="18">
        <f t="shared" si="62"/>
        <v>0.75</v>
      </c>
      <c r="AD163" s="15">
        <v>54</v>
      </c>
      <c r="AE163" s="17">
        <f t="shared" si="69"/>
        <v>2</v>
      </c>
      <c r="AF163" s="15">
        <v>21</v>
      </c>
      <c r="AG163" s="17">
        <f t="shared" si="70"/>
        <v>0.77777777777777779</v>
      </c>
      <c r="AH163" s="15">
        <v>33</v>
      </c>
      <c r="AI163" s="17">
        <f t="shared" si="71"/>
        <v>1.2222222222222223</v>
      </c>
      <c r="AJ163" s="15">
        <v>17</v>
      </c>
      <c r="AK163" s="17">
        <f t="shared" si="72"/>
        <v>0.62962962962962965</v>
      </c>
      <c r="AL163" s="15">
        <v>13</v>
      </c>
      <c r="AM163" s="17">
        <f t="shared" si="73"/>
        <v>0.48148148148148145</v>
      </c>
      <c r="AN163" s="7">
        <v>1</v>
      </c>
      <c r="AO163" s="17">
        <f t="shared" si="74"/>
        <v>3.7037037037037035E-2</v>
      </c>
      <c r="AP163" s="34">
        <v>10</v>
      </c>
      <c r="AQ163" s="17">
        <f t="shared" si="75"/>
        <v>0.37037037037037035</v>
      </c>
      <c r="AR163" s="15">
        <v>34</v>
      </c>
      <c r="AS163" s="17">
        <f t="shared" si="76"/>
        <v>1.2592592592592593</v>
      </c>
      <c r="AT163" s="19">
        <v>0.1442809145130996</v>
      </c>
      <c r="AU163" s="19">
        <v>1.8506450474664048E-2</v>
      </c>
      <c r="AV163" s="19">
        <v>-3.5300021179540161E-2</v>
      </c>
      <c r="AW163" s="19">
        <v>0.17958093569263975</v>
      </c>
      <c r="AX163" s="19">
        <v>100.54048615917905</v>
      </c>
      <c r="AY163" s="19">
        <v>114.21054508823559</v>
      </c>
      <c r="AZ163" s="19">
        <v>3.3579445449613394</v>
      </c>
      <c r="BA163" s="19">
        <v>3.8518518518518516</v>
      </c>
      <c r="BB163" s="19">
        <v>13.339746673080006</v>
      </c>
      <c r="BC163" s="18">
        <v>0.45156808257244935</v>
      </c>
      <c r="BD163" s="18">
        <v>0.44444444444444442</v>
      </c>
      <c r="BE163" s="19">
        <v>8.3274229005708627</v>
      </c>
      <c r="BF163" s="18">
        <v>0.55555555555555558</v>
      </c>
      <c r="BG163" s="18">
        <v>4.0404040404040407E-2</v>
      </c>
      <c r="BH163" s="19">
        <v>3.6656891495601176</v>
      </c>
      <c r="BI163" s="19">
        <v>5.7603686635944698</v>
      </c>
      <c r="BJ163" s="19">
        <v>4.6085014049528592</v>
      </c>
      <c r="BK163" s="19">
        <v>3.8022813688212924</v>
      </c>
      <c r="BL163" s="19">
        <v>2.302021404630985</v>
      </c>
      <c r="BM163" s="19">
        <v>0.16328163428587755</v>
      </c>
      <c r="BN163" s="19">
        <v>9.0285301552907189</v>
      </c>
      <c r="BO163" s="20" t="s">
        <v>257</v>
      </c>
      <c r="BP163" s="21">
        <v>110000</v>
      </c>
      <c r="BQ163" s="31" t="s">
        <v>305</v>
      </c>
      <c r="BR163" s="31">
        <v>200.51</v>
      </c>
      <c r="BS163" s="31">
        <v>273.01</v>
      </c>
      <c r="BT163" s="31">
        <v>72.5</v>
      </c>
      <c r="BU163" s="35">
        <f t="shared" si="63"/>
        <v>7.4262962962962966</v>
      </c>
      <c r="BV163" s="35">
        <f t="shared" si="64"/>
        <v>10.111481481481482</v>
      </c>
      <c r="BW163" s="35">
        <f t="shared" si="65"/>
        <v>2.6851851851851851</v>
      </c>
      <c r="BX163" s="36">
        <f t="shared" si="66"/>
        <v>25.718775052108384</v>
      </c>
      <c r="BY163" s="36">
        <f t="shared" si="67"/>
        <v>35.01811768478435</v>
      </c>
      <c r="BZ163" s="36">
        <f t="shared" si="68"/>
        <v>9.2993426326759661</v>
      </c>
      <c r="CA163" s="30">
        <v>10</v>
      </c>
      <c r="CB163" s="30">
        <v>17</v>
      </c>
    </row>
    <row r="164" spans="1:80" x14ac:dyDescent="0.4">
      <c r="A164" s="11" t="s">
        <v>53</v>
      </c>
      <c r="B164" s="11" t="s">
        <v>280</v>
      </c>
      <c r="C164" s="11" t="s">
        <v>112</v>
      </c>
      <c r="D164" s="15">
        <v>52</v>
      </c>
      <c r="E164" s="15">
        <v>30</v>
      </c>
      <c r="F164" s="15">
        <v>49</v>
      </c>
      <c r="G164" s="16">
        <v>96148</v>
      </c>
      <c r="H164" s="16">
        <v>589</v>
      </c>
      <c r="I164" s="17">
        <f t="shared" si="77"/>
        <v>11.326923076923077</v>
      </c>
      <c r="J164" s="15">
        <v>254</v>
      </c>
      <c r="K164" s="15">
        <v>534</v>
      </c>
      <c r="L164" s="17">
        <f t="shared" si="78"/>
        <v>4.884615384615385</v>
      </c>
      <c r="M164" s="17">
        <f t="shared" si="79"/>
        <v>10.26923076923077</v>
      </c>
      <c r="N164" s="18">
        <f t="shared" si="80"/>
        <v>0.47565543071161048</v>
      </c>
      <c r="O164" s="16">
        <v>202</v>
      </c>
      <c r="P164" s="15">
        <v>387</v>
      </c>
      <c r="Q164" s="17">
        <f t="shared" si="54"/>
        <v>3.8846153846153846</v>
      </c>
      <c r="R164" s="17">
        <f t="shared" si="55"/>
        <v>7.4423076923076925</v>
      </c>
      <c r="S164" s="18">
        <f t="shared" si="56"/>
        <v>0.52196382428940569</v>
      </c>
      <c r="T164" s="15">
        <v>52</v>
      </c>
      <c r="U164" s="15">
        <v>147</v>
      </c>
      <c r="V164" s="17">
        <f t="shared" si="57"/>
        <v>1</v>
      </c>
      <c r="W164" s="17">
        <f t="shared" si="58"/>
        <v>2.8269230769230771</v>
      </c>
      <c r="X164" s="18">
        <f t="shared" si="59"/>
        <v>0.35374149659863946</v>
      </c>
      <c r="Y164" s="15">
        <v>29</v>
      </c>
      <c r="Z164" s="15">
        <v>55</v>
      </c>
      <c r="AA164" s="17">
        <f t="shared" si="60"/>
        <v>0.55769230769230771</v>
      </c>
      <c r="AB164" s="17">
        <f t="shared" si="61"/>
        <v>1.0576923076923077</v>
      </c>
      <c r="AC164" s="18">
        <f t="shared" si="62"/>
        <v>0.52727272727272723</v>
      </c>
      <c r="AD164" s="15">
        <v>265</v>
      </c>
      <c r="AE164" s="17">
        <f t="shared" si="69"/>
        <v>5.0961538461538458</v>
      </c>
      <c r="AF164" s="15">
        <v>44</v>
      </c>
      <c r="AG164" s="17">
        <f t="shared" si="70"/>
        <v>0.84615384615384615</v>
      </c>
      <c r="AH164" s="15">
        <v>221</v>
      </c>
      <c r="AI164" s="17">
        <f t="shared" si="71"/>
        <v>4.25</v>
      </c>
      <c r="AJ164" s="15">
        <v>171</v>
      </c>
      <c r="AK164" s="17">
        <f t="shared" si="72"/>
        <v>3.2884615384615383</v>
      </c>
      <c r="AL164" s="15">
        <v>52</v>
      </c>
      <c r="AM164" s="17">
        <f t="shared" si="73"/>
        <v>1</v>
      </c>
      <c r="AN164" s="15">
        <v>8</v>
      </c>
      <c r="AO164" s="17">
        <f t="shared" si="74"/>
        <v>0.15384615384615385</v>
      </c>
      <c r="AP164" s="4">
        <v>59</v>
      </c>
      <c r="AQ164" s="17">
        <f t="shared" si="75"/>
        <v>1.1346153846153846</v>
      </c>
      <c r="AR164" s="15">
        <v>100</v>
      </c>
      <c r="AS164" s="17">
        <f t="shared" si="76"/>
        <v>1.9230769230769231</v>
      </c>
      <c r="AT164" s="19">
        <v>2.2825821724696098</v>
      </c>
      <c r="AU164" s="19">
        <v>5.6976715209126172E-2</v>
      </c>
      <c r="AV164" s="19">
        <v>1.3361424445811518</v>
      </c>
      <c r="AW164" s="19">
        <v>0.94643972788845776</v>
      </c>
      <c r="AX164" s="19">
        <v>110.96806473846381</v>
      </c>
      <c r="AY164" s="19">
        <v>114.07235693139501</v>
      </c>
      <c r="AZ164" s="19">
        <v>10.346999112864728</v>
      </c>
      <c r="BA164" s="19">
        <v>13.846153846153847</v>
      </c>
      <c r="BB164" s="19">
        <v>17.972292715397096</v>
      </c>
      <c r="BC164" s="18">
        <v>0.52758867789322816</v>
      </c>
      <c r="BD164" s="18">
        <v>0.52434456928838946</v>
      </c>
      <c r="BE164" s="19">
        <v>17.392015517855835</v>
      </c>
      <c r="BF164" s="18">
        <v>0.2752808988764045</v>
      </c>
      <c r="BG164" s="18">
        <v>0.10299625468164794</v>
      </c>
      <c r="BH164" s="19">
        <v>2.8786266334025368</v>
      </c>
      <c r="BI164" s="19">
        <v>14.458556499590014</v>
      </c>
      <c r="BJ164" s="19">
        <v>8.4763359625079406</v>
      </c>
      <c r="BK164" s="19">
        <v>16.437566086705758</v>
      </c>
      <c r="BL164" s="19">
        <v>1.7919508466967746</v>
      </c>
      <c r="BM164" s="19">
        <v>0.48957997862677405</v>
      </c>
      <c r="BN164" s="19">
        <v>9.5593000648088129</v>
      </c>
      <c r="BO164" s="20" t="s">
        <v>257</v>
      </c>
      <c r="BP164" s="21">
        <v>200000</v>
      </c>
      <c r="BQ164" s="30" t="s">
        <v>305</v>
      </c>
      <c r="BR164" s="30">
        <v>1213.3</v>
      </c>
      <c r="BS164" s="30">
        <v>1593.1</v>
      </c>
      <c r="BT164" s="30">
        <v>379.8</v>
      </c>
      <c r="BU164" s="35">
        <f t="shared" si="63"/>
        <v>23.332692307692305</v>
      </c>
      <c r="BV164" s="35">
        <f t="shared" si="64"/>
        <v>30.636538461538461</v>
      </c>
      <c r="BW164" s="35">
        <f t="shared" si="65"/>
        <v>7.3038461538461537</v>
      </c>
      <c r="BX164" s="36">
        <f t="shared" si="66"/>
        <v>30.285809377210132</v>
      </c>
      <c r="BY164" s="36">
        <f t="shared" si="67"/>
        <v>39.7661937845821</v>
      </c>
      <c r="BZ164" s="36">
        <f t="shared" si="68"/>
        <v>9.4803844073719681</v>
      </c>
      <c r="CA164" s="30">
        <v>25</v>
      </c>
      <c r="CB164" s="30">
        <v>27</v>
      </c>
    </row>
    <row r="165" spans="1:80" x14ac:dyDescent="0.4">
      <c r="A165" s="11" t="s">
        <v>53</v>
      </c>
      <c r="B165" s="11" t="s">
        <v>280</v>
      </c>
      <c r="C165" s="11" t="s">
        <v>111</v>
      </c>
      <c r="D165" s="15">
        <v>50</v>
      </c>
      <c r="E165" s="15">
        <v>13</v>
      </c>
      <c r="F165" s="15">
        <v>40</v>
      </c>
      <c r="G165" s="16">
        <v>41000</v>
      </c>
      <c r="H165" s="16">
        <v>277</v>
      </c>
      <c r="I165" s="17">
        <f t="shared" si="77"/>
        <v>5.54</v>
      </c>
      <c r="J165" s="15">
        <v>116</v>
      </c>
      <c r="K165" s="15">
        <v>212</v>
      </c>
      <c r="L165" s="17">
        <f t="shared" si="78"/>
        <v>2.3199999999999998</v>
      </c>
      <c r="M165" s="17">
        <f t="shared" si="79"/>
        <v>4.24</v>
      </c>
      <c r="N165" s="18">
        <f t="shared" si="80"/>
        <v>0.54716981132075471</v>
      </c>
      <c r="O165" s="16">
        <v>115</v>
      </c>
      <c r="P165" s="15">
        <v>210</v>
      </c>
      <c r="Q165" s="17">
        <f t="shared" si="54"/>
        <v>2.2999999999999998</v>
      </c>
      <c r="R165" s="17">
        <f t="shared" si="55"/>
        <v>4.2</v>
      </c>
      <c r="S165" s="18">
        <f t="shared" si="56"/>
        <v>0.54761904761904767</v>
      </c>
      <c r="T165" s="15">
        <v>1</v>
      </c>
      <c r="U165" s="15">
        <v>2</v>
      </c>
      <c r="V165" s="17">
        <f t="shared" si="57"/>
        <v>0.02</v>
      </c>
      <c r="W165" s="17">
        <f t="shared" si="58"/>
        <v>0.04</v>
      </c>
      <c r="X165" s="18">
        <f t="shared" si="59"/>
        <v>0.5</v>
      </c>
      <c r="Y165" s="15">
        <v>44</v>
      </c>
      <c r="Z165" s="15">
        <v>74</v>
      </c>
      <c r="AA165" s="17">
        <f t="shared" si="60"/>
        <v>0.88</v>
      </c>
      <c r="AB165" s="17">
        <f t="shared" si="61"/>
        <v>1.48</v>
      </c>
      <c r="AC165" s="18">
        <f t="shared" si="62"/>
        <v>0.59459459459459463</v>
      </c>
      <c r="AD165" s="15">
        <v>150</v>
      </c>
      <c r="AE165" s="17">
        <f t="shared" si="69"/>
        <v>3</v>
      </c>
      <c r="AF165" s="15">
        <v>58</v>
      </c>
      <c r="AG165" s="17">
        <f t="shared" si="70"/>
        <v>1.1599999999999999</v>
      </c>
      <c r="AH165" s="15">
        <v>92</v>
      </c>
      <c r="AI165" s="17">
        <f t="shared" si="71"/>
        <v>1.84</v>
      </c>
      <c r="AJ165" s="15">
        <v>69</v>
      </c>
      <c r="AK165" s="17">
        <f t="shared" si="72"/>
        <v>1.38</v>
      </c>
      <c r="AL165" s="15">
        <v>30</v>
      </c>
      <c r="AM165" s="17">
        <f t="shared" si="73"/>
        <v>0.6</v>
      </c>
      <c r="AN165" s="15">
        <v>19</v>
      </c>
      <c r="AO165" s="17">
        <f t="shared" si="74"/>
        <v>0.38</v>
      </c>
      <c r="AP165" s="4">
        <v>35</v>
      </c>
      <c r="AQ165" s="17">
        <f t="shared" si="75"/>
        <v>0.7</v>
      </c>
      <c r="AR165" s="15">
        <v>111</v>
      </c>
      <c r="AS165" s="17">
        <f t="shared" si="76"/>
        <v>2.2200000000000002</v>
      </c>
      <c r="AT165" s="19">
        <v>1.5770092641317393</v>
      </c>
      <c r="AU165" s="19">
        <v>9.2312737412589607E-2</v>
      </c>
      <c r="AV165" s="19">
        <v>0.97152887413592937</v>
      </c>
      <c r="AW165" s="19">
        <v>0.60548038999580989</v>
      </c>
      <c r="AX165" s="19">
        <v>115.66345837323946</v>
      </c>
      <c r="AY165" s="19">
        <v>111.3057462377343</v>
      </c>
      <c r="AZ165" s="19">
        <v>11.058325617259726</v>
      </c>
      <c r="BA165" s="19">
        <v>7.68</v>
      </c>
      <c r="BB165" s="19">
        <v>22.478048780487804</v>
      </c>
      <c r="BC165" s="18">
        <v>0.56632319267255482</v>
      </c>
      <c r="BD165" s="18">
        <v>0.54952830188679247</v>
      </c>
      <c r="BE165" s="19">
        <v>17.763236065630021</v>
      </c>
      <c r="BF165" s="18">
        <v>9.433962264150943E-3</v>
      </c>
      <c r="BG165" s="18">
        <v>0.34905660377358488</v>
      </c>
      <c r="BH165" s="19">
        <v>8.5562549173878821</v>
      </c>
      <c r="BI165" s="19">
        <v>13.571990558615262</v>
      </c>
      <c r="BJ165" s="19">
        <v>10.818738054310066</v>
      </c>
      <c r="BK165" s="19">
        <v>15.065502183406114</v>
      </c>
      <c r="BL165" s="19">
        <v>2.4243783772260996</v>
      </c>
      <c r="BM165" s="19">
        <v>2.6218649739538415</v>
      </c>
      <c r="BN165" s="19">
        <v>12.51967377307197</v>
      </c>
      <c r="BO165" s="20" t="s">
        <v>257</v>
      </c>
      <c r="BP165" s="21">
        <v>500000</v>
      </c>
      <c r="BQ165" s="30" t="s">
        <v>307</v>
      </c>
      <c r="BR165" s="30">
        <v>608.36</v>
      </c>
      <c r="BS165" s="30">
        <v>780.76</v>
      </c>
      <c r="BT165" s="30">
        <v>172.4</v>
      </c>
      <c r="BU165" s="35">
        <f t="shared" si="63"/>
        <v>12.167199999999999</v>
      </c>
      <c r="BV165" s="35">
        <f t="shared" si="64"/>
        <v>15.6152</v>
      </c>
      <c r="BW165" s="35">
        <f t="shared" si="65"/>
        <v>3.448</v>
      </c>
      <c r="BX165" s="36">
        <f t="shared" si="66"/>
        <v>35.611317073170731</v>
      </c>
      <c r="BY165" s="36">
        <f t="shared" si="67"/>
        <v>45.703024390243904</v>
      </c>
      <c r="BZ165" s="36">
        <f t="shared" si="68"/>
        <v>10.091707317073171</v>
      </c>
      <c r="CA165" s="30">
        <v>25</v>
      </c>
      <c r="CB165" s="30">
        <v>25</v>
      </c>
    </row>
    <row r="166" spans="1:80" x14ac:dyDescent="0.4">
      <c r="A166" s="11" t="s">
        <v>53</v>
      </c>
      <c r="B166" s="11" t="s">
        <v>280</v>
      </c>
      <c r="C166" s="11" t="s">
        <v>116</v>
      </c>
      <c r="D166" s="15">
        <v>41</v>
      </c>
      <c r="E166" s="15">
        <v>13</v>
      </c>
      <c r="F166" s="15">
        <v>59</v>
      </c>
      <c r="G166" s="16">
        <v>34399</v>
      </c>
      <c r="H166" s="16">
        <v>163</v>
      </c>
      <c r="I166" s="17">
        <f t="shared" si="77"/>
        <v>3.975609756097561</v>
      </c>
      <c r="J166" s="15">
        <v>63</v>
      </c>
      <c r="K166" s="15">
        <v>160</v>
      </c>
      <c r="L166" s="17">
        <f t="shared" si="78"/>
        <v>1.5365853658536586</v>
      </c>
      <c r="M166" s="17">
        <f t="shared" si="79"/>
        <v>3.9024390243902438</v>
      </c>
      <c r="N166" s="18">
        <f t="shared" si="80"/>
        <v>0.39374999999999999</v>
      </c>
      <c r="O166" s="16">
        <v>42</v>
      </c>
      <c r="P166" s="15">
        <v>88</v>
      </c>
      <c r="Q166" s="17">
        <f t="shared" si="54"/>
        <v>1.024390243902439</v>
      </c>
      <c r="R166" s="17">
        <f t="shared" si="55"/>
        <v>2.1463414634146343</v>
      </c>
      <c r="S166" s="18">
        <f t="shared" si="56"/>
        <v>0.47727272727272729</v>
      </c>
      <c r="T166" s="15">
        <v>21</v>
      </c>
      <c r="U166" s="15">
        <v>72</v>
      </c>
      <c r="V166" s="17">
        <f t="shared" si="57"/>
        <v>0.51219512195121952</v>
      </c>
      <c r="W166" s="17">
        <f t="shared" si="58"/>
        <v>1.7560975609756098</v>
      </c>
      <c r="X166" s="18">
        <f t="shared" si="59"/>
        <v>0.29166666666666669</v>
      </c>
      <c r="Y166" s="15">
        <v>16</v>
      </c>
      <c r="Z166" s="15">
        <v>23</v>
      </c>
      <c r="AA166" s="17">
        <f t="shared" si="60"/>
        <v>0.3902439024390244</v>
      </c>
      <c r="AB166" s="17">
        <f t="shared" si="61"/>
        <v>0.56097560975609762</v>
      </c>
      <c r="AC166" s="18">
        <f t="shared" si="62"/>
        <v>0.69565217391304346</v>
      </c>
      <c r="AD166" s="15">
        <v>72</v>
      </c>
      <c r="AE166" s="17">
        <f t="shared" si="69"/>
        <v>1.7560975609756098</v>
      </c>
      <c r="AF166" s="15">
        <v>29</v>
      </c>
      <c r="AG166" s="17">
        <f t="shared" si="70"/>
        <v>0.70731707317073167</v>
      </c>
      <c r="AH166" s="15">
        <v>43</v>
      </c>
      <c r="AI166" s="17">
        <f t="shared" si="71"/>
        <v>1.0487804878048781</v>
      </c>
      <c r="AJ166" s="15">
        <v>45</v>
      </c>
      <c r="AK166" s="17">
        <f t="shared" si="72"/>
        <v>1.0975609756097562</v>
      </c>
      <c r="AL166" s="15">
        <v>23</v>
      </c>
      <c r="AM166" s="17">
        <f t="shared" si="73"/>
        <v>0.56097560975609762</v>
      </c>
      <c r="AN166" s="15">
        <v>11</v>
      </c>
      <c r="AO166" s="17">
        <f t="shared" si="74"/>
        <v>0.26829268292682928</v>
      </c>
      <c r="AP166" s="4">
        <v>18</v>
      </c>
      <c r="AQ166" s="17">
        <f t="shared" si="75"/>
        <v>0.43902439024390244</v>
      </c>
      <c r="AR166" s="15">
        <v>67</v>
      </c>
      <c r="AS166" s="17">
        <f t="shared" si="76"/>
        <v>1.6341463414634145</v>
      </c>
      <c r="AT166" s="19">
        <v>0.50643722935577085</v>
      </c>
      <c r="AU166" s="19">
        <v>3.5333857102062556E-2</v>
      </c>
      <c r="AV166" s="19">
        <v>0.20972222601086909</v>
      </c>
      <c r="AW166" s="19">
        <v>0.2967150033449017</v>
      </c>
      <c r="AX166" s="19">
        <v>106.48194294594042</v>
      </c>
      <c r="AY166" s="19">
        <v>114.75660691843615</v>
      </c>
      <c r="AZ166" s="19">
        <v>5.3319013584121198</v>
      </c>
      <c r="BA166" s="19">
        <v>4.6829268292682924</v>
      </c>
      <c r="BB166" s="19">
        <v>13.395738248204889</v>
      </c>
      <c r="BC166" s="18">
        <v>0.47907359510933456</v>
      </c>
      <c r="BD166" s="18">
        <v>0.45937499999999998</v>
      </c>
      <c r="BE166" s="19">
        <v>11.682449631416292</v>
      </c>
      <c r="BF166" s="18">
        <v>0.45</v>
      </c>
      <c r="BG166" s="18">
        <v>0.14374999999999999</v>
      </c>
      <c r="BH166" s="19">
        <v>4.181244953669883</v>
      </c>
      <c r="BI166" s="19">
        <v>6.1997770002691377</v>
      </c>
      <c r="BJ166" s="19">
        <v>5.0753936807824092</v>
      </c>
      <c r="BK166" s="19">
        <v>8.5828724012969655</v>
      </c>
      <c r="BL166" s="19">
        <v>2.2153636343345369</v>
      </c>
      <c r="BM166" s="19">
        <v>1.4835469584758578</v>
      </c>
      <c r="BN166" s="19">
        <v>9.5683606208802896</v>
      </c>
      <c r="BO166" s="20" t="s">
        <v>257</v>
      </c>
      <c r="BP166" s="21">
        <v>220000</v>
      </c>
      <c r="BQ166" s="30" t="s">
        <v>305</v>
      </c>
      <c r="BR166" s="30">
        <v>369.82</v>
      </c>
      <c r="BS166" s="30">
        <v>494.32</v>
      </c>
      <c r="BT166" s="30">
        <v>124.5</v>
      </c>
      <c r="BU166" s="35">
        <f t="shared" si="63"/>
        <v>9.02</v>
      </c>
      <c r="BV166" s="35">
        <f t="shared" si="64"/>
        <v>12.056585365853659</v>
      </c>
      <c r="BW166" s="35">
        <f t="shared" si="65"/>
        <v>3.0365853658536586</v>
      </c>
      <c r="BX166" s="36">
        <f t="shared" si="66"/>
        <v>25.802145411203814</v>
      </c>
      <c r="BY166" s="36">
        <f t="shared" si="67"/>
        <v>34.488444431524172</v>
      </c>
      <c r="BZ166" s="36">
        <f t="shared" si="68"/>
        <v>8.6862990203203587</v>
      </c>
      <c r="CA166" s="31">
        <v>20</v>
      </c>
      <c r="CB166" s="31">
        <v>21</v>
      </c>
    </row>
    <row r="167" spans="1:80" x14ac:dyDescent="0.4">
      <c r="A167" s="11" t="s">
        <v>53</v>
      </c>
      <c r="B167" s="11" t="s">
        <v>280</v>
      </c>
      <c r="C167" s="11" t="s">
        <v>109</v>
      </c>
      <c r="D167" s="15">
        <v>48</v>
      </c>
      <c r="E167" s="15">
        <v>17</v>
      </c>
      <c r="F167" s="15">
        <v>45</v>
      </c>
      <c r="G167" s="16">
        <v>51120</v>
      </c>
      <c r="H167" s="16">
        <v>669</v>
      </c>
      <c r="I167" s="17">
        <f t="shared" si="77"/>
        <v>13.9375</v>
      </c>
      <c r="J167" s="15">
        <v>250</v>
      </c>
      <c r="K167" s="15">
        <v>521</v>
      </c>
      <c r="L167" s="17">
        <f t="shared" si="78"/>
        <v>5.208333333333333</v>
      </c>
      <c r="M167" s="17">
        <f t="shared" si="79"/>
        <v>10.854166666666666</v>
      </c>
      <c r="N167" s="18">
        <f t="shared" si="80"/>
        <v>0.47984644913627639</v>
      </c>
      <c r="O167" s="16">
        <v>190</v>
      </c>
      <c r="P167" s="15">
        <v>336</v>
      </c>
      <c r="Q167" s="17">
        <f t="shared" si="54"/>
        <v>3.9583333333333335</v>
      </c>
      <c r="R167" s="17">
        <f t="shared" si="55"/>
        <v>7</v>
      </c>
      <c r="S167" s="18">
        <f t="shared" si="56"/>
        <v>0.56547619047619047</v>
      </c>
      <c r="T167" s="15">
        <v>60</v>
      </c>
      <c r="U167" s="15">
        <v>185</v>
      </c>
      <c r="V167" s="17">
        <f t="shared" si="57"/>
        <v>1.25</v>
      </c>
      <c r="W167" s="17">
        <f t="shared" si="58"/>
        <v>3.8541666666666665</v>
      </c>
      <c r="X167" s="18">
        <f t="shared" si="59"/>
        <v>0.32432432432432434</v>
      </c>
      <c r="Y167" s="15">
        <v>109</v>
      </c>
      <c r="Z167" s="15">
        <v>148</v>
      </c>
      <c r="AA167" s="17">
        <f t="shared" si="60"/>
        <v>2.2708333333333335</v>
      </c>
      <c r="AB167" s="17">
        <f t="shared" si="61"/>
        <v>3.0833333333333335</v>
      </c>
      <c r="AC167" s="18">
        <f t="shared" si="62"/>
        <v>0.73648648648648651</v>
      </c>
      <c r="AD167" s="15">
        <v>316</v>
      </c>
      <c r="AE167" s="17">
        <f t="shared" si="69"/>
        <v>6.583333333333333</v>
      </c>
      <c r="AF167" s="15">
        <v>102</v>
      </c>
      <c r="AG167" s="17">
        <f t="shared" si="70"/>
        <v>2.125</v>
      </c>
      <c r="AH167" s="15">
        <v>214</v>
      </c>
      <c r="AI167" s="17">
        <f t="shared" si="71"/>
        <v>4.458333333333333</v>
      </c>
      <c r="AJ167" s="15">
        <v>68</v>
      </c>
      <c r="AK167" s="17">
        <f t="shared" si="72"/>
        <v>1.4166666666666667</v>
      </c>
      <c r="AL167" s="15">
        <v>26</v>
      </c>
      <c r="AM167" s="17">
        <f t="shared" si="73"/>
        <v>0.54166666666666663</v>
      </c>
      <c r="AN167" s="15">
        <v>24</v>
      </c>
      <c r="AO167" s="17">
        <f t="shared" si="74"/>
        <v>0.5</v>
      </c>
      <c r="AP167" s="4">
        <v>74</v>
      </c>
      <c r="AQ167" s="17">
        <f t="shared" si="75"/>
        <v>1.5416666666666667</v>
      </c>
      <c r="AR167" s="15">
        <v>93</v>
      </c>
      <c r="AS167" s="17">
        <f t="shared" si="76"/>
        <v>1.9375</v>
      </c>
      <c r="AT167" s="19">
        <v>2.5712465868242158</v>
      </c>
      <c r="AU167" s="19">
        <v>0.12071580219831998</v>
      </c>
      <c r="AV167" s="19">
        <v>1.5486532445448979</v>
      </c>
      <c r="AW167" s="19">
        <v>1.0225933422793179</v>
      </c>
      <c r="AX167" s="19">
        <v>111.98747700667188</v>
      </c>
      <c r="AY167" s="19">
        <v>108.36399760325729</v>
      </c>
      <c r="AZ167" s="19">
        <v>18.079531764110019</v>
      </c>
      <c r="BA167" s="19">
        <v>14.979166666666666</v>
      </c>
      <c r="BB167" s="19">
        <v>33.755868544600943</v>
      </c>
      <c r="BC167" s="18">
        <v>0.57070224527400537</v>
      </c>
      <c r="BD167" s="18">
        <v>0.5374280230326296</v>
      </c>
      <c r="BE167" s="19">
        <v>32.294918376589855</v>
      </c>
      <c r="BF167" s="18">
        <v>0.3550863723608445</v>
      </c>
      <c r="BG167" s="18">
        <v>0.28406909788867563</v>
      </c>
      <c r="BH167" s="19">
        <v>11.58564288959564</v>
      </c>
      <c r="BI167" s="19">
        <v>24.307133121308496</v>
      </c>
      <c r="BJ167" s="19">
        <v>17.548365600205472</v>
      </c>
      <c r="BK167" s="19">
        <v>13.72351160443996</v>
      </c>
      <c r="BL167" s="19">
        <v>1.6851769366999365</v>
      </c>
      <c r="BM167" s="19">
        <v>2.5499531844532544</v>
      </c>
      <c r="BN167" s="19">
        <v>11.210083015209356</v>
      </c>
      <c r="BO167" s="20" t="s">
        <v>239</v>
      </c>
      <c r="BP167" s="21"/>
      <c r="BQ167" s="31" t="s">
        <v>305</v>
      </c>
      <c r="BR167" s="31">
        <v>1009.2</v>
      </c>
      <c r="BS167" s="31">
        <v>1409.9</v>
      </c>
      <c r="BT167" s="31">
        <v>400.7</v>
      </c>
      <c r="BU167" s="35">
        <f t="shared" si="63"/>
        <v>21.025000000000002</v>
      </c>
      <c r="BV167" s="35">
        <f t="shared" si="64"/>
        <v>29.372916666666669</v>
      </c>
      <c r="BW167" s="35">
        <f t="shared" si="65"/>
        <v>8.3479166666666664</v>
      </c>
      <c r="BX167" s="36">
        <f t="shared" si="66"/>
        <v>47.380281690140848</v>
      </c>
      <c r="BY167" s="36">
        <f t="shared" si="67"/>
        <v>66.1924882629108</v>
      </c>
      <c r="BZ167" s="36">
        <f t="shared" si="68"/>
        <v>18.812206572769952</v>
      </c>
      <c r="CA167" s="31">
        <v>25</v>
      </c>
      <c r="CB167" s="31">
        <v>23</v>
      </c>
    </row>
    <row r="168" spans="1:80" x14ac:dyDescent="0.4">
      <c r="A168" s="11" t="s">
        <v>53</v>
      </c>
      <c r="B168" s="11" t="s">
        <v>280</v>
      </c>
      <c r="C168" s="11" t="s">
        <v>110</v>
      </c>
      <c r="D168" s="10">
        <v>53</v>
      </c>
      <c r="E168" s="10">
        <v>18</v>
      </c>
      <c r="F168" s="10">
        <v>45</v>
      </c>
      <c r="G168" s="16">
        <v>59625</v>
      </c>
      <c r="H168" s="16">
        <v>354</v>
      </c>
      <c r="I168" s="17">
        <f t="shared" si="77"/>
        <v>6.6792452830188678</v>
      </c>
      <c r="J168" s="15">
        <v>132</v>
      </c>
      <c r="K168" s="15">
        <v>246</v>
      </c>
      <c r="L168" s="17">
        <f t="shared" si="78"/>
        <v>2.4905660377358489</v>
      </c>
      <c r="M168" s="17">
        <f t="shared" si="79"/>
        <v>4.6415094339622645</v>
      </c>
      <c r="N168" s="18">
        <f t="shared" si="80"/>
        <v>0.53658536585365857</v>
      </c>
      <c r="O168" s="16">
        <v>109</v>
      </c>
      <c r="P168" s="15">
        <v>194</v>
      </c>
      <c r="Q168" s="17">
        <f t="shared" si="54"/>
        <v>2.0566037735849059</v>
      </c>
      <c r="R168" s="17">
        <f t="shared" si="55"/>
        <v>3.6603773584905661</v>
      </c>
      <c r="S168" s="18">
        <f t="shared" si="56"/>
        <v>0.56185567010309279</v>
      </c>
      <c r="T168" s="15">
        <v>23</v>
      </c>
      <c r="U168" s="15">
        <v>52</v>
      </c>
      <c r="V168" s="17">
        <f t="shared" si="57"/>
        <v>0.43396226415094341</v>
      </c>
      <c r="W168" s="17">
        <f t="shared" si="58"/>
        <v>0.98113207547169812</v>
      </c>
      <c r="X168" s="18">
        <f t="shared" si="59"/>
        <v>0.44230769230769229</v>
      </c>
      <c r="Y168" s="9">
        <v>67</v>
      </c>
      <c r="Z168" s="9">
        <v>93</v>
      </c>
      <c r="AA168" s="17">
        <f t="shared" si="60"/>
        <v>1.2641509433962264</v>
      </c>
      <c r="AB168" s="17">
        <f t="shared" si="61"/>
        <v>1.7547169811320755</v>
      </c>
      <c r="AC168" s="18">
        <f t="shared" si="62"/>
        <v>0.72043010752688175</v>
      </c>
      <c r="AD168" s="15">
        <v>174</v>
      </c>
      <c r="AE168" s="17">
        <f t="shared" si="69"/>
        <v>3.2830188679245285</v>
      </c>
      <c r="AF168" s="15">
        <v>86</v>
      </c>
      <c r="AG168" s="17">
        <f t="shared" si="70"/>
        <v>1.6226415094339623</v>
      </c>
      <c r="AH168" s="15">
        <v>88</v>
      </c>
      <c r="AI168" s="17">
        <f t="shared" si="71"/>
        <v>1.6603773584905661</v>
      </c>
      <c r="AJ168" s="15">
        <v>150</v>
      </c>
      <c r="AK168" s="17">
        <f t="shared" si="72"/>
        <v>2.8301886792452828</v>
      </c>
      <c r="AL168" s="15">
        <v>28</v>
      </c>
      <c r="AM168" s="17">
        <f t="shared" si="73"/>
        <v>0.52830188679245282</v>
      </c>
      <c r="AN168" s="7">
        <v>18</v>
      </c>
      <c r="AO168" s="17">
        <f t="shared" si="74"/>
        <v>0.33962264150943394</v>
      </c>
      <c r="AP168" s="6">
        <v>34</v>
      </c>
      <c r="AQ168" s="17">
        <f t="shared" si="75"/>
        <v>0.64150943396226412</v>
      </c>
      <c r="AR168" s="15">
        <v>63</v>
      </c>
      <c r="AS168" s="17">
        <f t="shared" si="76"/>
        <v>1.1886792452830188</v>
      </c>
      <c r="AT168" s="19">
        <v>3.1846260039618257</v>
      </c>
      <c r="AU168" s="19">
        <v>0.12818620393305463</v>
      </c>
      <c r="AV168" s="19">
        <v>2.7867758359733537</v>
      </c>
      <c r="AW168" s="19">
        <v>0.397850167988472</v>
      </c>
      <c r="AX168" s="19">
        <v>133.84942573274145</v>
      </c>
      <c r="AY168" s="19">
        <v>115.85395299539071</v>
      </c>
      <c r="AZ168" s="19">
        <v>14.237635015204024</v>
      </c>
      <c r="BA168" s="19">
        <v>10.377358490566039</v>
      </c>
      <c r="BB168" s="19">
        <v>22.138364779874212</v>
      </c>
      <c r="BC168" s="18">
        <v>0.61689669594312002</v>
      </c>
      <c r="BD168" s="18">
        <v>0.58333333333333337</v>
      </c>
      <c r="BE168" s="19">
        <v>14.862955211870171</v>
      </c>
      <c r="BF168" s="18">
        <v>0.21138211382113822</v>
      </c>
      <c r="BG168" s="18">
        <v>0.37804878048780488</v>
      </c>
      <c r="BH168" s="19">
        <v>9.2473118279569881</v>
      </c>
      <c r="BI168" s="19">
        <v>9.4623655913978499</v>
      </c>
      <c r="BJ168" s="19">
        <v>9.1473632331197638</v>
      </c>
      <c r="BK168" s="19">
        <v>22.883295194508008</v>
      </c>
      <c r="BL168" s="19">
        <v>1.555939274384661</v>
      </c>
      <c r="BM168" s="19">
        <v>1.8104667609618104</v>
      </c>
      <c r="BN168" s="19">
        <v>10.594540695500436</v>
      </c>
      <c r="BO168" s="20" t="s">
        <v>257</v>
      </c>
      <c r="BP168" s="21">
        <v>130000</v>
      </c>
      <c r="BQ168" s="31" t="s">
        <v>305</v>
      </c>
      <c r="BR168" s="31">
        <v>908.98</v>
      </c>
      <c r="BS168" s="31">
        <v>1091.8800000000001</v>
      </c>
      <c r="BT168" s="31">
        <v>182.9</v>
      </c>
      <c r="BU168" s="35">
        <f t="shared" si="63"/>
        <v>17.150566037735853</v>
      </c>
      <c r="BV168" s="35">
        <f t="shared" si="64"/>
        <v>20.601509433962267</v>
      </c>
      <c r="BW168" s="35">
        <f t="shared" si="65"/>
        <v>3.4509433962264153</v>
      </c>
      <c r="BX168" s="36">
        <f t="shared" si="66"/>
        <v>36.587874213836486</v>
      </c>
      <c r="BY168" s="36">
        <f t="shared" si="67"/>
        <v>43.949886792452837</v>
      </c>
      <c r="BZ168" s="36">
        <f t="shared" si="68"/>
        <v>7.3620125786163522</v>
      </c>
      <c r="CA168" s="30">
        <v>25</v>
      </c>
      <c r="CB168" s="30">
        <v>28</v>
      </c>
    </row>
    <row r="169" spans="1:80" x14ac:dyDescent="0.4">
      <c r="A169" s="11" t="s">
        <v>53</v>
      </c>
      <c r="B169" s="11" t="s">
        <v>265</v>
      </c>
      <c r="C169" s="11" t="s">
        <v>127</v>
      </c>
      <c r="D169" s="15">
        <v>51</v>
      </c>
      <c r="E169" s="15">
        <v>32</v>
      </c>
      <c r="F169" s="15">
        <v>59</v>
      </c>
      <c r="G169" s="16">
        <v>100929</v>
      </c>
      <c r="H169" s="16">
        <v>712</v>
      </c>
      <c r="I169" s="17">
        <f t="shared" si="77"/>
        <v>13.96078431372549</v>
      </c>
      <c r="J169" s="15">
        <v>275</v>
      </c>
      <c r="K169" s="15">
        <v>520</v>
      </c>
      <c r="L169" s="17">
        <f t="shared" si="78"/>
        <v>5.3921568627450984</v>
      </c>
      <c r="M169" s="17">
        <f t="shared" si="79"/>
        <v>10.196078431372548</v>
      </c>
      <c r="N169" s="18">
        <f t="shared" si="80"/>
        <v>0.52884615384615385</v>
      </c>
      <c r="O169" s="16">
        <v>192</v>
      </c>
      <c r="P169" s="15">
        <v>320</v>
      </c>
      <c r="Q169" s="17">
        <f t="shared" si="54"/>
        <v>3.7647058823529411</v>
      </c>
      <c r="R169" s="17">
        <f t="shared" si="55"/>
        <v>6.2745098039215685</v>
      </c>
      <c r="S169" s="18">
        <f t="shared" si="56"/>
        <v>0.6</v>
      </c>
      <c r="T169" s="15">
        <v>83</v>
      </c>
      <c r="U169" s="15">
        <v>200</v>
      </c>
      <c r="V169" s="17">
        <f t="shared" si="57"/>
        <v>1.6274509803921569</v>
      </c>
      <c r="W169" s="17">
        <f t="shared" si="58"/>
        <v>3.9215686274509802</v>
      </c>
      <c r="X169" s="18">
        <f t="shared" si="59"/>
        <v>0.41499999999999998</v>
      </c>
      <c r="Y169" s="15">
        <v>79</v>
      </c>
      <c r="Z169" s="15">
        <v>109</v>
      </c>
      <c r="AA169" s="17">
        <f t="shared" si="60"/>
        <v>1.5490196078431373</v>
      </c>
      <c r="AB169" s="17">
        <f t="shared" si="61"/>
        <v>2.1372549019607843</v>
      </c>
      <c r="AC169" s="18">
        <f t="shared" si="62"/>
        <v>0.72477064220183485</v>
      </c>
      <c r="AD169" s="15">
        <v>320</v>
      </c>
      <c r="AE169" s="17">
        <f t="shared" si="69"/>
        <v>6.2745098039215685</v>
      </c>
      <c r="AF169" s="15">
        <v>79</v>
      </c>
      <c r="AG169" s="17">
        <f t="shared" si="70"/>
        <v>1.5490196078431373</v>
      </c>
      <c r="AH169" s="15">
        <v>241</v>
      </c>
      <c r="AI169" s="17">
        <f t="shared" si="71"/>
        <v>4.7254901960784315</v>
      </c>
      <c r="AJ169" s="15">
        <v>220</v>
      </c>
      <c r="AK169" s="17">
        <f t="shared" si="72"/>
        <v>4.3137254901960782</v>
      </c>
      <c r="AL169" s="15">
        <v>48</v>
      </c>
      <c r="AM169" s="17">
        <f t="shared" si="73"/>
        <v>0.94117647058823528</v>
      </c>
      <c r="AN169" s="15">
        <v>18</v>
      </c>
      <c r="AO169" s="17">
        <f t="shared" si="74"/>
        <v>0.35294117647058826</v>
      </c>
      <c r="AP169" s="4">
        <v>133</v>
      </c>
      <c r="AQ169" s="17">
        <f t="shared" si="75"/>
        <v>2.607843137254902</v>
      </c>
      <c r="AR169" s="15">
        <v>127</v>
      </c>
      <c r="AS169" s="17">
        <f t="shared" si="76"/>
        <v>2.4901960784313726</v>
      </c>
      <c r="AT169" s="19">
        <v>4.7074857901894305</v>
      </c>
      <c r="AU169" s="19">
        <v>0.1119397387911763</v>
      </c>
      <c r="AV169" s="19">
        <v>2.9069828911625448</v>
      </c>
      <c r="AW169" s="19">
        <v>1.8005028990268859</v>
      </c>
      <c r="AX169" s="19">
        <v>115.72373095627435</v>
      </c>
      <c r="AY169" s="19">
        <v>110.89194657228138</v>
      </c>
      <c r="AZ169" s="19">
        <v>13.829231111766999</v>
      </c>
      <c r="BA169" s="19">
        <v>17.843137254901961</v>
      </c>
      <c r="BB169" s="19">
        <v>21.638973932170138</v>
      </c>
      <c r="BC169" s="18">
        <v>0.62680470455665893</v>
      </c>
      <c r="BD169" s="18">
        <v>0.6086538461538461</v>
      </c>
      <c r="BE169" s="19">
        <v>18.454757788917153</v>
      </c>
      <c r="BF169" s="18">
        <v>0.38461538461538464</v>
      </c>
      <c r="BG169" s="18">
        <v>0.20961538461538462</v>
      </c>
      <c r="BH169" s="19">
        <v>4.8289295669041064</v>
      </c>
      <c r="BI169" s="19">
        <v>14.731291463593537</v>
      </c>
      <c r="BJ169" s="19">
        <v>9.5632031849451273</v>
      </c>
      <c r="BK169" s="19">
        <v>19.814464559128165</v>
      </c>
      <c r="BL169" s="19">
        <v>1.5757534657633794</v>
      </c>
      <c r="BM169" s="19">
        <v>1.0291940909964814</v>
      </c>
      <c r="BN169" s="19">
        <v>18.973978543711482</v>
      </c>
      <c r="BO169" s="20" t="s">
        <v>257</v>
      </c>
      <c r="BP169" s="21"/>
      <c r="BQ169" s="31" t="s">
        <v>305</v>
      </c>
      <c r="BR169" s="31">
        <v>1434.14</v>
      </c>
      <c r="BS169" s="31">
        <v>1890.94</v>
      </c>
      <c r="BT169" s="31">
        <v>456.8</v>
      </c>
      <c r="BU169" s="35">
        <f t="shared" si="63"/>
        <v>28.120392156862746</v>
      </c>
      <c r="BV169" s="35">
        <f t="shared" si="64"/>
        <v>37.077254901960785</v>
      </c>
      <c r="BW169" s="35">
        <f t="shared" si="65"/>
        <v>8.9568627450980394</v>
      </c>
      <c r="BX169" s="36">
        <f t="shared" si="66"/>
        <v>34.10254733525548</v>
      </c>
      <c r="BY169" s="36">
        <f t="shared" si="67"/>
        <v>44.964836667360224</v>
      </c>
      <c r="BZ169" s="36">
        <f t="shared" si="68"/>
        <v>10.862289332104748</v>
      </c>
      <c r="CA169" s="31">
        <v>39</v>
      </c>
      <c r="CB169" s="31">
        <v>12</v>
      </c>
    </row>
    <row r="170" spans="1:80" x14ac:dyDescent="0.4">
      <c r="A170" s="11" t="s">
        <v>53</v>
      </c>
      <c r="B170" s="11" t="s">
        <v>265</v>
      </c>
      <c r="C170" s="11" t="s">
        <v>302</v>
      </c>
      <c r="D170" s="15">
        <v>1</v>
      </c>
      <c r="E170" s="15">
        <v>3</v>
      </c>
      <c r="F170" s="15">
        <v>50</v>
      </c>
      <c r="G170" s="16">
        <v>230</v>
      </c>
      <c r="H170" s="16">
        <v>3</v>
      </c>
      <c r="I170" s="17">
        <f t="shared" si="77"/>
        <v>3</v>
      </c>
      <c r="J170" s="15">
        <v>1</v>
      </c>
      <c r="K170" s="15">
        <v>1</v>
      </c>
      <c r="L170" s="17">
        <f t="shared" si="78"/>
        <v>1</v>
      </c>
      <c r="M170" s="17">
        <f t="shared" si="79"/>
        <v>1</v>
      </c>
      <c r="N170" s="18">
        <f t="shared" si="80"/>
        <v>1</v>
      </c>
      <c r="O170" s="16">
        <v>1</v>
      </c>
      <c r="P170" s="15">
        <v>1</v>
      </c>
      <c r="Q170" s="17">
        <f t="shared" si="54"/>
        <v>1</v>
      </c>
      <c r="R170" s="17">
        <f t="shared" si="55"/>
        <v>1</v>
      </c>
      <c r="S170" s="18">
        <f t="shared" si="56"/>
        <v>1</v>
      </c>
      <c r="T170" s="15">
        <v>0</v>
      </c>
      <c r="U170" s="15">
        <v>0</v>
      </c>
      <c r="V170" s="17">
        <f t="shared" si="57"/>
        <v>0</v>
      </c>
      <c r="W170" s="17">
        <f t="shared" si="58"/>
        <v>0</v>
      </c>
      <c r="X170" s="18" t="e">
        <f t="shared" si="59"/>
        <v>#DIV/0!</v>
      </c>
      <c r="Y170" s="15">
        <v>1</v>
      </c>
      <c r="Z170" s="15">
        <v>2</v>
      </c>
      <c r="AA170" s="17">
        <f t="shared" si="60"/>
        <v>1</v>
      </c>
      <c r="AB170" s="17">
        <f t="shared" si="61"/>
        <v>2</v>
      </c>
      <c r="AC170" s="18">
        <f t="shared" si="62"/>
        <v>0.5</v>
      </c>
      <c r="AD170" s="15">
        <v>2</v>
      </c>
      <c r="AE170" s="17">
        <f t="shared" si="69"/>
        <v>2</v>
      </c>
      <c r="AF170" s="15">
        <v>1</v>
      </c>
      <c r="AG170" s="17">
        <f t="shared" si="70"/>
        <v>1</v>
      </c>
      <c r="AH170" s="15">
        <v>1</v>
      </c>
      <c r="AI170" s="17">
        <f t="shared" si="71"/>
        <v>1</v>
      </c>
      <c r="AJ170" s="15">
        <v>1</v>
      </c>
      <c r="AK170" s="17">
        <f t="shared" si="72"/>
        <v>1</v>
      </c>
      <c r="AL170" s="15">
        <v>0</v>
      </c>
      <c r="AM170" s="17">
        <f t="shared" si="73"/>
        <v>0</v>
      </c>
      <c r="AN170" s="15">
        <v>0</v>
      </c>
      <c r="AO170" s="17">
        <f t="shared" si="74"/>
        <v>0</v>
      </c>
      <c r="AP170" s="4">
        <v>1</v>
      </c>
      <c r="AQ170" s="17">
        <f t="shared" si="75"/>
        <v>1</v>
      </c>
      <c r="AR170" s="15">
        <v>3</v>
      </c>
      <c r="AS170" s="17">
        <f t="shared" si="76"/>
        <v>3</v>
      </c>
      <c r="AT170" s="19">
        <v>2.2797460696123345E-2</v>
      </c>
      <c r="AU170" s="19">
        <v>0.23788654639433054</v>
      </c>
      <c r="AV170" s="19">
        <v>1.7153820395666798E-2</v>
      </c>
      <c r="AW170" s="19">
        <v>5.6436403004565469E-3</v>
      </c>
      <c r="AX170" s="19">
        <v>118.95954651258114</v>
      </c>
      <c r="AY170" s="19">
        <v>107.6212065126943</v>
      </c>
      <c r="AZ170" s="19">
        <v>0.19223352323807924</v>
      </c>
      <c r="BA170" s="19">
        <v>4</v>
      </c>
      <c r="BB170" s="19">
        <v>41.739130434782609</v>
      </c>
      <c r="BC170" s="18">
        <v>0.79787234042553201</v>
      </c>
      <c r="BD170" s="18">
        <v>1</v>
      </c>
      <c r="BE170" s="19">
        <v>0.65241743691315945</v>
      </c>
      <c r="BF170" s="18">
        <v>0</v>
      </c>
      <c r="BG170" s="18">
        <v>2</v>
      </c>
      <c r="BH170" s="19">
        <v>0.52594670406732114</v>
      </c>
      <c r="BI170" s="19">
        <v>0.52594670406732114</v>
      </c>
      <c r="BJ170" s="19">
        <v>0.51428204084256546</v>
      </c>
      <c r="BK170" s="19">
        <v>0.625</v>
      </c>
      <c r="BL170" s="19">
        <v>0</v>
      </c>
      <c r="BM170" s="19">
        <v>0</v>
      </c>
      <c r="BN170" s="19">
        <v>34.722222222222221</v>
      </c>
      <c r="BO170" s="20" t="s">
        <v>239</v>
      </c>
      <c r="BP170" s="21"/>
      <c r="BQ170" s="31" t="s">
        <v>307</v>
      </c>
      <c r="BR170" s="31">
        <v>5.66</v>
      </c>
      <c r="BS170" s="31">
        <v>7.96</v>
      </c>
      <c r="BT170" s="31">
        <v>2.2999999999999998</v>
      </c>
      <c r="BU170" s="35">
        <f t="shared" si="63"/>
        <v>5.66</v>
      </c>
      <c r="BV170" s="35">
        <f t="shared" si="64"/>
        <v>7.96</v>
      </c>
      <c r="BW170" s="35">
        <f t="shared" si="65"/>
        <v>2.2999999999999998</v>
      </c>
      <c r="BX170" s="36">
        <f t="shared" si="66"/>
        <v>59.060869565217388</v>
      </c>
      <c r="BY170" s="36">
        <f t="shared" si="67"/>
        <v>83.060869565217388</v>
      </c>
      <c r="BZ170" s="36">
        <f t="shared" si="68"/>
        <v>24</v>
      </c>
      <c r="CA170" s="31">
        <v>1</v>
      </c>
      <c r="CB170" s="31">
        <v>0</v>
      </c>
    </row>
    <row r="171" spans="1:80" x14ac:dyDescent="0.4">
      <c r="A171" s="11" t="s">
        <v>53</v>
      </c>
      <c r="B171" s="11" t="s">
        <v>265</v>
      </c>
      <c r="C171" s="11" t="s">
        <v>133</v>
      </c>
      <c r="D171" s="15">
        <v>46</v>
      </c>
      <c r="E171" s="15">
        <v>14</v>
      </c>
      <c r="F171" s="15">
        <v>40</v>
      </c>
      <c r="G171" s="16">
        <v>40480</v>
      </c>
      <c r="H171" s="16">
        <v>166</v>
      </c>
      <c r="I171" s="17">
        <f t="shared" si="77"/>
        <v>3.6086956521739131</v>
      </c>
      <c r="J171" s="15">
        <v>58</v>
      </c>
      <c r="K171" s="15">
        <v>144</v>
      </c>
      <c r="L171" s="17">
        <f t="shared" si="78"/>
        <v>1.2608695652173914</v>
      </c>
      <c r="M171" s="17">
        <f t="shared" si="79"/>
        <v>3.1304347826086958</v>
      </c>
      <c r="N171" s="18">
        <f t="shared" si="80"/>
        <v>0.40277777777777779</v>
      </c>
      <c r="O171" s="16">
        <v>16</v>
      </c>
      <c r="P171" s="15">
        <v>37</v>
      </c>
      <c r="Q171" s="17">
        <f t="shared" si="54"/>
        <v>0.34782608695652173</v>
      </c>
      <c r="R171" s="17">
        <f t="shared" si="55"/>
        <v>0.80434782608695654</v>
      </c>
      <c r="S171" s="18">
        <f t="shared" si="56"/>
        <v>0.43243243243243246</v>
      </c>
      <c r="T171" s="15">
        <v>42</v>
      </c>
      <c r="U171" s="15">
        <v>107</v>
      </c>
      <c r="V171" s="17">
        <f t="shared" si="57"/>
        <v>0.91304347826086951</v>
      </c>
      <c r="W171" s="17">
        <f t="shared" si="58"/>
        <v>2.3260869565217392</v>
      </c>
      <c r="X171" s="18">
        <f t="shared" si="59"/>
        <v>0.3925233644859813</v>
      </c>
      <c r="Y171" s="15">
        <v>8</v>
      </c>
      <c r="Z171" s="15">
        <v>10</v>
      </c>
      <c r="AA171" s="17">
        <f t="shared" si="60"/>
        <v>0.17391304347826086</v>
      </c>
      <c r="AB171" s="17">
        <f t="shared" si="61"/>
        <v>0.21739130434782608</v>
      </c>
      <c r="AC171" s="18">
        <f t="shared" si="62"/>
        <v>0.8</v>
      </c>
      <c r="AD171" s="15">
        <v>63</v>
      </c>
      <c r="AE171" s="17">
        <f t="shared" si="69"/>
        <v>1.3695652173913044</v>
      </c>
      <c r="AF171" s="15">
        <v>20</v>
      </c>
      <c r="AG171" s="17">
        <f t="shared" si="70"/>
        <v>0.43478260869565216</v>
      </c>
      <c r="AH171" s="15">
        <v>43</v>
      </c>
      <c r="AI171" s="17">
        <f t="shared" si="71"/>
        <v>0.93478260869565222</v>
      </c>
      <c r="AJ171" s="15">
        <v>27</v>
      </c>
      <c r="AK171" s="17">
        <f t="shared" si="72"/>
        <v>0.58695652173913049</v>
      </c>
      <c r="AL171" s="15">
        <v>24</v>
      </c>
      <c r="AM171" s="17">
        <f t="shared" si="73"/>
        <v>0.52173913043478259</v>
      </c>
      <c r="AN171" s="15">
        <v>0</v>
      </c>
      <c r="AO171" s="17">
        <f t="shared" si="74"/>
        <v>0</v>
      </c>
      <c r="AP171" s="4">
        <v>13</v>
      </c>
      <c r="AQ171" s="17">
        <f t="shared" si="75"/>
        <v>0.28260869565217389</v>
      </c>
      <c r="AR171" s="15">
        <v>96</v>
      </c>
      <c r="AS171" s="17">
        <f t="shared" si="76"/>
        <v>2.0869565217391304</v>
      </c>
      <c r="AT171" s="19">
        <v>1.1088425916239186</v>
      </c>
      <c r="AU171" s="19">
        <v>6.5741655629876605E-2</v>
      </c>
      <c r="AV171" s="19">
        <v>0.63200779619585312</v>
      </c>
      <c r="AW171" s="19">
        <v>0.47683479542806545</v>
      </c>
      <c r="AX171" s="19">
        <v>116.1240684082435</v>
      </c>
      <c r="AY171" s="19">
        <v>113.8509197464524</v>
      </c>
      <c r="AZ171" s="19">
        <v>4.7204101922785124</v>
      </c>
      <c r="BA171" s="19">
        <v>3.8913043478260869</v>
      </c>
      <c r="BB171" s="19">
        <v>10.612648221343875</v>
      </c>
      <c r="BC171" s="18">
        <v>0.559299191374663</v>
      </c>
      <c r="BD171" s="18">
        <v>0.54861111111111116</v>
      </c>
      <c r="BE171" s="19">
        <v>9.556123774104444</v>
      </c>
      <c r="BF171" s="18">
        <v>0.74305555555555558</v>
      </c>
      <c r="BG171" s="18">
        <v>6.9444444444444448E-2</v>
      </c>
      <c r="BH171" s="19">
        <v>2.7492668621700878</v>
      </c>
      <c r="BI171" s="19">
        <v>5.9109237536656893</v>
      </c>
      <c r="BJ171" s="19">
        <v>4.2340606658004392</v>
      </c>
      <c r="BK171" s="19">
        <v>4.838709677419355</v>
      </c>
      <c r="BL171" s="19">
        <v>1.9644172621792508</v>
      </c>
      <c r="BM171" s="19">
        <v>0</v>
      </c>
      <c r="BN171" s="19">
        <v>8.0545229244113994</v>
      </c>
      <c r="BO171" s="20" t="s">
        <v>257</v>
      </c>
      <c r="BP171" s="21"/>
      <c r="BQ171" s="31" t="s">
        <v>306</v>
      </c>
      <c r="BR171" s="31">
        <v>376.07</v>
      </c>
      <c r="BS171" s="31">
        <v>476.67</v>
      </c>
      <c r="BT171" s="31">
        <v>100.6</v>
      </c>
      <c r="BU171" s="35">
        <f t="shared" si="63"/>
        <v>8.1754347826086953</v>
      </c>
      <c r="BV171" s="35">
        <f t="shared" si="64"/>
        <v>10.362391304347826</v>
      </c>
      <c r="BW171" s="35">
        <f t="shared" si="65"/>
        <v>2.1869565217391305</v>
      </c>
      <c r="BX171" s="36">
        <f t="shared" si="66"/>
        <v>22.296640316205533</v>
      </c>
      <c r="BY171" s="36">
        <f t="shared" si="67"/>
        <v>28.261067193675888</v>
      </c>
      <c r="BZ171" s="36">
        <f t="shared" si="68"/>
        <v>5.9644268774703555</v>
      </c>
      <c r="CA171" s="30">
        <v>34</v>
      </c>
      <c r="CB171" s="30">
        <v>12</v>
      </c>
    </row>
    <row r="172" spans="1:80" x14ac:dyDescent="0.4">
      <c r="A172" s="11" t="s">
        <v>53</v>
      </c>
      <c r="B172" s="11" t="s">
        <v>265</v>
      </c>
      <c r="C172" s="11" t="s">
        <v>125</v>
      </c>
      <c r="D172" s="15">
        <v>49</v>
      </c>
      <c r="E172" s="15">
        <v>24</v>
      </c>
      <c r="F172" s="15">
        <v>21</v>
      </c>
      <c r="G172" s="16">
        <v>71589</v>
      </c>
      <c r="H172" s="16">
        <v>581</v>
      </c>
      <c r="I172" s="17">
        <f t="shared" si="77"/>
        <v>11.857142857142858</v>
      </c>
      <c r="J172" s="15">
        <v>230</v>
      </c>
      <c r="K172" s="15">
        <v>385</v>
      </c>
      <c r="L172" s="17">
        <f t="shared" si="78"/>
        <v>4.6938775510204085</v>
      </c>
      <c r="M172" s="17">
        <f t="shared" si="79"/>
        <v>7.8571428571428568</v>
      </c>
      <c r="N172" s="18">
        <f t="shared" si="80"/>
        <v>0.59740259740259738</v>
      </c>
      <c r="O172" s="16">
        <v>221</v>
      </c>
      <c r="P172" s="15">
        <v>361</v>
      </c>
      <c r="Q172" s="17">
        <f t="shared" si="54"/>
        <v>4.5102040816326534</v>
      </c>
      <c r="R172" s="17">
        <f t="shared" si="55"/>
        <v>7.3673469387755102</v>
      </c>
      <c r="S172" s="18">
        <f t="shared" si="56"/>
        <v>0.61218836565096957</v>
      </c>
      <c r="T172" s="15">
        <v>9</v>
      </c>
      <c r="U172" s="15">
        <v>24</v>
      </c>
      <c r="V172" s="17">
        <f t="shared" si="57"/>
        <v>0.18367346938775511</v>
      </c>
      <c r="W172" s="17">
        <f t="shared" si="58"/>
        <v>0.48979591836734693</v>
      </c>
      <c r="X172" s="18">
        <f t="shared" si="59"/>
        <v>0.375</v>
      </c>
      <c r="Y172" s="15">
        <v>112</v>
      </c>
      <c r="Z172" s="15">
        <v>132</v>
      </c>
      <c r="AA172" s="17">
        <f t="shared" si="60"/>
        <v>2.2857142857142856</v>
      </c>
      <c r="AB172" s="17">
        <f t="shared" si="61"/>
        <v>2.693877551020408</v>
      </c>
      <c r="AC172" s="18">
        <f t="shared" si="62"/>
        <v>0.84848484848484851</v>
      </c>
      <c r="AD172" s="15">
        <v>297</v>
      </c>
      <c r="AE172" s="17">
        <f t="shared" si="69"/>
        <v>6.0612244897959187</v>
      </c>
      <c r="AF172" s="15">
        <v>123</v>
      </c>
      <c r="AG172" s="17">
        <f t="shared" si="70"/>
        <v>2.510204081632653</v>
      </c>
      <c r="AH172" s="15">
        <v>174</v>
      </c>
      <c r="AI172" s="17">
        <f t="shared" si="71"/>
        <v>3.5510204081632653</v>
      </c>
      <c r="AJ172" s="15">
        <v>50</v>
      </c>
      <c r="AK172" s="17">
        <f t="shared" si="72"/>
        <v>1.0204081632653061</v>
      </c>
      <c r="AL172" s="15">
        <v>21</v>
      </c>
      <c r="AM172" s="17">
        <f t="shared" si="73"/>
        <v>0.42857142857142855</v>
      </c>
      <c r="AN172" s="15">
        <v>60</v>
      </c>
      <c r="AO172" s="17">
        <f t="shared" si="74"/>
        <v>1.2244897959183674</v>
      </c>
      <c r="AP172" s="4">
        <v>56</v>
      </c>
      <c r="AQ172" s="17">
        <f t="shared" si="75"/>
        <v>1.1428571428571428</v>
      </c>
      <c r="AR172" s="15">
        <v>129</v>
      </c>
      <c r="AS172" s="17">
        <f t="shared" si="76"/>
        <v>2.6326530612244898</v>
      </c>
      <c r="AT172" s="19">
        <v>5.1877389271993781</v>
      </c>
      <c r="AU172" s="19">
        <v>0.1739174094522693</v>
      </c>
      <c r="AV172" s="19">
        <v>3.7877249550811634</v>
      </c>
      <c r="AW172" s="19">
        <v>1.4000139721182148</v>
      </c>
      <c r="AX172" s="19">
        <v>128.42710508161599</v>
      </c>
      <c r="AY172" s="19">
        <v>110.05355573699622</v>
      </c>
      <c r="AZ172" s="19">
        <v>16.333272735933448</v>
      </c>
      <c r="BA172" s="19">
        <v>15.877551020408163</v>
      </c>
      <c r="BB172" s="19">
        <v>26.082219335372749</v>
      </c>
      <c r="BC172" s="18">
        <v>0.65563780807077732</v>
      </c>
      <c r="BD172" s="18">
        <v>0.60909090909090913</v>
      </c>
      <c r="BE172" s="19">
        <v>17.79839572290728</v>
      </c>
      <c r="BF172" s="18">
        <v>6.2337662337662338E-2</v>
      </c>
      <c r="BG172" s="18">
        <v>0.34285714285714286</v>
      </c>
      <c r="BH172" s="19">
        <v>10.184142544876465</v>
      </c>
      <c r="BI172" s="19">
        <v>14.406835795191098</v>
      </c>
      <c r="BJ172" s="19">
        <v>12.022794733044368</v>
      </c>
      <c r="BK172" s="19">
        <v>6.3075564526302506</v>
      </c>
      <c r="BL172" s="19">
        <v>0.97193227208634081</v>
      </c>
      <c r="BM172" s="19">
        <v>4.6469886061648102</v>
      </c>
      <c r="BN172" s="19">
        <v>11.22064598861906</v>
      </c>
      <c r="BO172" s="20" t="s">
        <v>257</v>
      </c>
      <c r="BP172" s="21">
        <v>80000</v>
      </c>
      <c r="BQ172" s="30" t="s">
        <v>307</v>
      </c>
      <c r="BR172" s="30">
        <v>1144.74</v>
      </c>
      <c r="BS172" s="30">
        <v>1398.24</v>
      </c>
      <c r="BT172" s="30">
        <v>253.5</v>
      </c>
      <c r="BU172" s="35">
        <f t="shared" si="63"/>
        <v>23.36204081632653</v>
      </c>
      <c r="BV172" s="35">
        <f t="shared" si="64"/>
        <v>28.535510204081632</v>
      </c>
      <c r="BW172" s="35">
        <f t="shared" si="65"/>
        <v>5.1734693877551017</v>
      </c>
      <c r="BX172" s="36">
        <f t="shared" si="66"/>
        <v>38.377069102795119</v>
      </c>
      <c r="BY172" s="36">
        <f t="shared" si="67"/>
        <v>46.875581444076602</v>
      </c>
      <c r="BZ172" s="36">
        <f t="shared" si="68"/>
        <v>8.4985123412814811</v>
      </c>
      <c r="CA172" s="30">
        <v>38</v>
      </c>
      <c r="CB172" s="30">
        <v>11</v>
      </c>
    </row>
    <row r="173" spans="1:80" x14ac:dyDescent="0.4">
      <c r="A173" s="11" t="s">
        <v>53</v>
      </c>
      <c r="B173" s="11" t="s">
        <v>265</v>
      </c>
      <c r="C173" s="11" t="s">
        <v>143</v>
      </c>
      <c r="D173" s="15">
        <v>27</v>
      </c>
      <c r="E173" s="15">
        <v>4</v>
      </c>
      <c r="F173" s="15">
        <v>33</v>
      </c>
      <c r="G173" s="16">
        <v>7371</v>
      </c>
      <c r="H173" s="16">
        <v>37</v>
      </c>
      <c r="I173" s="17">
        <f t="shared" si="77"/>
        <v>1.3703703703703705</v>
      </c>
      <c r="J173" s="15">
        <v>13</v>
      </c>
      <c r="K173" s="15">
        <v>27</v>
      </c>
      <c r="L173" s="17">
        <f t="shared" si="78"/>
        <v>0.48148148148148145</v>
      </c>
      <c r="M173" s="17">
        <f t="shared" si="79"/>
        <v>1</v>
      </c>
      <c r="N173" s="18">
        <f t="shared" si="80"/>
        <v>0.48148148148148145</v>
      </c>
      <c r="O173" s="16">
        <v>6</v>
      </c>
      <c r="P173" s="15">
        <v>10</v>
      </c>
      <c r="Q173" s="17">
        <f t="shared" si="54"/>
        <v>0.22222222222222221</v>
      </c>
      <c r="R173" s="17">
        <f t="shared" si="55"/>
        <v>0.37037037037037035</v>
      </c>
      <c r="S173" s="18">
        <f t="shared" si="56"/>
        <v>0.6</v>
      </c>
      <c r="T173" s="15">
        <v>7</v>
      </c>
      <c r="U173" s="15">
        <v>17</v>
      </c>
      <c r="V173" s="17">
        <f t="shared" si="57"/>
        <v>0.25925925925925924</v>
      </c>
      <c r="W173" s="17">
        <f t="shared" si="58"/>
        <v>0.62962962962962965</v>
      </c>
      <c r="X173" s="18">
        <f t="shared" si="59"/>
        <v>0.41176470588235292</v>
      </c>
      <c r="Y173" s="15">
        <v>4</v>
      </c>
      <c r="Z173" s="15">
        <v>5</v>
      </c>
      <c r="AA173" s="17">
        <f t="shared" si="60"/>
        <v>0.14814814814814814</v>
      </c>
      <c r="AB173" s="17">
        <f t="shared" si="61"/>
        <v>0.18518518518518517</v>
      </c>
      <c r="AC173" s="18">
        <f t="shared" si="62"/>
        <v>0.8</v>
      </c>
      <c r="AD173" s="15">
        <v>13</v>
      </c>
      <c r="AE173" s="17">
        <f t="shared" si="69"/>
        <v>0.48148148148148145</v>
      </c>
      <c r="AF173" s="15">
        <v>0</v>
      </c>
      <c r="AG173" s="17">
        <f t="shared" si="70"/>
        <v>0</v>
      </c>
      <c r="AH173" s="15">
        <v>13</v>
      </c>
      <c r="AI173" s="17">
        <f t="shared" si="71"/>
        <v>0.48148148148148145</v>
      </c>
      <c r="AJ173" s="15">
        <v>11</v>
      </c>
      <c r="AK173" s="17">
        <f t="shared" si="72"/>
        <v>0.40740740740740738</v>
      </c>
      <c r="AL173" s="15">
        <v>1</v>
      </c>
      <c r="AM173" s="17">
        <f t="shared" si="73"/>
        <v>3.7037037037037035E-2</v>
      </c>
      <c r="AN173" s="15">
        <v>0</v>
      </c>
      <c r="AO173" s="17">
        <f t="shared" si="74"/>
        <v>0</v>
      </c>
      <c r="AP173" s="4">
        <v>12</v>
      </c>
      <c r="AQ173" s="17">
        <f t="shared" si="75"/>
        <v>0.44444444444444442</v>
      </c>
      <c r="AR173" s="15">
        <v>13</v>
      </c>
      <c r="AS173" s="17">
        <f t="shared" si="76"/>
        <v>0.48148148148148145</v>
      </c>
      <c r="AT173" s="19">
        <v>-7.1142064120660597E-4</v>
      </c>
      <c r="AU173" s="19">
        <v>-2.3163879241566333E-4</v>
      </c>
      <c r="AV173" s="19">
        <v>-6.410331476488873E-2</v>
      </c>
      <c r="AW173" s="19">
        <v>6.3391894123682124E-2</v>
      </c>
      <c r="AX173" s="19">
        <v>96.536285355400608</v>
      </c>
      <c r="AY173" s="19">
        <v>115.40338081889574</v>
      </c>
      <c r="AZ173" s="19">
        <v>2.2551907891650402</v>
      </c>
      <c r="BA173" s="19">
        <v>1.2962962962962963</v>
      </c>
      <c r="BB173" s="19">
        <v>11.396011396011396</v>
      </c>
      <c r="BC173" s="18">
        <v>0.63356164383561642</v>
      </c>
      <c r="BD173" s="18">
        <v>0.61111111111111116</v>
      </c>
      <c r="BE173" s="19">
        <v>7.8631303828208932</v>
      </c>
      <c r="BF173" s="18">
        <v>0.62962962962962965</v>
      </c>
      <c r="BG173" s="18">
        <v>0.18518518518518517</v>
      </c>
      <c r="BH173" s="19">
        <v>0</v>
      </c>
      <c r="BI173" s="19">
        <v>5.7603686635944698</v>
      </c>
      <c r="BJ173" s="19">
        <v>2.8163064141378582</v>
      </c>
      <c r="BK173" s="19">
        <v>6.1763054463784393</v>
      </c>
      <c r="BL173" s="19">
        <v>0.4495071381823818</v>
      </c>
      <c r="BM173" s="19">
        <v>0</v>
      </c>
      <c r="BN173" s="19">
        <v>29.126213592233007</v>
      </c>
      <c r="BO173" s="20" t="s">
        <v>257</v>
      </c>
      <c r="BP173" s="21">
        <v>45000</v>
      </c>
      <c r="BQ173" s="30" t="s">
        <v>306</v>
      </c>
      <c r="BR173" s="30">
        <v>69.38</v>
      </c>
      <c r="BS173" s="30">
        <v>101.18</v>
      </c>
      <c r="BT173" s="30">
        <v>31.8</v>
      </c>
      <c r="BU173" s="35">
        <f t="shared" si="63"/>
        <v>2.5696296296296302</v>
      </c>
      <c r="BV173" s="35">
        <f t="shared" si="64"/>
        <v>3.7474074074074077</v>
      </c>
      <c r="BW173" s="35">
        <f t="shared" si="65"/>
        <v>1.1777777777777778</v>
      </c>
      <c r="BX173" s="36">
        <f t="shared" si="66"/>
        <v>22.590150590150593</v>
      </c>
      <c r="BY173" s="36">
        <f t="shared" si="67"/>
        <v>32.944240944240946</v>
      </c>
      <c r="BZ173" s="36">
        <f t="shared" si="68"/>
        <v>10.354090354090355</v>
      </c>
      <c r="CA173" s="31">
        <v>22</v>
      </c>
      <c r="CB173" s="31">
        <v>5</v>
      </c>
    </row>
    <row r="174" spans="1:80" x14ac:dyDescent="0.4">
      <c r="A174" s="11" t="s">
        <v>53</v>
      </c>
      <c r="B174" s="11" t="s">
        <v>265</v>
      </c>
      <c r="C174" s="11" t="s">
        <v>140</v>
      </c>
      <c r="D174" s="15">
        <v>2</v>
      </c>
      <c r="E174" s="15">
        <v>6</v>
      </c>
      <c r="F174" s="15">
        <v>58</v>
      </c>
      <c r="G174" s="16">
        <v>836</v>
      </c>
      <c r="H174" s="16">
        <v>6</v>
      </c>
      <c r="I174" s="17">
        <f t="shared" si="77"/>
        <v>3</v>
      </c>
      <c r="J174" s="15">
        <v>2</v>
      </c>
      <c r="K174" s="15">
        <v>5</v>
      </c>
      <c r="L174" s="17">
        <f t="shared" si="78"/>
        <v>1</v>
      </c>
      <c r="M174" s="17">
        <f t="shared" si="79"/>
        <v>2.5</v>
      </c>
      <c r="N174" s="18">
        <f t="shared" si="80"/>
        <v>0.4</v>
      </c>
      <c r="O174" s="16">
        <v>0</v>
      </c>
      <c r="P174" s="15">
        <v>1</v>
      </c>
      <c r="Q174" s="17">
        <f t="shared" si="54"/>
        <v>0</v>
      </c>
      <c r="R174" s="17">
        <f t="shared" si="55"/>
        <v>0.5</v>
      </c>
      <c r="S174" s="18">
        <f t="shared" si="56"/>
        <v>0</v>
      </c>
      <c r="T174" s="15">
        <v>2</v>
      </c>
      <c r="U174" s="15">
        <v>4</v>
      </c>
      <c r="V174" s="17">
        <f t="shared" si="57"/>
        <v>1</v>
      </c>
      <c r="W174" s="17">
        <f t="shared" si="58"/>
        <v>2</v>
      </c>
      <c r="X174" s="18">
        <f t="shared" si="59"/>
        <v>0.5</v>
      </c>
      <c r="Y174" s="15">
        <v>0</v>
      </c>
      <c r="Z174" s="15">
        <v>0</v>
      </c>
      <c r="AA174" s="17">
        <f t="shared" si="60"/>
        <v>0</v>
      </c>
      <c r="AB174" s="17">
        <f t="shared" si="61"/>
        <v>0</v>
      </c>
      <c r="AC174" s="18" t="e">
        <f t="shared" si="62"/>
        <v>#DIV/0!</v>
      </c>
      <c r="AD174" s="15">
        <v>1</v>
      </c>
      <c r="AE174" s="17">
        <f t="shared" si="69"/>
        <v>0.5</v>
      </c>
      <c r="AF174" s="15">
        <v>1</v>
      </c>
      <c r="AG174" s="17">
        <f t="shared" si="70"/>
        <v>0.5</v>
      </c>
      <c r="AH174" s="15">
        <v>0</v>
      </c>
      <c r="AI174" s="17">
        <f t="shared" si="71"/>
        <v>0</v>
      </c>
      <c r="AJ174" s="15">
        <v>0</v>
      </c>
      <c r="AK174" s="17">
        <f t="shared" si="72"/>
        <v>0</v>
      </c>
      <c r="AL174" s="15">
        <v>1</v>
      </c>
      <c r="AM174" s="17">
        <f t="shared" si="73"/>
        <v>0.5</v>
      </c>
      <c r="AN174" s="15">
        <v>0</v>
      </c>
      <c r="AO174" s="17">
        <f t="shared" si="74"/>
        <v>0</v>
      </c>
      <c r="AP174" s="32">
        <v>2</v>
      </c>
      <c r="AQ174" s="17">
        <f t="shared" si="75"/>
        <v>1</v>
      </c>
      <c r="AR174" s="15">
        <v>4</v>
      </c>
      <c r="AS174" s="17">
        <f t="shared" si="76"/>
        <v>2</v>
      </c>
      <c r="AT174" s="19">
        <v>-1.9912163319373979E-2</v>
      </c>
      <c r="AU174" s="19">
        <v>-5.7164105223083191E-2</v>
      </c>
      <c r="AV174" s="19">
        <v>-3.3139029774399344E-2</v>
      </c>
      <c r="AW174" s="19">
        <v>1.3226866455025365E-2</v>
      </c>
      <c r="AX174" s="19">
        <v>84.749224104869853</v>
      </c>
      <c r="AY174" s="19">
        <v>111.87717842805556</v>
      </c>
      <c r="AZ174" s="19">
        <v>3.4347520352107697E-2</v>
      </c>
      <c r="BA174" s="19">
        <v>1.5</v>
      </c>
      <c r="BB174" s="19">
        <v>8.6124401913875595</v>
      </c>
      <c r="BC174" s="18">
        <v>0.6</v>
      </c>
      <c r="BD174" s="18">
        <v>0.6</v>
      </c>
      <c r="BE174" s="19">
        <v>0.87253461708382063</v>
      </c>
      <c r="BF174" s="18">
        <v>0.8</v>
      </c>
      <c r="BG174" s="18">
        <v>0</v>
      </c>
      <c r="BH174" s="19">
        <v>0.28939651180737769</v>
      </c>
      <c r="BI174" s="19">
        <v>0</v>
      </c>
      <c r="BJ174" s="19">
        <v>0.14148907822223689</v>
      </c>
      <c r="BK174" s="19">
        <v>0</v>
      </c>
      <c r="BL174" s="19">
        <v>3.963297985098488</v>
      </c>
      <c r="BM174" s="19">
        <v>0</v>
      </c>
      <c r="BN174" s="19">
        <v>28.571428571428573</v>
      </c>
      <c r="BO174" s="20" t="s">
        <v>257</v>
      </c>
      <c r="BP174" s="21">
        <v>45000</v>
      </c>
      <c r="BQ174" s="30" t="s">
        <v>305</v>
      </c>
      <c r="BR174" s="30">
        <v>6.18</v>
      </c>
      <c r="BS174" s="30">
        <v>11.98</v>
      </c>
      <c r="BT174" s="30">
        <v>5.8</v>
      </c>
      <c r="BU174" s="35">
        <f t="shared" si="63"/>
        <v>3.0900000000000003</v>
      </c>
      <c r="BV174" s="35">
        <f t="shared" si="64"/>
        <v>5.99</v>
      </c>
      <c r="BW174" s="35">
        <f t="shared" si="65"/>
        <v>2.9</v>
      </c>
      <c r="BX174" s="36">
        <f t="shared" si="66"/>
        <v>17.741626794258369</v>
      </c>
      <c r="BY174" s="36">
        <f t="shared" si="67"/>
        <v>34.392344497607652</v>
      </c>
      <c r="BZ174" s="36">
        <f t="shared" si="68"/>
        <v>16.650717703349283</v>
      </c>
      <c r="CA174" s="31">
        <v>1</v>
      </c>
      <c r="CB174" s="31">
        <v>1</v>
      </c>
    </row>
    <row r="175" spans="1:80" x14ac:dyDescent="0.4">
      <c r="A175" s="11" t="s">
        <v>53</v>
      </c>
      <c r="B175" s="11" t="s">
        <v>265</v>
      </c>
      <c r="C175" s="11" t="s">
        <v>136</v>
      </c>
      <c r="D175" s="15">
        <v>9</v>
      </c>
      <c r="E175" s="15">
        <v>6</v>
      </c>
      <c r="F175" s="15">
        <v>12</v>
      </c>
      <c r="G175" s="16">
        <v>3348</v>
      </c>
      <c r="H175" s="16">
        <v>16</v>
      </c>
      <c r="I175" s="17">
        <f t="shared" si="77"/>
        <v>1.7777777777777777</v>
      </c>
      <c r="J175" s="15">
        <v>6</v>
      </c>
      <c r="K175" s="15">
        <v>15</v>
      </c>
      <c r="L175" s="17">
        <f t="shared" si="78"/>
        <v>0.66666666666666663</v>
      </c>
      <c r="M175" s="17">
        <f t="shared" si="79"/>
        <v>1.6666666666666667</v>
      </c>
      <c r="N175" s="18">
        <f t="shared" si="80"/>
        <v>0.4</v>
      </c>
      <c r="O175" s="16">
        <v>3</v>
      </c>
      <c r="P175" s="15">
        <v>5</v>
      </c>
      <c r="Q175" s="17">
        <f t="shared" si="54"/>
        <v>0.33333333333333331</v>
      </c>
      <c r="R175" s="17">
        <f t="shared" si="55"/>
        <v>0.55555555555555558</v>
      </c>
      <c r="S175" s="18">
        <f t="shared" si="56"/>
        <v>0.6</v>
      </c>
      <c r="T175" s="15">
        <v>3</v>
      </c>
      <c r="U175" s="15">
        <v>10</v>
      </c>
      <c r="V175" s="17">
        <f t="shared" si="57"/>
        <v>0.33333333333333331</v>
      </c>
      <c r="W175" s="17">
        <f t="shared" si="58"/>
        <v>1.1111111111111112</v>
      </c>
      <c r="X175" s="18">
        <f t="shared" si="59"/>
        <v>0.3</v>
      </c>
      <c r="Y175" s="15">
        <v>1</v>
      </c>
      <c r="Z175" s="15">
        <v>2</v>
      </c>
      <c r="AA175" s="17">
        <f t="shared" si="60"/>
        <v>0.1111111111111111</v>
      </c>
      <c r="AB175" s="17">
        <f t="shared" si="61"/>
        <v>0.22222222222222221</v>
      </c>
      <c r="AC175" s="18">
        <f t="shared" si="62"/>
        <v>0.5</v>
      </c>
      <c r="AD175" s="15">
        <v>15</v>
      </c>
      <c r="AE175" s="17">
        <f t="shared" si="69"/>
        <v>1.6666666666666667</v>
      </c>
      <c r="AF175" s="15">
        <v>4</v>
      </c>
      <c r="AG175" s="17">
        <f t="shared" si="70"/>
        <v>0.44444444444444442</v>
      </c>
      <c r="AH175" s="15">
        <v>11</v>
      </c>
      <c r="AI175" s="17">
        <f t="shared" si="71"/>
        <v>1.2222222222222223</v>
      </c>
      <c r="AJ175" s="15">
        <v>0</v>
      </c>
      <c r="AK175" s="17">
        <f t="shared" si="72"/>
        <v>0</v>
      </c>
      <c r="AL175" s="15">
        <v>2</v>
      </c>
      <c r="AM175" s="17">
        <f t="shared" si="73"/>
        <v>0.22222222222222221</v>
      </c>
      <c r="AN175" s="15">
        <v>0</v>
      </c>
      <c r="AO175" s="17">
        <f t="shared" si="74"/>
        <v>0</v>
      </c>
      <c r="AP175" s="4">
        <v>0</v>
      </c>
      <c r="AQ175" s="17">
        <f t="shared" si="75"/>
        <v>0</v>
      </c>
      <c r="AR175" s="15">
        <v>7</v>
      </c>
      <c r="AS175" s="17">
        <f t="shared" si="76"/>
        <v>0.77777777777777779</v>
      </c>
      <c r="AT175" s="19">
        <v>0.1391880329296698</v>
      </c>
      <c r="AU175" s="19">
        <v>9.9776367691519569E-2</v>
      </c>
      <c r="AV175" s="19">
        <v>5.9928179754210047E-2</v>
      </c>
      <c r="AW175" s="19">
        <v>7.9259853175459749E-2</v>
      </c>
      <c r="AX175" s="19">
        <v>115.94280642496837</v>
      </c>
      <c r="AY175" s="19">
        <v>108.04298505832251</v>
      </c>
      <c r="AZ175" s="19">
        <v>1.5657752404278396</v>
      </c>
      <c r="BA175" s="19">
        <v>2.5555555555555554</v>
      </c>
      <c r="BB175" s="19">
        <v>16.487455197132618</v>
      </c>
      <c r="BC175" s="18">
        <v>0.50377833753148615</v>
      </c>
      <c r="BD175" s="18">
        <v>0.5</v>
      </c>
      <c r="BE175" s="19">
        <v>2.2241724971826682</v>
      </c>
      <c r="BF175" s="18">
        <v>0.66666666666666663</v>
      </c>
      <c r="BG175" s="18">
        <v>0.13333333333333333</v>
      </c>
      <c r="BH175" s="19">
        <v>1.3007284079084287</v>
      </c>
      <c r="BI175" s="19">
        <v>3.577003121748179</v>
      </c>
      <c r="BJ175" s="19">
        <v>2.3847755926167347</v>
      </c>
      <c r="BK175" s="19">
        <v>0</v>
      </c>
      <c r="BL175" s="19">
        <v>1.9792814310288742</v>
      </c>
      <c r="BM175" s="19">
        <v>0</v>
      </c>
      <c r="BN175" s="19">
        <v>0</v>
      </c>
      <c r="BO175" s="20" t="s">
        <v>257</v>
      </c>
      <c r="BP175" s="21">
        <v>45000</v>
      </c>
      <c r="BQ175" s="31" t="s">
        <v>305</v>
      </c>
      <c r="BR175" s="31">
        <v>41.33</v>
      </c>
      <c r="BS175" s="31">
        <v>50.43</v>
      </c>
      <c r="BT175" s="31">
        <v>9.1</v>
      </c>
      <c r="BU175" s="35">
        <f t="shared" si="63"/>
        <v>4.5922222222222224</v>
      </c>
      <c r="BV175" s="35">
        <f t="shared" si="64"/>
        <v>5.6033333333333335</v>
      </c>
      <c r="BW175" s="35">
        <f t="shared" si="65"/>
        <v>1.0111111111111111</v>
      </c>
      <c r="BX175" s="36">
        <f t="shared" si="66"/>
        <v>29.627240143369175</v>
      </c>
      <c r="BY175" s="36">
        <f t="shared" si="67"/>
        <v>36.1505376344086</v>
      </c>
      <c r="BZ175" s="36">
        <f t="shared" si="68"/>
        <v>6.5232974910394264</v>
      </c>
      <c r="CA175" s="30">
        <v>7</v>
      </c>
      <c r="CB175" s="30">
        <v>2</v>
      </c>
    </row>
    <row r="176" spans="1:80" x14ac:dyDescent="0.4">
      <c r="A176" s="11" t="s">
        <v>53</v>
      </c>
      <c r="B176" s="11" t="s">
        <v>265</v>
      </c>
      <c r="C176" s="11" t="s">
        <v>137</v>
      </c>
      <c r="D176" s="15">
        <v>11</v>
      </c>
      <c r="E176" s="15">
        <v>16</v>
      </c>
      <c r="F176" s="15">
        <v>10</v>
      </c>
      <c r="G176" s="16">
        <v>10670</v>
      </c>
      <c r="H176" s="16">
        <v>68</v>
      </c>
      <c r="I176" s="17">
        <f t="shared" si="77"/>
        <v>6.1818181818181817</v>
      </c>
      <c r="J176" s="15">
        <v>20</v>
      </c>
      <c r="K176" s="15">
        <v>58</v>
      </c>
      <c r="L176" s="17">
        <f t="shared" si="78"/>
        <v>1.8181818181818181</v>
      </c>
      <c r="M176" s="17">
        <f t="shared" si="79"/>
        <v>5.2727272727272725</v>
      </c>
      <c r="N176" s="18">
        <f t="shared" si="80"/>
        <v>0.34482758620689657</v>
      </c>
      <c r="O176" s="16">
        <v>8</v>
      </c>
      <c r="P176" s="15">
        <v>17</v>
      </c>
      <c r="Q176" s="17">
        <f t="shared" si="54"/>
        <v>0.72727272727272729</v>
      </c>
      <c r="R176" s="17">
        <f t="shared" si="55"/>
        <v>1.5454545454545454</v>
      </c>
      <c r="S176" s="18">
        <f t="shared" si="56"/>
        <v>0.47058823529411764</v>
      </c>
      <c r="T176" s="15">
        <v>12</v>
      </c>
      <c r="U176" s="15">
        <v>41</v>
      </c>
      <c r="V176" s="17">
        <f t="shared" si="57"/>
        <v>1.0909090909090908</v>
      </c>
      <c r="W176" s="17">
        <f t="shared" si="58"/>
        <v>3.7272727272727271</v>
      </c>
      <c r="X176" s="18">
        <f t="shared" si="59"/>
        <v>0.29268292682926828</v>
      </c>
      <c r="Y176" s="15">
        <v>16</v>
      </c>
      <c r="Z176" s="15">
        <v>21</v>
      </c>
      <c r="AA176" s="17">
        <f t="shared" si="60"/>
        <v>1.4545454545454546</v>
      </c>
      <c r="AB176" s="17">
        <f t="shared" si="61"/>
        <v>1.9090909090909092</v>
      </c>
      <c r="AC176" s="18">
        <f t="shared" si="62"/>
        <v>0.76190476190476186</v>
      </c>
      <c r="AD176" s="15">
        <v>19</v>
      </c>
      <c r="AE176" s="17">
        <f t="shared" si="69"/>
        <v>1.7272727272727273</v>
      </c>
      <c r="AF176" s="15">
        <v>3</v>
      </c>
      <c r="AG176" s="17">
        <f t="shared" si="70"/>
        <v>0.27272727272727271</v>
      </c>
      <c r="AH176" s="15">
        <v>16</v>
      </c>
      <c r="AI176" s="17">
        <f t="shared" si="71"/>
        <v>1.4545454545454546</v>
      </c>
      <c r="AJ176" s="15">
        <v>18</v>
      </c>
      <c r="AK176" s="17">
        <f t="shared" si="72"/>
        <v>1.6363636363636365</v>
      </c>
      <c r="AL176" s="15">
        <v>10</v>
      </c>
      <c r="AM176" s="17">
        <f t="shared" si="73"/>
        <v>0.90909090909090906</v>
      </c>
      <c r="AN176" s="15">
        <v>0</v>
      </c>
      <c r="AO176" s="17">
        <f t="shared" si="74"/>
        <v>0</v>
      </c>
      <c r="AP176" s="4">
        <v>10</v>
      </c>
      <c r="AQ176" s="17">
        <f t="shared" si="75"/>
        <v>0.90909090909090906</v>
      </c>
      <c r="AR176" s="15">
        <v>19</v>
      </c>
      <c r="AS176" s="17">
        <f t="shared" si="76"/>
        <v>1.7272727272727273</v>
      </c>
      <c r="AT176" s="19">
        <v>0.25500099045233432</v>
      </c>
      <c r="AU176" s="19">
        <v>5.7357298695932743E-2</v>
      </c>
      <c r="AV176" s="19">
        <v>5.2523453187681236E-2</v>
      </c>
      <c r="AW176" s="19">
        <v>0.20247753726465306</v>
      </c>
      <c r="AX176" s="19">
        <v>104.29134346948091</v>
      </c>
      <c r="AY176" s="19">
        <v>110.33673516932906</v>
      </c>
      <c r="AZ176" s="19">
        <v>1.7929027862984377</v>
      </c>
      <c r="BA176" s="19">
        <v>5.6363636363636367</v>
      </c>
      <c r="BB176" s="19">
        <v>13.9456419868791</v>
      </c>
      <c r="BC176" s="18">
        <v>0.50565139797739445</v>
      </c>
      <c r="BD176" s="18">
        <v>0.44827586206896552</v>
      </c>
      <c r="BE176" s="19">
        <v>4.148885398857983</v>
      </c>
      <c r="BF176" s="18">
        <v>0.7068965517241379</v>
      </c>
      <c r="BG176" s="18">
        <v>0.36206896551724138</v>
      </c>
      <c r="BH176" s="19">
        <v>0.37412703691386762</v>
      </c>
      <c r="BI176" s="19">
        <v>1.9953441968739609</v>
      </c>
      <c r="BJ176" s="19">
        <v>1.1584600610732014</v>
      </c>
      <c r="BK176" s="19">
        <v>2.7314112291350532</v>
      </c>
      <c r="BL176" s="19">
        <v>3.105264400695722</v>
      </c>
      <c r="BM176" s="19">
        <v>0</v>
      </c>
      <c r="BN176" s="19">
        <v>12.946659761781461</v>
      </c>
      <c r="BO176" s="20" t="s">
        <v>257</v>
      </c>
      <c r="BP176" s="21">
        <v>65000</v>
      </c>
      <c r="BQ176" s="30" t="s">
        <v>306</v>
      </c>
      <c r="BR176" s="30">
        <v>115.86</v>
      </c>
      <c r="BS176" s="30">
        <v>169.96</v>
      </c>
      <c r="BT176" s="30">
        <v>54.1</v>
      </c>
      <c r="BU176" s="35">
        <f t="shared" si="63"/>
        <v>10.532727272727273</v>
      </c>
      <c r="BV176" s="35">
        <f t="shared" si="64"/>
        <v>15.450909090909091</v>
      </c>
      <c r="BW176" s="35">
        <f t="shared" si="65"/>
        <v>4.918181818181818</v>
      </c>
      <c r="BX176" s="36">
        <f t="shared" si="66"/>
        <v>26.060356138706652</v>
      </c>
      <c r="BY176" s="36">
        <f t="shared" si="67"/>
        <v>38.229053420805997</v>
      </c>
      <c r="BZ176" s="36">
        <f t="shared" si="68"/>
        <v>12.168697282099345</v>
      </c>
      <c r="CA176" s="30">
        <v>8</v>
      </c>
      <c r="CB176" s="30">
        <v>3</v>
      </c>
    </row>
    <row r="177" spans="1:80" x14ac:dyDescent="0.4">
      <c r="A177" s="11" t="s">
        <v>53</v>
      </c>
      <c r="B177" s="11" t="s">
        <v>265</v>
      </c>
      <c r="C177" s="11" t="s">
        <v>126</v>
      </c>
      <c r="D177" s="15">
        <v>53</v>
      </c>
      <c r="E177" s="15">
        <v>30</v>
      </c>
      <c r="F177" s="15">
        <v>41</v>
      </c>
      <c r="G177" s="16">
        <v>97573</v>
      </c>
      <c r="H177" s="16">
        <v>1157</v>
      </c>
      <c r="I177" s="17">
        <f t="shared" si="77"/>
        <v>21.830188679245282</v>
      </c>
      <c r="J177" s="15">
        <v>418</v>
      </c>
      <c r="K177" s="15">
        <v>894</v>
      </c>
      <c r="L177" s="17">
        <f t="shared" si="78"/>
        <v>7.8867924528301883</v>
      </c>
      <c r="M177" s="17">
        <f t="shared" si="79"/>
        <v>16.867924528301888</v>
      </c>
      <c r="N177" s="18">
        <f t="shared" si="80"/>
        <v>0.46756152125279643</v>
      </c>
      <c r="O177" s="16">
        <v>285</v>
      </c>
      <c r="P177" s="15">
        <v>516</v>
      </c>
      <c r="Q177" s="17">
        <f t="shared" si="54"/>
        <v>5.3773584905660377</v>
      </c>
      <c r="R177" s="17">
        <f t="shared" si="55"/>
        <v>9.7358490566037741</v>
      </c>
      <c r="S177" s="18">
        <f t="shared" si="56"/>
        <v>0.55232558139534882</v>
      </c>
      <c r="T177" s="15">
        <v>133</v>
      </c>
      <c r="U177" s="15">
        <v>378</v>
      </c>
      <c r="V177" s="17">
        <f t="shared" si="57"/>
        <v>2.5094339622641511</v>
      </c>
      <c r="W177" s="17">
        <f t="shared" si="58"/>
        <v>7.132075471698113</v>
      </c>
      <c r="X177" s="18">
        <f t="shared" si="59"/>
        <v>0.35185185185185186</v>
      </c>
      <c r="Y177" s="15">
        <v>188</v>
      </c>
      <c r="Z177" s="15">
        <v>249</v>
      </c>
      <c r="AA177" s="17">
        <f t="shared" si="60"/>
        <v>3.5471698113207548</v>
      </c>
      <c r="AB177" s="17">
        <f t="shared" si="61"/>
        <v>4.6981132075471699</v>
      </c>
      <c r="AC177" s="18">
        <f t="shared" si="62"/>
        <v>0.75502008032128509</v>
      </c>
      <c r="AD177" s="15">
        <v>520</v>
      </c>
      <c r="AE177" s="17">
        <f t="shared" si="69"/>
        <v>9.8113207547169807</v>
      </c>
      <c r="AF177" s="15">
        <v>102</v>
      </c>
      <c r="AG177" s="17">
        <f t="shared" si="70"/>
        <v>1.9245283018867925</v>
      </c>
      <c r="AH177" s="15">
        <v>418</v>
      </c>
      <c r="AI177" s="17">
        <f t="shared" si="71"/>
        <v>7.8867924528301883</v>
      </c>
      <c r="AJ177" s="15">
        <v>238</v>
      </c>
      <c r="AK177" s="17">
        <f t="shared" si="72"/>
        <v>4.4905660377358494</v>
      </c>
      <c r="AL177" s="15">
        <v>65</v>
      </c>
      <c r="AM177" s="17">
        <f t="shared" si="73"/>
        <v>1.2264150943396226</v>
      </c>
      <c r="AN177" s="15">
        <v>53</v>
      </c>
      <c r="AO177" s="17">
        <f t="shared" si="74"/>
        <v>1</v>
      </c>
      <c r="AP177" s="4">
        <v>109</v>
      </c>
      <c r="AQ177" s="17">
        <f t="shared" si="75"/>
        <v>2.0566037735849059</v>
      </c>
      <c r="AR177" s="15">
        <v>104</v>
      </c>
      <c r="AS177" s="17">
        <f t="shared" si="76"/>
        <v>1.9622641509433962</v>
      </c>
      <c r="AT177" s="19">
        <v>8.58109424850627</v>
      </c>
      <c r="AU177" s="19">
        <v>0.21106890427080288</v>
      </c>
      <c r="AV177" s="19">
        <v>5.3667350076803073</v>
      </c>
      <c r="AW177" s="19">
        <v>3.2143592408259631</v>
      </c>
      <c r="AX177" s="19">
        <v>118.90257799883308</v>
      </c>
      <c r="AY177" s="19">
        <v>103.516802104262</v>
      </c>
      <c r="AZ177" s="19">
        <v>24.70538326128246</v>
      </c>
      <c r="BA177" s="19">
        <v>26.169811320754718</v>
      </c>
      <c r="BB177" s="19">
        <v>34.115995203591154</v>
      </c>
      <c r="BC177" s="18">
        <v>0.57644784566941687</v>
      </c>
      <c r="BD177" s="18">
        <v>0.54194630872483218</v>
      </c>
      <c r="BE177" s="19">
        <v>31.48694758109724</v>
      </c>
      <c r="BF177" s="18">
        <v>0.42281879194630873</v>
      </c>
      <c r="BG177" s="18">
        <v>0.27852348993288589</v>
      </c>
      <c r="BH177" s="19">
        <v>6.7021779888209423</v>
      </c>
      <c r="BI177" s="19">
        <v>27.465788228697583</v>
      </c>
      <c r="BJ177" s="19">
        <v>16.705087475494519</v>
      </c>
      <c r="BK177" s="19">
        <v>27.334328701045134</v>
      </c>
      <c r="BL177" s="19">
        <v>2.2072254876887238</v>
      </c>
      <c r="BM177" s="19">
        <v>3.2575617304106448</v>
      </c>
      <c r="BN177" s="19">
        <v>9.7972244193571587</v>
      </c>
      <c r="BO177" s="20" t="s">
        <v>239</v>
      </c>
      <c r="BP177" s="21"/>
      <c r="BQ177" s="30" t="s">
        <v>305</v>
      </c>
      <c r="BR177" s="30">
        <v>1947.22</v>
      </c>
      <c r="BS177" s="30">
        <v>2611.02</v>
      </c>
      <c r="BT177" s="30">
        <v>663.8</v>
      </c>
      <c r="BU177" s="35">
        <f t="shared" si="63"/>
        <v>36.74</v>
      </c>
      <c r="BV177" s="35">
        <f t="shared" si="64"/>
        <v>49.264528301886791</v>
      </c>
      <c r="BW177" s="35">
        <f t="shared" si="65"/>
        <v>12.524528301886791</v>
      </c>
      <c r="BX177" s="36">
        <f t="shared" si="66"/>
        <v>47.895708853883761</v>
      </c>
      <c r="BY177" s="36">
        <f t="shared" si="67"/>
        <v>64.223176493497178</v>
      </c>
      <c r="BZ177" s="36">
        <f t="shared" si="68"/>
        <v>16.327467639613417</v>
      </c>
      <c r="CA177" s="30">
        <v>40</v>
      </c>
      <c r="CB177" s="30">
        <v>13</v>
      </c>
    </row>
    <row r="178" spans="1:80" x14ac:dyDescent="0.4">
      <c r="A178" s="11" t="s">
        <v>53</v>
      </c>
      <c r="B178" s="11" t="s">
        <v>265</v>
      </c>
      <c r="C178" s="11" t="s">
        <v>135</v>
      </c>
      <c r="D178" s="15">
        <v>24</v>
      </c>
      <c r="E178" s="15">
        <v>5</v>
      </c>
      <c r="F178" s="15">
        <v>55</v>
      </c>
      <c r="G178" s="16">
        <v>8520</v>
      </c>
      <c r="H178" s="16">
        <v>56</v>
      </c>
      <c r="I178" s="17">
        <f t="shared" si="77"/>
        <v>2.3333333333333335</v>
      </c>
      <c r="J178" s="15">
        <v>24</v>
      </c>
      <c r="K178" s="15">
        <v>53</v>
      </c>
      <c r="L178" s="17">
        <f t="shared" si="78"/>
        <v>1</v>
      </c>
      <c r="M178" s="17">
        <f t="shared" si="79"/>
        <v>2.2083333333333335</v>
      </c>
      <c r="N178" s="18">
        <f t="shared" si="80"/>
        <v>0.45283018867924529</v>
      </c>
      <c r="O178" s="16">
        <v>16</v>
      </c>
      <c r="P178" s="15">
        <v>35</v>
      </c>
      <c r="Q178" s="17">
        <f t="shared" si="54"/>
        <v>0.66666666666666663</v>
      </c>
      <c r="R178" s="17">
        <f t="shared" si="55"/>
        <v>1.4583333333333333</v>
      </c>
      <c r="S178" s="18">
        <f t="shared" si="56"/>
        <v>0.45714285714285713</v>
      </c>
      <c r="T178" s="15">
        <v>8</v>
      </c>
      <c r="U178" s="15">
        <v>18</v>
      </c>
      <c r="V178" s="17">
        <f t="shared" si="57"/>
        <v>0.33333333333333331</v>
      </c>
      <c r="W178" s="17">
        <f t="shared" si="58"/>
        <v>0.75</v>
      </c>
      <c r="X178" s="18">
        <f t="shared" si="59"/>
        <v>0.44444444444444442</v>
      </c>
      <c r="Y178" s="15">
        <v>0</v>
      </c>
      <c r="Z178" s="15">
        <v>1</v>
      </c>
      <c r="AA178" s="17">
        <f t="shared" si="60"/>
        <v>0</v>
      </c>
      <c r="AB178" s="17">
        <f t="shared" si="61"/>
        <v>4.1666666666666664E-2</v>
      </c>
      <c r="AC178" s="18">
        <f t="shared" si="62"/>
        <v>0</v>
      </c>
      <c r="AD178" s="15">
        <v>15</v>
      </c>
      <c r="AE178" s="17">
        <f t="shared" si="69"/>
        <v>0.625</v>
      </c>
      <c r="AF178" s="15">
        <v>7</v>
      </c>
      <c r="AG178" s="17">
        <f t="shared" si="70"/>
        <v>0.29166666666666669</v>
      </c>
      <c r="AH178" s="15">
        <v>8</v>
      </c>
      <c r="AI178" s="17">
        <f t="shared" si="71"/>
        <v>0.33333333333333331</v>
      </c>
      <c r="AJ178" s="15">
        <v>15</v>
      </c>
      <c r="AK178" s="17">
        <f t="shared" si="72"/>
        <v>0.625</v>
      </c>
      <c r="AL178" s="15">
        <v>3</v>
      </c>
      <c r="AM178" s="17">
        <f t="shared" si="73"/>
        <v>0.125</v>
      </c>
      <c r="AN178" s="15">
        <v>0</v>
      </c>
      <c r="AO178" s="17">
        <f t="shared" si="74"/>
        <v>0</v>
      </c>
      <c r="AP178" s="4">
        <v>15</v>
      </c>
      <c r="AQ178" s="17">
        <f t="shared" si="75"/>
        <v>0.625</v>
      </c>
      <c r="AR178" s="15">
        <v>17</v>
      </c>
      <c r="AS178" s="17">
        <f t="shared" si="76"/>
        <v>0.70833333333333337</v>
      </c>
      <c r="AT178" s="19">
        <v>-9.5346745027635987E-2</v>
      </c>
      <c r="AU178" s="19">
        <v>-2.6858238035953799E-2</v>
      </c>
      <c r="AV178" s="19">
        <v>-0.15874916160233979</v>
      </c>
      <c r="AW178" s="19">
        <v>6.3402416574703802E-2</v>
      </c>
      <c r="AX178" s="19">
        <v>93.918626741874675</v>
      </c>
      <c r="AY178" s="19">
        <v>115.96911025008971</v>
      </c>
      <c r="AZ178" s="19">
        <v>2.8453650654279037</v>
      </c>
      <c r="BA178" s="19">
        <v>1.8333333333333333</v>
      </c>
      <c r="BB178" s="19">
        <v>12.394366197183098</v>
      </c>
      <c r="BC178" s="18">
        <v>0.5239520958083832</v>
      </c>
      <c r="BD178" s="18">
        <v>0.52830188679245282</v>
      </c>
      <c r="BE178" s="19">
        <v>10.044829184211096</v>
      </c>
      <c r="BF178" s="18">
        <v>0.33962264150943394</v>
      </c>
      <c r="BG178" s="18">
        <v>1.8867924528301886E-2</v>
      </c>
      <c r="BH178" s="19">
        <v>2.385279418446161</v>
      </c>
      <c r="BI178" s="19">
        <v>2.7260336210813265</v>
      </c>
      <c r="BJ178" s="19">
        <v>2.4989761139533107</v>
      </c>
      <c r="BK178" s="19">
        <v>6.6815144766146997</v>
      </c>
      <c r="BL178" s="19">
        <v>1.1666609561768788</v>
      </c>
      <c r="BM178" s="19">
        <v>0</v>
      </c>
      <c r="BN178" s="19">
        <v>21.917007597895967</v>
      </c>
      <c r="BO178" s="20" t="s">
        <v>257</v>
      </c>
      <c r="BP178" s="21">
        <v>70000</v>
      </c>
      <c r="BQ178" s="31" t="s">
        <v>306</v>
      </c>
      <c r="BR178" s="31">
        <v>87.23</v>
      </c>
      <c r="BS178" s="31">
        <v>138.53</v>
      </c>
      <c r="BT178" s="31">
        <v>51.3</v>
      </c>
      <c r="BU178" s="35">
        <f t="shared" si="63"/>
        <v>3.6345833333333339</v>
      </c>
      <c r="BV178" s="35">
        <f t="shared" si="64"/>
        <v>5.7720833333333337</v>
      </c>
      <c r="BW178" s="35">
        <f t="shared" si="65"/>
        <v>2.1374999999999997</v>
      </c>
      <c r="BX178" s="36">
        <f t="shared" si="66"/>
        <v>24.571830985915497</v>
      </c>
      <c r="BY178" s="36">
        <f t="shared" si="67"/>
        <v>39.022535211267609</v>
      </c>
      <c r="BZ178" s="36">
        <f t="shared" si="68"/>
        <v>14.450704225352112</v>
      </c>
      <c r="CA178" s="31">
        <v>23</v>
      </c>
      <c r="CB178" s="31">
        <v>1</v>
      </c>
    </row>
    <row r="179" spans="1:80" x14ac:dyDescent="0.4">
      <c r="A179" s="11" t="s">
        <v>53</v>
      </c>
      <c r="B179" s="11" t="s">
        <v>265</v>
      </c>
      <c r="C179" s="11" t="s">
        <v>129</v>
      </c>
      <c r="D179" s="15">
        <v>54</v>
      </c>
      <c r="E179" s="15">
        <v>21</v>
      </c>
      <c r="F179" s="15">
        <v>6</v>
      </c>
      <c r="G179" s="16">
        <v>68364</v>
      </c>
      <c r="H179" s="16">
        <v>417</v>
      </c>
      <c r="I179" s="17">
        <f t="shared" si="77"/>
        <v>7.7222222222222223</v>
      </c>
      <c r="J179" s="15">
        <v>160</v>
      </c>
      <c r="K179" s="15">
        <v>311</v>
      </c>
      <c r="L179" s="17">
        <f t="shared" si="78"/>
        <v>2.9629629629629628</v>
      </c>
      <c r="M179" s="17">
        <f t="shared" si="79"/>
        <v>5.7592592592592595</v>
      </c>
      <c r="N179" s="18">
        <f t="shared" si="80"/>
        <v>0.51446945337620575</v>
      </c>
      <c r="O179" s="16">
        <v>88</v>
      </c>
      <c r="P179" s="15">
        <v>136</v>
      </c>
      <c r="Q179" s="17">
        <f t="shared" si="54"/>
        <v>1.6296296296296295</v>
      </c>
      <c r="R179" s="17">
        <f t="shared" si="55"/>
        <v>2.5185185185185186</v>
      </c>
      <c r="S179" s="18">
        <f t="shared" si="56"/>
        <v>0.6470588235294118</v>
      </c>
      <c r="T179" s="15">
        <v>72</v>
      </c>
      <c r="U179" s="15">
        <v>175</v>
      </c>
      <c r="V179" s="17">
        <f t="shared" si="57"/>
        <v>1.3333333333333333</v>
      </c>
      <c r="W179" s="17">
        <f t="shared" si="58"/>
        <v>3.2407407407407409</v>
      </c>
      <c r="X179" s="18">
        <f t="shared" si="59"/>
        <v>0.41142857142857142</v>
      </c>
      <c r="Y179" s="15">
        <v>25</v>
      </c>
      <c r="Z179" s="15">
        <v>31</v>
      </c>
      <c r="AA179" s="17">
        <f t="shared" si="60"/>
        <v>0.46296296296296297</v>
      </c>
      <c r="AB179" s="17">
        <f t="shared" si="61"/>
        <v>0.57407407407407407</v>
      </c>
      <c r="AC179" s="18">
        <f t="shared" si="62"/>
        <v>0.80645161290322576</v>
      </c>
      <c r="AD179" s="15">
        <v>120</v>
      </c>
      <c r="AE179" s="17">
        <f t="shared" si="69"/>
        <v>2.2222222222222223</v>
      </c>
      <c r="AF179" s="15">
        <v>42</v>
      </c>
      <c r="AG179" s="17">
        <f t="shared" si="70"/>
        <v>0.77777777777777779</v>
      </c>
      <c r="AH179" s="15">
        <v>78</v>
      </c>
      <c r="AI179" s="17">
        <f t="shared" si="71"/>
        <v>1.4444444444444444</v>
      </c>
      <c r="AJ179" s="15">
        <v>38</v>
      </c>
      <c r="AK179" s="17">
        <f t="shared" si="72"/>
        <v>0.70370370370370372</v>
      </c>
      <c r="AL179" s="15">
        <v>25</v>
      </c>
      <c r="AM179" s="17">
        <f t="shared" si="73"/>
        <v>0.46296296296296297</v>
      </c>
      <c r="AN179" s="15">
        <v>1</v>
      </c>
      <c r="AO179" s="17">
        <f t="shared" si="74"/>
        <v>1.8518518518518517E-2</v>
      </c>
      <c r="AP179" s="4">
        <v>24</v>
      </c>
      <c r="AQ179" s="17">
        <f t="shared" si="75"/>
        <v>0.44444444444444442</v>
      </c>
      <c r="AR179" s="15">
        <v>111</v>
      </c>
      <c r="AS179" s="17">
        <f t="shared" si="76"/>
        <v>2.0555555555555554</v>
      </c>
      <c r="AT179" s="19">
        <v>2.9220475473963998</v>
      </c>
      <c r="AU179" s="19">
        <v>0.1025819746321362</v>
      </c>
      <c r="AV179" s="19">
        <v>2.3287086628830567</v>
      </c>
      <c r="AW179" s="19">
        <v>0.59333888451334305</v>
      </c>
      <c r="AX179" s="19">
        <v>127.05401796395661</v>
      </c>
      <c r="AY179" s="19">
        <v>115.36483591344859</v>
      </c>
      <c r="AZ179" s="19">
        <v>10.494602154470575</v>
      </c>
      <c r="BA179" s="19">
        <v>7.7777777777777777</v>
      </c>
      <c r="BB179" s="19">
        <v>14.744602422327539</v>
      </c>
      <c r="BC179" s="18">
        <v>0.6422498767865944</v>
      </c>
      <c r="BD179" s="18">
        <v>0.63022508038585212</v>
      </c>
      <c r="BE179" s="19">
        <v>14.348431053965601</v>
      </c>
      <c r="BF179" s="18">
        <v>0.56270096463022512</v>
      </c>
      <c r="BG179" s="18">
        <v>9.9678456591639875E-2</v>
      </c>
      <c r="BH179" s="19">
        <v>4.0131478367222142</v>
      </c>
      <c r="BI179" s="19">
        <v>7.4529888396269683</v>
      </c>
      <c r="BJ179" s="19">
        <v>5.6059179807483437</v>
      </c>
      <c r="BK179" s="19">
        <v>5.232718259432664</v>
      </c>
      <c r="BL179" s="19">
        <v>1.2116454257878182</v>
      </c>
      <c r="BM179" s="19">
        <v>8.9379283222838182E-2</v>
      </c>
      <c r="BN179" s="19">
        <v>6.8838916934373566</v>
      </c>
      <c r="BO179" s="20" t="s">
        <v>257</v>
      </c>
      <c r="BP179" s="21">
        <v>240000</v>
      </c>
      <c r="BQ179" s="31" t="s">
        <v>305</v>
      </c>
      <c r="BR179" s="31">
        <v>750.33</v>
      </c>
      <c r="BS179" s="31">
        <v>931.83</v>
      </c>
      <c r="BT179" s="31">
        <v>181.5</v>
      </c>
      <c r="BU179" s="35">
        <f t="shared" si="63"/>
        <v>13.895</v>
      </c>
      <c r="BV179" s="35">
        <f t="shared" si="64"/>
        <v>17.25611111111111</v>
      </c>
      <c r="BW179" s="35">
        <f t="shared" si="65"/>
        <v>3.3611111111111112</v>
      </c>
      <c r="BX179" s="36">
        <f t="shared" si="66"/>
        <v>26.341232227488149</v>
      </c>
      <c r="BY179" s="36">
        <f t="shared" si="67"/>
        <v>32.713006845708264</v>
      </c>
      <c r="BZ179" s="36">
        <f t="shared" si="68"/>
        <v>6.3717746182201163</v>
      </c>
      <c r="CA179" s="30">
        <v>41</v>
      </c>
      <c r="CB179" s="30">
        <v>13</v>
      </c>
    </row>
    <row r="180" spans="1:80" x14ac:dyDescent="0.4">
      <c r="A180" s="11" t="s">
        <v>53</v>
      </c>
      <c r="B180" s="11" t="s">
        <v>265</v>
      </c>
      <c r="C180" s="11" t="s">
        <v>141</v>
      </c>
      <c r="D180" s="15">
        <v>9</v>
      </c>
      <c r="E180" s="15">
        <v>5</v>
      </c>
      <c r="F180" s="15">
        <v>10</v>
      </c>
      <c r="G180" s="16">
        <v>2790</v>
      </c>
      <c r="H180" s="16">
        <v>21</v>
      </c>
      <c r="I180" s="17">
        <f t="shared" si="77"/>
        <v>2.3333333333333335</v>
      </c>
      <c r="J180" s="15">
        <v>8</v>
      </c>
      <c r="K180" s="15">
        <v>20</v>
      </c>
      <c r="L180" s="17">
        <f t="shared" si="78"/>
        <v>0.88888888888888884</v>
      </c>
      <c r="M180" s="17">
        <f t="shared" si="79"/>
        <v>2.2222222222222223</v>
      </c>
      <c r="N180" s="18">
        <f t="shared" si="80"/>
        <v>0.4</v>
      </c>
      <c r="O180" s="16">
        <v>3</v>
      </c>
      <c r="P180" s="15">
        <v>7</v>
      </c>
      <c r="Q180" s="17">
        <f t="shared" si="54"/>
        <v>0.33333333333333331</v>
      </c>
      <c r="R180" s="17">
        <f t="shared" si="55"/>
        <v>0.77777777777777779</v>
      </c>
      <c r="S180" s="18">
        <f t="shared" si="56"/>
        <v>0.42857142857142855</v>
      </c>
      <c r="T180" s="15">
        <v>5</v>
      </c>
      <c r="U180" s="15">
        <v>13</v>
      </c>
      <c r="V180" s="17">
        <f t="shared" si="57"/>
        <v>0.55555555555555558</v>
      </c>
      <c r="W180" s="17">
        <f t="shared" si="58"/>
        <v>1.4444444444444444</v>
      </c>
      <c r="X180" s="18">
        <f t="shared" si="59"/>
        <v>0.38461538461538464</v>
      </c>
      <c r="Y180" s="15">
        <v>0</v>
      </c>
      <c r="Z180" s="15">
        <v>0</v>
      </c>
      <c r="AA180" s="17">
        <f t="shared" si="60"/>
        <v>0</v>
      </c>
      <c r="AB180" s="17">
        <f t="shared" si="61"/>
        <v>0</v>
      </c>
      <c r="AC180" s="18" t="e">
        <f t="shared" si="62"/>
        <v>#DIV/0!</v>
      </c>
      <c r="AD180" s="15">
        <v>4</v>
      </c>
      <c r="AE180" s="17">
        <f t="shared" si="69"/>
        <v>0.44444444444444442</v>
      </c>
      <c r="AF180" s="15">
        <v>1</v>
      </c>
      <c r="AG180" s="17">
        <f t="shared" si="70"/>
        <v>0.1111111111111111</v>
      </c>
      <c r="AH180" s="15">
        <v>3</v>
      </c>
      <c r="AI180" s="17">
        <f t="shared" si="71"/>
        <v>0.33333333333333331</v>
      </c>
      <c r="AJ180" s="15">
        <v>3</v>
      </c>
      <c r="AK180" s="17">
        <f t="shared" si="72"/>
        <v>0.33333333333333331</v>
      </c>
      <c r="AL180" s="15">
        <v>0</v>
      </c>
      <c r="AM180" s="17">
        <f t="shared" si="73"/>
        <v>0</v>
      </c>
      <c r="AN180" s="15">
        <v>1</v>
      </c>
      <c r="AO180" s="17">
        <f t="shared" si="74"/>
        <v>0.1111111111111111</v>
      </c>
      <c r="AP180" s="4">
        <v>2</v>
      </c>
      <c r="AQ180" s="17">
        <f t="shared" si="75"/>
        <v>0.22222222222222221</v>
      </c>
      <c r="AR180" s="15">
        <v>5</v>
      </c>
      <c r="AS180" s="17">
        <f t="shared" si="76"/>
        <v>0.55555555555555558</v>
      </c>
      <c r="AT180" s="19">
        <v>2.7350770630625583E-2</v>
      </c>
      <c r="AU180" s="19">
        <v>2.3527544628495125E-2</v>
      </c>
      <c r="AV180" s="19">
        <v>1.3179700627773397E-2</v>
      </c>
      <c r="AW180" s="19">
        <v>1.4171070002852185E-2</v>
      </c>
      <c r="AX180" s="19">
        <v>104.15382160503619</v>
      </c>
      <c r="AY180" s="19">
        <v>117.1226434743724</v>
      </c>
      <c r="AZ180" s="19">
        <v>1.3939507967938016</v>
      </c>
      <c r="BA180" s="19">
        <v>1.6666666666666667</v>
      </c>
      <c r="BB180" s="19">
        <v>12.903225806451612</v>
      </c>
      <c r="BC180" s="18">
        <v>0.52500000000000002</v>
      </c>
      <c r="BD180" s="18">
        <v>0.52500000000000002</v>
      </c>
      <c r="BE180" s="19">
        <v>3.6976167459459983</v>
      </c>
      <c r="BF180" s="18">
        <v>0.65</v>
      </c>
      <c r="BG180" s="18">
        <v>0</v>
      </c>
      <c r="BH180" s="19">
        <v>0.39021852237252858</v>
      </c>
      <c r="BI180" s="19">
        <v>1.1706555671175858</v>
      </c>
      <c r="BJ180" s="19">
        <v>0.76312818963735507</v>
      </c>
      <c r="BK180" s="19">
        <v>1.435406698564593</v>
      </c>
      <c r="BL180" s="19">
        <v>0</v>
      </c>
      <c r="BM180" s="19">
        <v>0.36501345987133271</v>
      </c>
      <c r="BN180" s="19">
        <v>9.0909090909090917</v>
      </c>
      <c r="BO180" s="20" t="s">
        <v>257</v>
      </c>
      <c r="BP180" s="21">
        <v>310000</v>
      </c>
      <c r="BQ180" s="30" t="s">
        <v>306</v>
      </c>
      <c r="BR180" s="30">
        <v>28.41</v>
      </c>
      <c r="BS180" s="30">
        <v>42.61</v>
      </c>
      <c r="BT180" s="30">
        <v>14.2</v>
      </c>
      <c r="BU180" s="35">
        <f t="shared" si="63"/>
        <v>3.1566666666666672</v>
      </c>
      <c r="BV180" s="35">
        <f t="shared" si="64"/>
        <v>4.7344444444444447</v>
      </c>
      <c r="BW180" s="35">
        <f t="shared" si="65"/>
        <v>1.5777777777777777</v>
      </c>
      <c r="BX180" s="36">
        <f t="shared" si="66"/>
        <v>24.438709677419357</v>
      </c>
      <c r="BY180" s="36">
        <f t="shared" si="67"/>
        <v>36.653763440860217</v>
      </c>
      <c r="BZ180" s="36">
        <f t="shared" si="68"/>
        <v>12.21505376344086</v>
      </c>
      <c r="CA180" s="31">
        <v>7</v>
      </c>
      <c r="CB180" s="31">
        <v>2</v>
      </c>
    </row>
    <row r="181" spans="1:80" x14ac:dyDescent="0.4">
      <c r="A181" s="11" t="s">
        <v>53</v>
      </c>
      <c r="B181" s="11" t="s">
        <v>265</v>
      </c>
      <c r="C181" s="11" t="s">
        <v>132</v>
      </c>
      <c r="D181" s="15">
        <v>44</v>
      </c>
      <c r="E181" s="15">
        <v>10</v>
      </c>
      <c r="F181" s="15">
        <v>6</v>
      </c>
      <c r="G181" s="16">
        <v>26664</v>
      </c>
      <c r="H181" s="16">
        <v>112</v>
      </c>
      <c r="I181" s="17">
        <f t="shared" si="77"/>
        <v>2.5454545454545454</v>
      </c>
      <c r="J181" s="15">
        <v>46</v>
      </c>
      <c r="K181" s="15">
        <v>104</v>
      </c>
      <c r="L181" s="17">
        <f t="shared" si="78"/>
        <v>1.0454545454545454</v>
      </c>
      <c r="M181" s="17">
        <f t="shared" si="79"/>
        <v>2.3636363636363638</v>
      </c>
      <c r="N181" s="18">
        <f t="shared" si="80"/>
        <v>0.44230769230769229</v>
      </c>
      <c r="O181" s="16">
        <v>32</v>
      </c>
      <c r="P181" s="15">
        <v>51</v>
      </c>
      <c r="Q181" s="17">
        <f t="shared" si="54"/>
        <v>0.72727272727272729</v>
      </c>
      <c r="R181" s="17">
        <f t="shared" si="55"/>
        <v>1.1590909090909092</v>
      </c>
      <c r="S181" s="18">
        <f t="shared" si="56"/>
        <v>0.62745098039215685</v>
      </c>
      <c r="T181" s="15">
        <v>14</v>
      </c>
      <c r="U181" s="15">
        <v>53</v>
      </c>
      <c r="V181" s="17">
        <f t="shared" si="57"/>
        <v>0.31818181818181818</v>
      </c>
      <c r="W181" s="17">
        <f t="shared" si="58"/>
        <v>1.2045454545454546</v>
      </c>
      <c r="X181" s="18">
        <f t="shared" si="59"/>
        <v>0.26415094339622641</v>
      </c>
      <c r="Y181" s="15">
        <v>6</v>
      </c>
      <c r="Z181" s="15">
        <v>17</v>
      </c>
      <c r="AA181" s="17">
        <f t="shared" si="60"/>
        <v>0.13636363636363635</v>
      </c>
      <c r="AB181" s="17">
        <f t="shared" si="61"/>
        <v>0.38636363636363635</v>
      </c>
      <c r="AC181" s="18">
        <f t="shared" si="62"/>
        <v>0.35294117647058826</v>
      </c>
      <c r="AD181" s="15">
        <v>80</v>
      </c>
      <c r="AE181" s="17">
        <f t="shared" si="69"/>
        <v>1.8181818181818181</v>
      </c>
      <c r="AF181" s="15">
        <v>22</v>
      </c>
      <c r="AG181" s="17">
        <f t="shared" si="70"/>
        <v>0.5</v>
      </c>
      <c r="AH181" s="15">
        <v>58</v>
      </c>
      <c r="AI181" s="17">
        <f t="shared" si="71"/>
        <v>1.3181818181818181</v>
      </c>
      <c r="AJ181" s="15">
        <v>14</v>
      </c>
      <c r="AK181" s="17">
        <f t="shared" si="72"/>
        <v>0.31818181818181818</v>
      </c>
      <c r="AL181" s="15">
        <v>7</v>
      </c>
      <c r="AM181" s="17">
        <f t="shared" si="73"/>
        <v>0.15909090909090909</v>
      </c>
      <c r="AN181" s="15">
        <v>2</v>
      </c>
      <c r="AO181" s="17">
        <f t="shared" si="74"/>
        <v>4.5454545454545456E-2</v>
      </c>
      <c r="AP181" s="4">
        <v>19</v>
      </c>
      <c r="AQ181" s="17">
        <f t="shared" si="75"/>
        <v>0.43181818181818182</v>
      </c>
      <c r="AR181" s="15">
        <v>70</v>
      </c>
      <c r="AS181" s="17">
        <f t="shared" si="76"/>
        <v>1.5909090909090908</v>
      </c>
      <c r="AT181" s="19">
        <v>0.20657116561905886</v>
      </c>
      <c r="AU181" s="19">
        <v>1.8593264232138512E-2</v>
      </c>
      <c r="AV181" s="19">
        <v>-0.1516905163906892</v>
      </c>
      <c r="AW181" s="19">
        <v>0.35826168200974806</v>
      </c>
      <c r="AX181" s="19">
        <v>97.78295449339852</v>
      </c>
      <c r="AY181" s="19">
        <v>113.04198753082763</v>
      </c>
      <c r="AZ181" s="19">
        <v>3.2178081507352694</v>
      </c>
      <c r="BA181" s="19">
        <v>2.8863636363636362</v>
      </c>
      <c r="BB181" s="19">
        <v>11.431143114311432</v>
      </c>
      <c r="BC181" s="18">
        <v>0.50233225690706851</v>
      </c>
      <c r="BD181" s="18">
        <v>0.50961538461538458</v>
      </c>
      <c r="BE181" s="19">
        <v>11.218433860892626</v>
      </c>
      <c r="BF181" s="18">
        <v>0.50961538461538458</v>
      </c>
      <c r="BG181" s="18">
        <v>0.16346153846153846</v>
      </c>
      <c r="BH181" s="19">
        <v>4.3915681890769722</v>
      </c>
      <c r="BI181" s="19">
        <v>11.577770680293836</v>
      </c>
      <c r="BJ181" s="19">
        <v>7.807582138203963</v>
      </c>
      <c r="BK181" s="19">
        <v>3.7017451084082498</v>
      </c>
      <c r="BL181" s="19">
        <v>0.86983272610247353</v>
      </c>
      <c r="BM181" s="19">
        <v>0.3734461140597794</v>
      </c>
      <c r="BN181" s="19">
        <v>14.561618638871856</v>
      </c>
      <c r="BO181" s="20" t="s">
        <v>257</v>
      </c>
      <c r="BP181" s="21">
        <v>95000</v>
      </c>
      <c r="BQ181" s="30" t="s">
        <v>305</v>
      </c>
      <c r="BR181" s="30">
        <v>255.65</v>
      </c>
      <c r="BS181" s="30">
        <v>347.05</v>
      </c>
      <c r="BT181" s="30">
        <v>91.4</v>
      </c>
      <c r="BU181" s="35">
        <f t="shared" si="63"/>
        <v>5.810227272727273</v>
      </c>
      <c r="BV181" s="35">
        <f t="shared" si="64"/>
        <v>7.8875000000000002</v>
      </c>
      <c r="BW181" s="35">
        <f t="shared" si="65"/>
        <v>2.0772727272727276</v>
      </c>
      <c r="BX181" s="36">
        <f t="shared" si="66"/>
        <v>23.01080108010801</v>
      </c>
      <c r="BY181" s="36">
        <f t="shared" si="67"/>
        <v>31.237623762376238</v>
      </c>
      <c r="BZ181" s="36">
        <f t="shared" si="68"/>
        <v>8.2268226822682262</v>
      </c>
      <c r="CA181" s="30">
        <v>36</v>
      </c>
      <c r="CB181" s="30">
        <v>8</v>
      </c>
    </row>
    <row r="182" spans="1:80" x14ac:dyDescent="0.4">
      <c r="A182" s="11" t="s">
        <v>53</v>
      </c>
      <c r="B182" s="11" t="s">
        <v>265</v>
      </c>
      <c r="C182" s="11" t="s">
        <v>138</v>
      </c>
      <c r="D182" s="15">
        <v>21</v>
      </c>
      <c r="E182" s="15">
        <v>11</v>
      </c>
      <c r="F182" s="15">
        <v>56</v>
      </c>
      <c r="G182" s="16">
        <v>15036</v>
      </c>
      <c r="H182" s="16">
        <v>77</v>
      </c>
      <c r="I182" s="17">
        <f t="shared" si="77"/>
        <v>3.6666666666666665</v>
      </c>
      <c r="J182" s="15">
        <v>25</v>
      </c>
      <c r="K182" s="15">
        <v>65</v>
      </c>
      <c r="L182" s="17">
        <f t="shared" si="78"/>
        <v>1.1904761904761905</v>
      </c>
      <c r="M182" s="17">
        <f t="shared" si="79"/>
        <v>3.0952380952380953</v>
      </c>
      <c r="N182" s="18">
        <f t="shared" si="80"/>
        <v>0.38461538461538464</v>
      </c>
      <c r="O182" s="16">
        <v>10</v>
      </c>
      <c r="P182" s="15">
        <v>20</v>
      </c>
      <c r="Q182" s="17">
        <f t="shared" si="54"/>
        <v>0.47619047619047616</v>
      </c>
      <c r="R182" s="17">
        <f t="shared" si="55"/>
        <v>0.95238095238095233</v>
      </c>
      <c r="S182" s="18">
        <f t="shared" si="56"/>
        <v>0.5</v>
      </c>
      <c r="T182" s="15">
        <v>15</v>
      </c>
      <c r="U182" s="15">
        <v>45</v>
      </c>
      <c r="V182" s="17">
        <f t="shared" si="57"/>
        <v>0.7142857142857143</v>
      </c>
      <c r="W182" s="17">
        <f t="shared" si="58"/>
        <v>2.1428571428571428</v>
      </c>
      <c r="X182" s="18">
        <f t="shared" si="59"/>
        <v>0.33333333333333331</v>
      </c>
      <c r="Y182" s="15">
        <v>12</v>
      </c>
      <c r="Z182" s="15">
        <v>14</v>
      </c>
      <c r="AA182" s="17">
        <f t="shared" si="60"/>
        <v>0.5714285714285714</v>
      </c>
      <c r="AB182" s="17">
        <f t="shared" si="61"/>
        <v>0.66666666666666663</v>
      </c>
      <c r="AC182" s="18">
        <f t="shared" si="62"/>
        <v>0.8571428571428571</v>
      </c>
      <c r="AD182" s="15">
        <v>18</v>
      </c>
      <c r="AE182" s="17">
        <f t="shared" si="69"/>
        <v>0.8571428571428571</v>
      </c>
      <c r="AF182" s="15">
        <v>3</v>
      </c>
      <c r="AG182" s="17">
        <f t="shared" si="70"/>
        <v>0.14285714285714285</v>
      </c>
      <c r="AH182" s="15">
        <v>15</v>
      </c>
      <c r="AI182" s="17">
        <f t="shared" si="71"/>
        <v>0.7142857142857143</v>
      </c>
      <c r="AJ182" s="15">
        <v>56</v>
      </c>
      <c r="AK182" s="17">
        <f t="shared" si="72"/>
        <v>2.6666666666666665</v>
      </c>
      <c r="AL182" s="15">
        <v>14</v>
      </c>
      <c r="AM182" s="17">
        <f t="shared" si="73"/>
        <v>0.66666666666666663</v>
      </c>
      <c r="AN182" s="15">
        <v>2</v>
      </c>
      <c r="AO182" s="17">
        <f t="shared" si="74"/>
        <v>9.5238095238095233E-2</v>
      </c>
      <c r="AP182" s="4">
        <v>18</v>
      </c>
      <c r="AQ182" s="17">
        <f t="shared" si="75"/>
        <v>0.8571428571428571</v>
      </c>
      <c r="AR182" s="15">
        <v>26</v>
      </c>
      <c r="AS182" s="17">
        <f t="shared" si="76"/>
        <v>1.2380952380952381</v>
      </c>
      <c r="AT182" s="19">
        <v>0.60827228913865128</v>
      </c>
      <c r="AU182" s="19">
        <v>9.7090548944716887E-2</v>
      </c>
      <c r="AV182" s="19">
        <v>0.35302901720950858</v>
      </c>
      <c r="AW182" s="19">
        <v>0.2552432719291427</v>
      </c>
      <c r="AX182" s="19">
        <v>114.13620324598904</v>
      </c>
      <c r="AY182" s="19">
        <v>111.31374935661998</v>
      </c>
      <c r="AZ182" s="19">
        <v>4.3484295680820475</v>
      </c>
      <c r="BA182" s="19">
        <v>5.0952380952380949</v>
      </c>
      <c r="BB182" s="19">
        <v>17.079010375099763</v>
      </c>
      <c r="BC182" s="18">
        <v>0.54103428892636318</v>
      </c>
      <c r="BD182" s="18">
        <v>0.5</v>
      </c>
      <c r="BE182" s="19">
        <v>6.4881061332687269</v>
      </c>
      <c r="BF182" s="18">
        <v>0.69230769230769229</v>
      </c>
      <c r="BG182" s="18">
        <v>0.2153846153846154</v>
      </c>
      <c r="BH182" s="19">
        <v>0.50684808073526766</v>
      </c>
      <c r="BI182" s="19">
        <v>2.5342404036763377</v>
      </c>
      <c r="BJ182" s="19">
        <v>1.4868209840001543</v>
      </c>
      <c r="BK182" s="19">
        <v>11.759764804703906</v>
      </c>
      <c r="BL182" s="19">
        <v>3.085025247246123</v>
      </c>
      <c r="BM182" s="19">
        <v>0.31607310770981323</v>
      </c>
      <c r="BN182" s="19">
        <v>20.188425302826381</v>
      </c>
      <c r="BO182" s="20" t="s">
        <v>257</v>
      </c>
      <c r="BP182" s="21">
        <v>400000</v>
      </c>
      <c r="BQ182" s="30" t="s">
        <v>306</v>
      </c>
      <c r="BR182" s="30">
        <v>195.03</v>
      </c>
      <c r="BS182" s="30">
        <v>260.63</v>
      </c>
      <c r="BT182" s="30">
        <v>65.599999999999994</v>
      </c>
      <c r="BU182" s="35">
        <f t="shared" si="63"/>
        <v>9.2871428571428574</v>
      </c>
      <c r="BV182" s="35">
        <f t="shared" si="64"/>
        <v>12.410952380952381</v>
      </c>
      <c r="BW182" s="35">
        <f t="shared" si="65"/>
        <v>3.1238095238095234</v>
      </c>
      <c r="BX182" s="36">
        <f t="shared" si="66"/>
        <v>31.130087789305662</v>
      </c>
      <c r="BY182" s="36">
        <f t="shared" si="67"/>
        <v>41.600957701516357</v>
      </c>
      <c r="BZ182" s="36">
        <f t="shared" si="68"/>
        <v>10.470869912210695</v>
      </c>
      <c r="CA182" s="31">
        <v>14</v>
      </c>
      <c r="CB182" s="31">
        <v>7</v>
      </c>
    </row>
    <row r="183" spans="1:80" x14ac:dyDescent="0.4">
      <c r="A183" s="11" t="s">
        <v>53</v>
      </c>
      <c r="B183" s="11" t="s">
        <v>265</v>
      </c>
      <c r="C183" s="11" t="s">
        <v>131</v>
      </c>
      <c r="D183" s="15">
        <v>54</v>
      </c>
      <c r="E183" s="15">
        <v>31</v>
      </c>
      <c r="F183" s="15">
        <v>47</v>
      </c>
      <c r="G183" s="16">
        <v>102978</v>
      </c>
      <c r="H183" s="16">
        <v>861</v>
      </c>
      <c r="I183" s="17">
        <f t="shared" si="77"/>
        <v>15.944444444444445</v>
      </c>
      <c r="J183" s="15">
        <v>328</v>
      </c>
      <c r="K183" s="15">
        <v>660</v>
      </c>
      <c r="L183" s="17">
        <f t="shared" si="78"/>
        <v>6.0740740740740744</v>
      </c>
      <c r="M183" s="17">
        <f t="shared" si="79"/>
        <v>12.222222222222221</v>
      </c>
      <c r="N183" s="18">
        <f t="shared" si="80"/>
        <v>0.49696969696969695</v>
      </c>
      <c r="O183" s="16">
        <v>237</v>
      </c>
      <c r="P183" s="15">
        <v>436</v>
      </c>
      <c r="Q183" s="17">
        <f t="shared" si="54"/>
        <v>4.3888888888888893</v>
      </c>
      <c r="R183" s="17">
        <f t="shared" si="55"/>
        <v>8.0740740740740744</v>
      </c>
      <c r="S183" s="18">
        <f t="shared" si="56"/>
        <v>0.54357798165137616</v>
      </c>
      <c r="T183" s="15">
        <v>91</v>
      </c>
      <c r="U183" s="15">
        <v>224</v>
      </c>
      <c r="V183" s="17">
        <f t="shared" si="57"/>
        <v>1.6851851851851851</v>
      </c>
      <c r="W183" s="17">
        <f t="shared" si="58"/>
        <v>4.1481481481481479</v>
      </c>
      <c r="X183" s="18">
        <f t="shared" si="59"/>
        <v>0.40625</v>
      </c>
      <c r="Y183" s="15">
        <v>114</v>
      </c>
      <c r="Z183" s="15">
        <v>153</v>
      </c>
      <c r="AA183" s="17">
        <f t="shared" si="60"/>
        <v>2.1111111111111112</v>
      </c>
      <c r="AB183" s="17">
        <f t="shared" si="61"/>
        <v>2.8333333333333335</v>
      </c>
      <c r="AC183" s="18">
        <f t="shared" si="62"/>
        <v>0.74509803921568629</v>
      </c>
      <c r="AD183" s="15">
        <v>160</v>
      </c>
      <c r="AE183" s="17">
        <f t="shared" si="69"/>
        <v>2.9629629629629628</v>
      </c>
      <c r="AF183" s="15">
        <v>36</v>
      </c>
      <c r="AG183" s="17">
        <f t="shared" si="70"/>
        <v>0.66666666666666663</v>
      </c>
      <c r="AH183" s="15">
        <v>124</v>
      </c>
      <c r="AI183" s="17">
        <f t="shared" si="71"/>
        <v>2.2962962962962963</v>
      </c>
      <c r="AJ183" s="15">
        <v>356</v>
      </c>
      <c r="AK183" s="17">
        <f t="shared" si="72"/>
        <v>6.5925925925925926</v>
      </c>
      <c r="AL183" s="15">
        <v>79</v>
      </c>
      <c r="AM183" s="17">
        <f t="shared" si="73"/>
        <v>1.462962962962963</v>
      </c>
      <c r="AN183" s="15">
        <v>8</v>
      </c>
      <c r="AO183" s="17">
        <f t="shared" si="74"/>
        <v>0.14814814814814814</v>
      </c>
      <c r="AP183" s="4">
        <v>108</v>
      </c>
      <c r="AQ183" s="17">
        <f t="shared" si="75"/>
        <v>2</v>
      </c>
      <c r="AR183" s="15">
        <v>131</v>
      </c>
      <c r="AS183" s="17">
        <f t="shared" si="76"/>
        <v>2.425925925925926</v>
      </c>
      <c r="AT183" s="19">
        <v>6.7527506979761798</v>
      </c>
      <c r="AU183" s="19">
        <v>0.15737926231955204</v>
      </c>
      <c r="AV183" s="19">
        <v>5.190070215477169</v>
      </c>
      <c r="AW183" s="19">
        <v>1.5626804824990108</v>
      </c>
      <c r="AX183" s="19">
        <v>122.51090745314039</v>
      </c>
      <c r="AY183" s="19">
        <v>112.19296678431282</v>
      </c>
      <c r="AZ183" s="19">
        <v>17.616023822053204</v>
      </c>
      <c r="BA183" s="19">
        <v>18.24074074074074</v>
      </c>
      <c r="BB183" s="19">
        <v>22.956359610790656</v>
      </c>
      <c r="BC183" s="18">
        <v>0.59189902656327331</v>
      </c>
      <c r="BD183" s="18">
        <v>0.56590909090909092</v>
      </c>
      <c r="BE183" s="19">
        <v>22.822493642306323</v>
      </c>
      <c r="BF183" s="18">
        <v>0.33939393939393941</v>
      </c>
      <c r="BG183" s="18">
        <v>0.23181818181818181</v>
      </c>
      <c r="BH183" s="19">
        <v>2.2836070842566438</v>
      </c>
      <c r="BI183" s="19">
        <v>7.8657577346617726</v>
      </c>
      <c r="BJ183" s="19">
        <v>4.9621340070808619</v>
      </c>
      <c r="BK183" s="19">
        <v>35.356043301221575</v>
      </c>
      <c r="BL183" s="19">
        <v>2.5418249735656602</v>
      </c>
      <c r="BM183" s="19">
        <v>0.47468976427944692</v>
      </c>
      <c r="BN183" s="19">
        <v>12.929176842407699</v>
      </c>
      <c r="BO183" s="20" t="s">
        <v>244</v>
      </c>
      <c r="BP183" s="21"/>
      <c r="BQ183" s="30" t="s">
        <v>306</v>
      </c>
      <c r="BR183" s="30">
        <v>1586.08</v>
      </c>
      <c r="BS183" s="30">
        <v>2097.98</v>
      </c>
      <c r="BT183" s="30">
        <v>511.9</v>
      </c>
      <c r="BU183" s="35">
        <f t="shared" si="63"/>
        <v>29.371851851851851</v>
      </c>
      <c r="BV183" s="35">
        <f t="shared" si="64"/>
        <v>38.851481481481478</v>
      </c>
      <c r="BW183" s="35">
        <f t="shared" si="65"/>
        <v>9.4796296296296294</v>
      </c>
      <c r="BX183" s="36">
        <f t="shared" si="66"/>
        <v>36.965099341606944</v>
      </c>
      <c r="BY183" s="36">
        <f t="shared" si="67"/>
        <v>48.89541455456505</v>
      </c>
      <c r="BZ183" s="36">
        <f t="shared" si="68"/>
        <v>11.930315212958108</v>
      </c>
      <c r="CA183" s="31">
        <v>41</v>
      </c>
      <c r="CB183" s="31">
        <v>13</v>
      </c>
    </row>
    <row r="184" spans="1:80" x14ac:dyDescent="0.4">
      <c r="A184" s="11" t="s">
        <v>53</v>
      </c>
      <c r="B184" s="11" t="s">
        <v>265</v>
      </c>
      <c r="C184" s="11" t="s">
        <v>134</v>
      </c>
      <c r="D184" s="15">
        <v>18</v>
      </c>
      <c r="E184" s="15">
        <v>8</v>
      </c>
      <c r="F184" s="15">
        <v>46</v>
      </c>
      <c r="G184" s="16">
        <v>9468</v>
      </c>
      <c r="H184" s="16">
        <v>59</v>
      </c>
      <c r="I184" s="17">
        <f t="shared" si="77"/>
        <v>3.2777777777777777</v>
      </c>
      <c r="J184" s="15">
        <v>22</v>
      </c>
      <c r="K184" s="15">
        <v>52</v>
      </c>
      <c r="L184" s="17">
        <f t="shared" si="78"/>
        <v>1.2222222222222223</v>
      </c>
      <c r="M184" s="17">
        <f t="shared" si="79"/>
        <v>2.8888888888888888</v>
      </c>
      <c r="N184" s="18">
        <f t="shared" si="80"/>
        <v>0.42307692307692307</v>
      </c>
      <c r="O184" s="16">
        <v>10</v>
      </c>
      <c r="P184" s="15">
        <v>15</v>
      </c>
      <c r="Q184" s="17">
        <f t="shared" si="54"/>
        <v>0.55555555555555558</v>
      </c>
      <c r="R184" s="17">
        <f t="shared" si="55"/>
        <v>0.83333333333333337</v>
      </c>
      <c r="S184" s="18">
        <f t="shared" si="56"/>
        <v>0.66666666666666663</v>
      </c>
      <c r="T184" s="15">
        <v>12</v>
      </c>
      <c r="U184" s="15">
        <v>37</v>
      </c>
      <c r="V184" s="17">
        <f t="shared" si="57"/>
        <v>0.66666666666666663</v>
      </c>
      <c r="W184" s="17">
        <f t="shared" si="58"/>
        <v>2.0555555555555554</v>
      </c>
      <c r="X184" s="18">
        <f t="shared" si="59"/>
        <v>0.32432432432432434</v>
      </c>
      <c r="Y184" s="15">
        <v>3</v>
      </c>
      <c r="Z184" s="15">
        <v>5</v>
      </c>
      <c r="AA184" s="17">
        <f t="shared" si="60"/>
        <v>0.16666666666666666</v>
      </c>
      <c r="AB184" s="17">
        <f t="shared" si="61"/>
        <v>0.27777777777777779</v>
      </c>
      <c r="AC184" s="18">
        <f t="shared" si="62"/>
        <v>0.6</v>
      </c>
      <c r="AD184" s="15">
        <v>17</v>
      </c>
      <c r="AE184" s="17">
        <f t="shared" si="69"/>
        <v>0.94444444444444442</v>
      </c>
      <c r="AF184" s="15">
        <v>10</v>
      </c>
      <c r="AG184" s="17">
        <f t="shared" si="70"/>
        <v>0.55555555555555558</v>
      </c>
      <c r="AH184" s="15">
        <v>7</v>
      </c>
      <c r="AI184" s="17">
        <f t="shared" si="71"/>
        <v>0.3888888888888889</v>
      </c>
      <c r="AJ184" s="15">
        <v>8</v>
      </c>
      <c r="AK184" s="17">
        <f t="shared" si="72"/>
        <v>0.44444444444444442</v>
      </c>
      <c r="AL184" s="15">
        <v>4</v>
      </c>
      <c r="AM184" s="17">
        <f t="shared" si="73"/>
        <v>0.22222222222222221</v>
      </c>
      <c r="AN184" s="15">
        <v>0</v>
      </c>
      <c r="AO184" s="17">
        <f t="shared" si="74"/>
        <v>0</v>
      </c>
      <c r="AP184" s="4">
        <v>9</v>
      </c>
      <c r="AQ184" s="17">
        <f t="shared" si="75"/>
        <v>0.5</v>
      </c>
      <c r="AR184" s="15">
        <v>16</v>
      </c>
      <c r="AS184" s="17">
        <f t="shared" si="76"/>
        <v>0.88888888888888884</v>
      </c>
      <c r="AT184" s="19">
        <v>0.12259843970450812</v>
      </c>
      <c r="AU184" s="19">
        <v>3.1076917542334125E-2</v>
      </c>
      <c r="AV184" s="19">
        <v>5.3528824936814372E-2</v>
      </c>
      <c r="AW184" s="19">
        <v>6.9069614767693743E-2</v>
      </c>
      <c r="AX184" s="19">
        <v>104.89605129606166</v>
      </c>
      <c r="AY184" s="19">
        <v>116.04066504087199</v>
      </c>
      <c r="AZ184" s="19">
        <v>2.6535982138855885</v>
      </c>
      <c r="BA184" s="19">
        <v>2.6111111111111112</v>
      </c>
      <c r="BB184" s="19">
        <v>11.913814955640049</v>
      </c>
      <c r="BC184" s="18">
        <v>0.544280442804428</v>
      </c>
      <c r="BD184" s="18">
        <v>0.53846153846153844</v>
      </c>
      <c r="BE184" s="19">
        <v>6.2602581478200818</v>
      </c>
      <c r="BF184" s="18">
        <v>0.71153846153846156</v>
      </c>
      <c r="BG184" s="18">
        <v>9.6153846153846159E-2</v>
      </c>
      <c r="BH184" s="19">
        <v>2.2997669569483623</v>
      </c>
      <c r="BI184" s="19">
        <v>1.6098368698638539</v>
      </c>
      <c r="BJ184" s="19">
        <v>1.9114475092152383</v>
      </c>
      <c r="BK184" s="19">
        <v>2.3108030040439052</v>
      </c>
      <c r="BL184" s="19">
        <v>1.3997959930470367</v>
      </c>
      <c r="BM184" s="19">
        <v>0</v>
      </c>
      <c r="BN184" s="19">
        <v>14.240506329113924</v>
      </c>
      <c r="BO184" s="20" t="s">
        <v>257</v>
      </c>
      <c r="BP184" s="21">
        <v>177000</v>
      </c>
      <c r="BQ184" s="31" t="s">
        <v>306</v>
      </c>
      <c r="BR184" s="31">
        <v>95.34</v>
      </c>
      <c r="BS184" s="31">
        <v>137.94</v>
      </c>
      <c r="BT184" s="31">
        <v>42.6</v>
      </c>
      <c r="BU184" s="35">
        <f t="shared" si="63"/>
        <v>5.2966666666666669</v>
      </c>
      <c r="BV184" s="35">
        <f t="shared" si="64"/>
        <v>7.6633333333333331</v>
      </c>
      <c r="BW184" s="35">
        <f t="shared" si="65"/>
        <v>2.3666666666666667</v>
      </c>
      <c r="BX184" s="36">
        <f t="shared" si="66"/>
        <v>24.167300380228134</v>
      </c>
      <c r="BY184" s="36">
        <f t="shared" si="67"/>
        <v>34.965779467680605</v>
      </c>
      <c r="BZ184" s="36">
        <f t="shared" si="68"/>
        <v>10.798479087452472</v>
      </c>
      <c r="CA184" s="30">
        <v>14</v>
      </c>
      <c r="CB184" s="30">
        <v>4</v>
      </c>
    </row>
    <row r="185" spans="1:80" x14ac:dyDescent="0.4">
      <c r="A185" s="11" t="s">
        <v>53</v>
      </c>
      <c r="B185" s="11" t="s">
        <v>265</v>
      </c>
      <c r="C185" s="11" t="s">
        <v>139</v>
      </c>
      <c r="D185" s="15">
        <v>4</v>
      </c>
      <c r="E185" s="15">
        <v>2</v>
      </c>
      <c r="F185" s="15">
        <v>55</v>
      </c>
      <c r="G185" s="16">
        <v>700</v>
      </c>
      <c r="H185" s="16">
        <v>2</v>
      </c>
      <c r="I185" s="17">
        <f t="shared" si="77"/>
        <v>0.5</v>
      </c>
      <c r="J185" s="15">
        <v>1</v>
      </c>
      <c r="K185" s="15">
        <v>3</v>
      </c>
      <c r="L185" s="17">
        <f t="shared" si="78"/>
        <v>0.25</v>
      </c>
      <c r="M185" s="17">
        <f t="shared" si="79"/>
        <v>0.75</v>
      </c>
      <c r="N185" s="18">
        <f t="shared" si="80"/>
        <v>0.33333333333333331</v>
      </c>
      <c r="O185" s="16">
        <v>1</v>
      </c>
      <c r="P185" s="15">
        <v>3</v>
      </c>
      <c r="Q185" s="17">
        <f t="shared" si="54"/>
        <v>0.25</v>
      </c>
      <c r="R185" s="17">
        <f t="shared" si="55"/>
        <v>0.75</v>
      </c>
      <c r="S185" s="18">
        <f t="shared" si="56"/>
        <v>0.33333333333333331</v>
      </c>
      <c r="T185" s="15">
        <v>0</v>
      </c>
      <c r="U185" s="15">
        <v>0</v>
      </c>
      <c r="V185" s="17">
        <f t="shared" si="57"/>
        <v>0</v>
      </c>
      <c r="W185" s="17">
        <f t="shared" si="58"/>
        <v>0</v>
      </c>
      <c r="X185" s="18" t="e">
        <f t="shared" si="59"/>
        <v>#DIV/0!</v>
      </c>
      <c r="Y185" s="15">
        <v>0</v>
      </c>
      <c r="Z185" s="15">
        <v>2</v>
      </c>
      <c r="AA185" s="17">
        <f t="shared" si="60"/>
        <v>0</v>
      </c>
      <c r="AB185" s="17">
        <f t="shared" si="61"/>
        <v>0.5</v>
      </c>
      <c r="AC185" s="18">
        <f t="shared" si="62"/>
        <v>0</v>
      </c>
      <c r="AD185" s="15">
        <v>5</v>
      </c>
      <c r="AE185" s="17">
        <f t="shared" si="69"/>
        <v>1.25</v>
      </c>
      <c r="AF185" s="15">
        <v>3</v>
      </c>
      <c r="AG185" s="17">
        <f t="shared" si="70"/>
        <v>0.75</v>
      </c>
      <c r="AH185" s="15">
        <v>2</v>
      </c>
      <c r="AI185" s="17">
        <f t="shared" si="71"/>
        <v>0.5</v>
      </c>
      <c r="AJ185" s="15">
        <v>0</v>
      </c>
      <c r="AK185" s="17">
        <f t="shared" si="72"/>
        <v>0</v>
      </c>
      <c r="AL185" s="15">
        <v>0</v>
      </c>
      <c r="AM185" s="17">
        <f t="shared" si="73"/>
        <v>0</v>
      </c>
      <c r="AN185" s="15">
        <v>0</v>
      </c>
      <c r="AO185" s="17">
        <f t="shared" si="74"/>
        <v>0</v>
      </c>
      <c r="AP185" s="4">
        <v>1</v>
      </c>
      <c r="AQ185" s="17">
        <f t="shared" si="75"/>
        <v>0.25</v>
      </c>
      <c r="AR185" s="15">
        <v>4</v>
      </c>
      <c r="AS185" s="17">
        <f t="shared" si="76"/>
        <v>1</v>
      </c>
      <c r="AT185" s="19">
        <v>-3.7031396356345621E-2</v>
      </c>
      <c r="AU185" s="19">
        <v>-0.1269647875074707</v>
      </c>
      <c r="AV185" s="19">
        <v>-4.6759045566666137E-2</v>
      </c>
      <c r="AW185" s="19">
        <v>9.7276492103205159E-3</v>
      </c>
      <c r="AX185" s="19">
        <v>73.450960912162387</v>
      </c>
      <c r="AY185" s="19">
        <v>112.81713423825343</v>
      </c>
      <c r="AZ185" s="19">
        <v>-0.35516112175141062</v>
      </c>
      <c r="BA185" s="19">
        <v>0.5</v>
      </c>
      <c r="BB185" s="19">
        <v>6.8571428571428577</v>
      </c>
      <c r="BC185" s="18">
        <v>0.25773195876288663</v>
      </c>
      <c r="BD185" s="18">
        <v>0.33333333333333331</v>
      </c>
      <c r="BE185" s="19">
        <v>1.452923276173274</v>
      </c>
      <c r="BF185" s="18">
        <v>0</v>
      </c>
      <c r="BG185" s="18">
        <v>0.66666666666666663</v>
      </c>
      <c r="BH185" s="19">
        <v>2.0737327188940093</v>
      </c>
      <c r="BI185" s="19">
        <v>1.3824884792626728</v>
      </c>
      <c r="BJ185" s="19">
        <v>1.689783848482715</v>
      </c>
      <c r="BK185" s="19">
        <v>0</v>
      </c>
      <c r="BL185" s="19">
        <v>0</v>
      </c>
      <c r="BM185" s="19">
        <v>0</v>
      </c>
      <c r="BN185" s="19">
        <v>20.491803278688526</v>
      </c>
      <c r="BO185" s="20" t="s">
        <v>257</v>
      </c>
      <c r="BP185" s="21">
        <v>130000</v>
      </c>
      <c r="BQ185" s="31" t="s">
        <v>307</v>
      </c>
      <c r="BR185" s="31">
        <v>6.32</v>
      </c>
      <c r="BS185" s="31">
        <v>11.42</v>
      </c>
      <c r="BT185" s="31">
        <v>5.0999999999999996</v>
      </c>
      <c r="BU185" s="35">
        <f t="shared" si="63"/>
        <v>1.58</v>
      </c>
      <c r="BV185" s="35">
        <f t="shared" si="64"/>
        <v>2.855</v>
      </c>
      <c r="BW185" s="35">
        <f t="shared" si="65"/>
        <v>1.2749999999999999</v>
      </c>
      <c r="BX185" s="36">
        <f t="shared" si="66"/>
        <v>21.668571428571429</v>
      </c>
      <c r="BY185" s="36">
        <f t="shared" si="67"/>
        <v>39.154285714285713</v>
      </c>
      <c r="BZ185" s="36">
        <f t="shared" si="68"/>
        <v>17.485714285714284</v>
      </c>
      <c r="CA185" s="31">
        <v>2</v>
      </c>
      <c r="CB185" s="31">
        <v>2</v>
      </c>
    </row>
    <row r="186" spans="1:80" x14ac:dyDescent="0.4">
      <c r="A186" s="11" t="s">
        <v>53</v>
      </c>
      <c r="B186" s="11" t="s">
        <v>265</v>
      </c>
      <c r="C186" s="11" t="s">
        <v>142</v>
      </c>
      <c r="D186" s="15">
        <v>3</v>
      </c>
      <c r="E186" s="15">
        <v>4</v>
      </c>
      <c r="F186" s="15">
        <v>14</v>
      </c>
      <c r="G186" s="16">
        <v>762</v>
      </c>
      <c r="H186" s="16">
        <v>3</v>
      </c>
      <c r="I186" s="17">
        <f t="shared" si="77"/>
        <v>1</v>
      </c>
      <c r="J186" s="15">
        <v>1</v>
      </c>
      <c r="K186" s="15">
        <v>9</v>
      </c>
      <c r="L186" s="17">
        <f t="shared" si="78"/>
        <v>0.33333333333333331</v>
      </c>
      <c r="M186" s="17">
        <f t="shared" si="79"/>
        <v>3</v>
      </c>
      <c r="N186" s="18">
        <f t="shared" si="80"/>
        <v>0.1111111111111111</v>
      </c>
      <c r="O186" s="16">
        <v>1</v>
      </c>
      <c r="P186" s="15">
        <v>7</v>
      </c>
      <c r="Q186" s="17">
        <f t="shared" si="54"/>
        <v>0.33333333333333331</v>
      </c>
      <c r="R186" s="17">
        <f t="shared" si="55"/>
        <v>2.3333333333333335</v>
      </c>
      <c r="S186" s="18">
        <f t="shared" si="56"/>
        <v>0.14285714285714285</v>
      </c>
      <c r="T186" s="15">
        <v>0</v>
      </c>
      <c r="U186" s="15">
        <v>2</v>
      </c>
      <c r="V186" s="17">
        <f t="shared" si="57"/>
        <v>0</v>
      </c>
      <c r="W186" s="17">
        <f t="shared" si="58"/>
        <v>0.66666666666666663</v>
      </c>
      <c r="X186" s="18">
        <f t="shared" si="59"/>
        <v>0</v>
      </c>
      <c r="Y186" s="15">
        <v>1</v>
      </c>
      <c r="Z186" s="15">
        <v>2</v>
      </c>
      <c r="AA186" s="17">
        <f t="shared" si="60"/>
        <v>0.33333333333333331</v>
      </c>
      <c r="AB186" s="17">
        <f t="shared" si="61"/>
        <v>0.66666666666666663</v>
      </c>
      <c r="AC186" s="18">
        <f t="shared" si="62"/>
        <v>0.5</v>
      </c>
      <c r="AD186" s="15">
        <v>1</v>
      </c>
      <c r="AE186" s="17">
        <f t="shared" si="69"/>
        <v>0.33333333333333331</v>
      </c>
      <c r="AF186" s="15">
        <v>1</v>
      </c>
      <c r="AG186" s="17">
        <f t="shared" si="70"/>
        <v>0.33333333333333331</v>
      </c>
      <c r="AH186" s="15">
        <v>0</v>
      </c>
      <c r="AI186" s="17">
        <f t="shared" si="71"/>
        <v>0</v>
      </c>
      <c r="AJ186" s="15">
        <v>2</v>
      </c>
      <c r="AK186" s="17">
        <f t="shared" si="72"/>
        <v>0.66666666666666663</v>
      </c>
      <c r="AL186" s="15">
        <v>0</v>
      </c>
      <c r="AM186" s="17">
        <f t="shared" si="73"/>
        <v>0</v>
      </c>
      <c r="AN186" s="15">
        <v>0</v>
      </c>
      <c r="AO186" s="17">
        <f t="shared" si="74"/>
        <v>0</v>
      </c>
      <c r="AP186" s="4">
        <v>1</v>
      </c>
      <c r="AQ186" s="17">
        <f t="shared" si="75"/>
        <v>0.33333333333333331</v>
      </c>
      <c r="AR186" s="15">
        <v>1</v>
      </c>
      <c r="AS186" s="17">
        <f t="shared" si="76"/>
        <v>0.33333333333333331</v>
      </c>
      <c r="AT186" s="19">
        <v>-0.15795948484840963</v>
      </c>
      <c r="AU186" s="19">
        <v>-0.49751018849892803</v>
      </c>
      <c r="AV186" s="19">
        <v>-0.15565751842988215</v>
      </c>
      <c r="AW186" s="19">
        <v>-2.301966418527483E-3</v>
      </c>
      <c r="AX186" s="19">
        <v>50.159617139883864</v>
      </c>
      <c r="AY186" s="19">
        <v>121.07793889422852</v>
      </c>
      <c r="AZ186" s="19">
        <v>-0.79469671360186411</v>
      </c>
      <c r="BA186" s="19">
        <v>-1.3333333333333333</v>
      </c>
      <c r="BB186" s="19">
        <v>-12.598425196850393</v>
      </c>
      <c r="BC186" s="18">
        <v>0.15182186234817813</v>
      </c>
      <c r="BD186" s="18">
        <v>0.1111111111111111</v>
      </c>
      <c r="BE186" s="19">
        <v>2.2318041805165825</v>
      </c>
      <c r="BF186" s="18">
        <v>0.22222222222222221</v>
      </c>
      <c r="BG186" s="18">
        <v>0.22222222222222221</v>
      </c>
      <c r="BH186" s="19">
        <v>0.47625095250190497</v>
      </c>
      <c r="BI186" s="19">
        <v>0</v>
      </c>
      <c r="BJ186" s="19">
        <v>0.23284423109013788</v>
      </c>
      <c r="BK186" s="19">
        <v>1.1312217194570136</v>
      </c>
      <c r="BL186" s="19">
        <v>0</v>
      </c>
      <c r="BM186" s="19">
        <v>0</v>
      </c>
      <c r="BN186" s="19">
        <v>9.1911764705882355</v>
      </c>
      <c r="BO186" s="20" t="s">
        <v>257</v>
      </c>
      <c r="BP186" s="21">
        <v>200000</v>
      </c>
      <c r="BQ186" s="30" t="s">
        <v>306</v>
      </c>
      <c r="BR186" s="30">
        <v>0.57999999999999996</v>
      </c>
      <c r="BS186" s="30">
        <v>10.68</v>
      </c>
      <c r="BT186" s="30">
        <v>10.1</v>
      </c>
      <c r="BU186" s="35">
        <f t="shared" si="63"/>
        <v>0.19333333333333336</v>
      </c>
      <c r="BV186" s="35">
        <f t="shared" si="64"/>
        <v>3.56</v>
      </c>
      <c r="BW186" s="35">
        <f t="shared" si="65"/>
        <v>3.3666666666666667</v>
      </c>
      <c r="BX186" s="36">
        <f t="shared" si="66"/>
        <v>1.8267716535433038</v>
      </c>
      <c r="BY186" s="36">
        <f t="shared" si="67"/>
        <v>33.637795275590548</v>
      </c>
      <c r="BZ186" s="36">
        <f t="shared" si="68"/>
        <v>31.811023622047244</v>
      </c>
      <c r="CA186" s="30">
        <v>2</v>
      </c>
      <c r="CB186" s="30">
        <v>1</v>
      </c>
    </row>
    <row r="187" spans="1:80" x14ac:dyDescent="0.4">
      <c r="A187" s="11" t="s">
        <v>53</v>
      </c>
      <c r="B187" s="11" t="s">
        <v>265</v>
      </c>
      <c r="C187" s="11" t="s">
        <v>144</v>
      </c>
      <c r="D187" s="15">
        <v>2</v>
      </c>
      <c r="E187" s="15">
        <v>6</v>
      </c>
      <c r="F187" s="15">
        <v>42</v>
      </c>
      <c r="G187" s="16">
        <v>804</v>
      </c>
      <c r="H187" s="16">
        <v>0</v>
      </c>
      <c r="I187" s="17">
        <f t="shared" si="77"/>
        <v>0</v>
      </c>
      <c r="J187" s="15">
        <v>0</v>
      </c>
      <c r="K187" s="15">
        <v>1</v>
      </c>
      <c r="L187" s="17">
        <f t="shared" si="78"/>
        <v>0</v>
      </c>
      <c r="M187" s="17">
        <f t="shared" si="79"/>
        <v>0.5</v>
      </c>
      <c r="N187" s="18">
        <f t="shared" si="80"/>
        <v>0</v>
      </c>
      <c r="O187" s="16">
        <v>0</v>
      </c>
      <c r="P187" s="15">
        <v>1</v>
      </c>
      <c r="Q187" s="17">
        <f t="shared" si="54"/>
        <v>0</v>
      </c>
      <c r="R187" s="17">
        <f t="shared" si="55"/>
        <v>0.5</v>
      </c>
      <c r="S187" s="18">
        <f t="shared" si="56"/>
        <v>0</v>
      </c>
      <c r="T187" s="15">
        <v>0</v>
      </c>
      <c r="U187" s="15">
        <v>0</v>
      </c>
      <c r="V187" s="17">
        <f t="shared" si="57"/>
        <v>0</v>
      </c>
      <c r="W187" s="17">
        <f t="shared" si="58"/>
        <v>0</v>
      </c>
      <c r="X187" s="18" t="e">
        <f t="shared" si="59"/>
        <v>#DIV/0!</v>
      </c>
      <c r="Y187" s="15">
        <v>0</v>
      </c>
      <c r="Z187" s="15">
        <v>0</v>
      </c>
      <c r="AA187" s="17">
        <f t="shared" si="60"/>
        <v>0</v>
      </c>
      <c r="AB187" s="17">
        <f t="shared" si="61"/>
        <v>0</v>
      </c>
      <c r="AC187" s="18" t="e">
        <f t="shared" si="62"/>
        <v>#DIV/0!</v>
      </c>
      <c r="AD187" s="15">
        <v>0</v>
      </c>
      <c r="AE187" s="17">
        <f t="shared" si="69"/>
        <v>0</v>
      </c>
      <c r="AF187" s="15">
        <v>0</v>
      </c>
      <c r="AG187" s="17">
        <f t="shared" si="70"/>
        <v>0</v>
      </c>
      <c r="AH187" s="15">
        <v>0</v>
      </c>
      <c r="AI187" s="17">
        <f t="shared" si="71"/>
        <v>0</v>
      </c>
      <c r="AJ187" s="15">
        <v>0</v>
      </c>
      <c r="AK187" s="17">
        <f t="shared" si="72"/>
        <v>0</v>
      </c>
      <c r="AL187" s="15">
        <v>0</v>
      </c>
      <c r="AM187" s="17">
        <f t="shared" si="73"/>
        <v>0</v>
      </c>
      <c r="AN187" s="15">
        <v>0</v>
      </c>
      <c r="AO187" s="17">
        <f t="shared" si="74"/>
        <v>0</v>
      </c>
      <c r="AP187" s="4">
        <v>0</v>
      </c>
      <c r="AQ187" s="17">
        <f t="shared" si="75"/>
        <v>0</v>
      </c>
      <c r="AR187" s="15">
        <v>2</v>
      </c>
      <c r="AS187" s="17">
        <f t="shared" si="76"/>
        <v>1</v>
      </c>
      <c r="AT187" s="19">
        <v>-2.5778763959866266E-2</v>
      </c>
      <c r="AU187" s="19">
        <v>-7.6951534208556022E-2</v>
      </c>
      <c r="AV187" s="19">
        <v>-2.3690571623891925E-2</v>
      </c>
      <c r="AW187" s="19">
        <v>-2.0881923359743412E-3</v>
      </c>
      <c r="AX187" s="19">
        <v>0</v>
      </c>
      <c r="AY187" s="19">
        <v>120.87104802392535</v>
      </c>
      <c r="AZ187" s="19">
        <v>-0.25351618594139025</v>
      </c>
      <c r="BA187" s="19">
        <v>-0.5</v>
      </c>
      <c r="BB187" s="19">
        <v>-2.9850746268656714</v>
      </c>
      <c r="BC187" s="18">
        <v>0</v>
      </c>
      <c r="BD187" s="18">
        <v>0</v>
      </c>
      <c r="BE187" s="19">
        <v>0.12960890900534366</v>
      </c>
      <c r="BF187" s="18">
        <v>0</v>
      </c>
      <c r="BG187" s="18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20" t="s">
        <v>257</v>
      </c>
      <c r="BP187" s="21">
        <v>40000</v>
      </c>
      <c r="BQ187" s="30" t="s">
        <v>305</v>
      </c>
      <c r="BR187" s="30">
        <v>2.35</v>
      </c>
      <c r="BS187" s="30">
        <v>3.35</v>
      </c>
      <c r="BT187" s="30">
        <v>1</v>
      </c>
      <c r="BU187" s="35">
        <f t="shared" si="63"/>
        <v>1.175</v>
      </c>
      <c r="BV187" s="35">
        <f t="shared" si="64"/>
        <v>1.675</v>
      </c>
      <c r="BW187" s="35">
        <f t="shared" si="65"/>
        <v>0.5</v>
      </c>
      <c r="BX187" s="36">
        <f t="shared" si="66"/>
        <v>7.0149253731343286</v>
      </c>
      <c r="BY187" s="36">
        <f t="shared" si="67"/>
        <v>10</v>
      </c>
      <c r="BZ187" s="36">
        <f t="shared" si="68"/>
        <v>2.9850746268656718</v>
      </c>
      <c r="CA187" s="30">
        <v>1</v>
      </c>
      <c r="CB187" s="30">
        <v>1</v>
      </c>
    </row>
    <row r="188" spans="1:80" x14ac:dyDescent="0.4">
      <c r="A188" s="11" t="s">
        <v>53</v>
      </c>
      <c r="B188" s="11" t="s">
        <v>265</v>
      </c>
      <c r="C188" s="11" t="s">
        <v>128</v>
      </c>
      <c r="D188" s="15">
        <v>48</v>
      </c>
      <c r="E188" s="15">
        <v>10</v>
      </c>
      <c r="F188" s="15">
        <v>30</v>
      </c>
      <c r="G188" s="16">
        <v>30240</v>
      </c>
      <c r="H188" s="16">
        <v>294</v>
      </c>
      <c r="I188" s="17">
        <f t="shared" si="77"/>
        <v>6.125</v>
      </c>
      <c r="J188" s="15">
        <v>118</v>
      </c>
      <c r="K188" s="15">
        <v>216</v>
      </c>
      <c r="L188" s="17">
        <f t="shared" si="78"/>
        <v>2.4583333333333335</v>
      </c>
      <c r="M188" s="17">
        <f t="shared" si="79"/>
        <v>4.5</v>
      </c>
      <c r="N188" s="18">
        <f t="shared" si="80"/>
        <v>0.54629629629629628</v>
      </c>
      <c r="O188" s="16">
        <v>105</v>
      </c>
      <c r="P188" s="15">
        <v>186</v>
      </c>
      <c r="Q188" s="17">
        <f t="shared" si="54"/>
        <v>2.1875</v>
      </c>
      <c r="R188" s="17">
        <f t="shared" si="55"/>
        <v>3.875</v>
      </c>
      <c r="S188" s="18">
        <f t="shared" si="56"/>
        <v>0.56451612903225812</v>
      </c>
      <c r="T188" s="15">
        <v>13</v>
      </c>
      <c r="U188" s="15">
        <v>30</v>
      </c>
      <c r="V188" s="17">
        <f t="shared" si="57"/>
        <v>0.27083333333333331</v>
      </c>
      <c r="W188" s="17">
        <f t="shared" si="58"/>
        <v>0.625</v>
      </c>
      <c r="X188" s="18">
        <f t="shared" si="59"/>
        <v>0.43333333333333335</v>
      </c>
      <c r="Y188" s="15">
        <v>45</v>
      </c>
      <c r="Z188" s="15">
        <v>64</v>
      </c>
      <c r="AA188" s="17">
        <f t="shared" si="60"/>
        <v>0.9375</v>
      </c>
      <c r="AB188" s="17">
        <f t="shared" si="61"/>
        <v>1.3333333333333333</v>
      </c>
      <c r="AC188" s="18">
        <f t="shared" si="62"/>
        <v>0.703125</v>
      </c>
      <c r="AD188" s="15">
        <v>213</v>
      </c>
      <c r="AE188" s="17">
        <f t="shared" si="69"/>
        <v>4.4375</v>
      </c>
      <c r="AF188" s="15">
        <v>48</v>
      </c>
      <c r="AG188" s="17">
        <f t="shared" si="70"/>
        <v>1</v>
      </c>
      <c r="AH188" s="15">
        <v>165</v>
      </c>
      <c r="AI188" s="17">
        <f t="shared" si="71"/>
        <v>3.4375</v>
      </c>
      <c r="AJ188" s="15">
        <v>23</v>
      </c>
      <c r="AK188" s="17">
        <f t="shared" si="72"/>
        <v>0.47916666666666669</v>
      </c>
      <c r="AL188" s="15">
        <v>19</v>
      </c>
      <c r="AM188" s="17">
        <f t="shared" si="73"/>
        <v>0.39583333333333331</v>
      </c>
      <c r="AN188" s="15">
        <v>44</v>
      </c>
      <c r="AO188" s="17">
        <f t="shared" si="74"/>
        <v>0.91666666666666663</v>
      </c>
      <c r="AP188" s="3">
        <v>43</v>
      </c>
      <c r="AQ188" s="17">
        <f t="shared" si="75"/>
        <v>0.89583333333333337</v>
      </c>
      <c r="AR188" s="15">
        <v>41</v>
      </c>
      <c r="AS188" s="17">
        <f t="shared" si="76"/>
        <v>0.85416666666666663</v>
      </c>
      <c r="AT188" s="19">
        <v>2.0048796676754428</v>
      </c>
      <c r="AU188" s="19">
        <v>0.15911743394249545</v>
      </c>
      <c r="AV188" s="19">
        <v>0.66613527866838151</v>
      </c>
      <c r="AW188" s="19">
        <v>1.3387443890070614</v>
      </c>
      <c r="AX188" s="19">
        <v>110.22973280778746</v>
      </c>
      <c r="AY188" s="19">
        <v>97.985609418225067</v>
      </c>
      <c r="AZ188" s="19">
        <v>20.468466942803921</v>
      </c>
      <c r="BA188" s="19">
        <v>9.0208333333333339</v>
      </c>
      <c r="BB188" s="19">
        <v>34.36507936507936</v>
      </c>
      <c r="BC188" s="18">
        <v>0.60206422018348627</v>
      </c>
      <c r="BD188" s="18">
        <v>0.57638888888888884</v>
      </c>
      <c r="BE188" s="19">
        <v>23.748943988269428</v>
      </c>
      <c r="BF188" s="18">
        <v>0.1388888888888889</v>
      </c>
      <c r="BG188" s="18">
        <v>0.29629629629629628</v>
      </c>
      <c r="BH188" s="19">
        <v>9.216589861751153</v>
      </c>
      <c r="BI188" s="19">
        <v>31.682027649769584</v>
      </c>
      <c r="BJ188" s="19">
        <v>19.995775540378794</v>
      </c>
      <c r="BK188" s="19">
        <v>7.1207430340557272</v>
      </c>
      <c r="BL188" s="19">
        <v>2.0817799337071556</v>
      </c>
      <c r="BM188" s="19">
        <v>7.902831099436475</v>
      </c>
      <c r="BN188" s="19">
        <v>14.974230394205323</v>
      </c>
      <c r="BO188" s="20" t="s">
        <v>239</v>
      </c>
      <c r="BP188" s="21">
        <v>600000</v>
      </c>
      <c r="BQ188" s="30" t="s">
        <v>307</v>
      </c>
      <c r="BR188" s="30">
        <v>578.45000000000005</v>
      </c>
      <c r="BS188" s="30">
        <v>754.45</v>
      </c>
      <c r="BT188" s="30">
        <v>176</v>
      </c>
      <c r="BU188" s="35">
        <f t="shared" si="63"/>
        <v>12.051041666666668</v>
      </c>
      <c r="BV188" s="35">
        <f t="shared" si="64"/>
        <v>15.717708333333334</v>
      </c>
      <c r="BW188" s="35">
        <f t="shared" si="65"/>
        <v>3.6666666666666665</v>
      </c>
      <c r="BX188" s="36">
        <f t="shared" si="66"/>
        <v>45.908730158730158</v>
      </c>
      <c r="BY188" s="36">
        <f t="shared" si="67"/>
        <v>59.876984126984127</v>
      </c>
      <c r="BZ188" s="36">
        <f t="shared" si="68"/>
        <v>13.968253968253968</v>
      </c>
      <c r="CA188" s="30">
        <v>35</v>
      </c>
      <c r="CB188" s="30">
        <v>13</v>
      </c>
    </row>
    <row r="189" spans="1:80" x14ac:dyDescent="0.4">
      <c r="A189" s="11" t="s">
        <v>53</v>
      </c>
      <c r="B189" s="11" t="s">
        <v>265</v>
      </c>
      <c r="C189" s="11" t="s">
        <v>145</v>
      </c>
      <c r="D189" s="15">
        <v>1</v>
      </c>
      <c r="E189" s="15">
        <v>0</v>
      </c>
      <c r="F189" s="15">
        <v>53</v>
      </c>
      <c r="G189" s="16">
        <v>53</v>
      </c>
      <c r="H189" s="16">
        <v>0</v>
      </c>
      <c r="I189" s="17">
        <f t="shared" si="77"/>
        <v>0</v>
      </c>
      <c r="J189" s="15">
        <v>0</v>
      </c>
      <c r="K189" s="15">
        <v>0</v>
      </c>
      <c r="L189" s="17">
        <f t="shared" si="78"/>
        <v>0</v>
      </c>
      <c r="M189" s="17">
        <f t="shared" si="79"/>
        <v>0</v>
      </c>
      <c r="N189" s="18" t="e">
        <f t="shared" si="80"/>
        <v>#DIV/0!</v>
      </c>
      <c r="O189" s="16">
        <v>0</v>
      </c>
      <c r="P189" s="15">
        <v>0</v>
      </c>
      <c r="Q189" s="17">
        <f t="shared" si="54"/>
        <v>0</v>
      </c>
      <c r="R189" s="17">
        <f t="shared" si="55"/>
        <v>0</v>
      </c>
      <c r="S189" s="18" t="e">
        <f t="shared" si="56"/>
        <v>#DIV/0!</v>
      </c>
      <c r="T189" s="15">
        <v>0</v>
      </c>
      <c r="U189" s="15">
        <v>0</v>
      </c>
      <c r="V189" s="17">
        <f t="shared" si="57"/>
        <v>0</v>
      </c>
      <c r="W189" s="17">
        <f t="shared" si="58"/>
        <v>0</v>
      </c>
      <c r="X189" s="18" t="e">
        <f t="shared" si="59"/>
        <v>#DIV/0!</v>
      </c>
      <c r="Y189" s="15">
        <v>0</v>
      </c>
      <c r="Z189" s="15">
        <v>0</v>
      </c>
      <c r="AA189" s="17">
        <f t="shared" si="60"/>
        <v>0</v>
      </c>
      <c r="AB189" s="17">
        <f t="shared" si="61"/>
        <v>0</v>
      </c>
      <c r="AC189" s="18" t="e">
        <f t="shared" si="62"/>
        <v>#DIV/0!</v>
      </c>
      <c r="AD189" s="15">
        <v>0</v>
      </c>
      <c r="AE189" s="17">
        <f t="shared" si="69"/>
        <v>0</v>
      </c>
      <c r="AF189" s="15">
        <v>0</v>
      </c>
      <c r="AG189" s="17">
        <f t="shared" si="70"/>
        <v>0</v>
      </c>
      <c r="AH189" s="15">
        <v>0</v>
      </c>
      <c r="AI189" s="17">
        <f t="shared" si="71"/>
        <v>0</v>
      </c>
      <c r="AJ189" s="15">
        <v>0</v>
      </c>
      <c r="AK189" s="17">
        <f t="shared" si="72"/>
        <v>0</v>
      </c>
      <c r="AL189" s="15">
        <v>0</v>
      </c>
      <c r="AM189" s="17">
        <f t="shared" si="73"/>
        <v>0</v>
      </c>
      <c r="AN189" s="15">
        <v>0</v>
      </c>
      <c r="AO189" s="17">
        <f t="shared" si="74"/>
        <v>0</v>
      </c>
      <c r="AP189" s="4">
        <v>0</v>
      </c>
      <c r="AQ189" s="17">
        <f t="shared" si="75"/>
        <v>0</v>
      </c>
      <c r="AR189" s="15">
        <v>0</v>
      </c>
      <c r="AS189" s="17">
        <f t="shared" si="76"/>
        <v>0</v>
      </c>
      <c r="AT189" s="19">
        <v>-1.8518645355176749E-4</v>
      </c>
      <c r="AU189" s="19">
        <v>-8.3858016702687155E-3</v>
      </c>
      <c r="AV189" s="19">
        <v>0</v>
      </c>
      <c r="AW189" s="19">
        <v>-1.8518645355176749E-4</v>
      </c>
      <c r="AX189" s="19">
        <v>0</v>
      </c>
      <c r="AY189" s="19">
        <v>121.30896703273373</v>
      </c>
      <c r="AZ189" s="19">
        <v>1.1867386005356423E-2</v>
      </c>
      <c r="BA189" s="19">
        <v>0</v>
      </c>
      <c r="BB189" s="19">
        <v>0</v>
      </c>
      <c r="BC189" s="18">
        <v>0</v>
      </c>
      <c r="BD189" s="18">
        <v>0</v>
      </c>
      <c r="BE189" s="19">
        <v>0</v>
      </c>
      <c r="BF189" s="18">
        <v>0</v>
      </c>
      <c r="BG189" s="18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20" t="s">
        <v>257</v>
      </c>
      <c r="BP189" s="21">
        <v>45000</v>
      </c>
      <c r="BQ189" s="30" t="s">
        <v>305</v>
      </c>
      <c r="BR189" s="30">
        <v>0.22</v>
      </c>
      <c r="BS189" s="30">
        <v>0.22</v>
      </c>
      <c r="BT189" s="30">
        <v>0</v>
      </c>
      <c r="BU189" s="35">
        <f t="shared" si="63"/>
        <v>0.22</v>
      </c>
      <c r="BV189" s="35">
        <f t="shared" si="64"/>
        <v>0.22</v>
      </c>
      <c r="BW189" s="35">
        <f t="shared" si="65"/>
        <v>0</v>
      </c>
      <c r="BX189" s="36">
        <f t="shared" si="66"/>
        <v>9.9622641509433958</v>
      </c>
      <c r="BY189" s="36">
        <f t="shared" si="67"/>
        <v>9.9622641509433958</v>
      </c>
      <c r="BZ189" s="36">
        <f t="shared" si="68"/>
        <v>0</v>
      </c>
      <c r="CA189" s="31">
        <v>1</v>
      </c>
      <c r="CB189" s="31">
        <v>0</v>
      </c>
    </row>
    <row r="190" spans="1:80" x14ac:dyDescent="0.4">
      <c r="A190" s="11" t="s">
        <v>53</v>
      </c>
      <c r="B190" s="11" t="s">
        <v>265</v>
      </c>
      <c r="C190" s="11" t="s">
        <v>130</v>
      </c>
      <c r="D190" s="15">
        <v>52</v>
      </c>
      <c r="E190" s="15">
        <v>16</v>
      </c>
      <c r="F190" s="15">
        <v>34</v>
      </c>
      <c r="G190" s="16">
        <v>51688</v>
      </c>
      <c r="H190" s="16">
        <v>205</v>
      </c>
      <c r="I190" s="17">
        <f t="shared" si="77"/>
        <v>3.9423076923076925</v>
      </c>
      <c r="J190" s="15">
        <v>86</v>
      </c>
      <c r="K190" s="15">
        <v>180</v>
      </c>
      <c r="L190" s="17">
        <f t="shared" si="78"/>
        <v>1.6538461538461537</v>
      </c>
      <c r="M190" s="17">
        <f t="shared" si="79"/>
        <v>3.4615384615384617</v>
      </c>
      <c r="N190" s="18">
        <f t="shared" si="80"/>
        <v>0.4777777777777778</v>
      </c>
      <c r="O190" s="16">
        <v>67</v>
      </c>
      <c r="P190" s="15">
        <v>117</v>
      </c>
      <c r="Q190" s="17">
        <f t="shared" si="54"/>
        <v>1.2884615384615385</v>
      </c>
      <c r="R190" s="17">
        <f t="shared" si="55"/>
        <v>2.25</v>
      </c>
      <c r="S190" s="18">
        <f t="shared" si="56"/>
        <v>0.57264957264957261</v>
      </c>
      <c r="T190" s="15">
        <v>19</v>
      </c>
      <c r="U190" s="15">
        <v>63</v>
      </c>
      <c r="V190" s="17">
        <f t="shared" si="57"/>
        <v>0.36538461538461536</v>
      </c>
      <c r="W190" s="17">
        <f t="shared" si="58"/>
        <v>1.2115384615384615</v>
      </c>
      <c r="X190" s="18">
        <f t="shared" si="59"/>
        <v>0.30158730158730157</v>
      </c>
      <c r="Y190" s="15">
        <v>14</v>
      </c>
      <c r="Z190" s="15">
        <v>22</v>
      </c>
      <c r="AA190" s="17">
        <f t="shared" si="60"/>
        <v>0.26923076923076922</v>
      </c>
      <c r="AB190" s="17">
        <f t="shared" si="61"/>
        <v>0.42307692307692307</v>
      </c>
      <c r="AC190" s="18">
        <f t="shared" si="62"/>
        <v>0.63636363636363635</v>
      </c>
      <c r="AD190" s="15">
        <v>75</v>
      </c>
      <c r="AE190" s="17">
        <f t="shared" si="69"/>
        <v>1.4423076923076923</v>
      </c>
      <c r="AF190" s="15">
        <v>39</v>
      </c>
      <c r="AG190" s="17">
        <f t="shared" si="70"/>
        <v>0.75</v>
      </c>
      <c r="AH190" s="15">
        <v>36</v>
      </c>
      <c r="AI190" s="17">
        <f t="shared" si="71"/>
        <v>0.69230769230769229</v>
      </c>
      <c r="AJ190" s="15">
        <v>44</v>
      </c>
      <c r="AK190" s="17">
        <f t="shared" si="72"/>
        <v>0.84615384615384615</v>
      </c>
      <c r="AL190" s="15">
        <v>35</v>
      </c>
      <c r="AM190" s="17">
        <f t="shared" si="73"/>
        <v>0.67307692307692313</v>
      </c>
      <c r="AN190" s="15">
        <v>6</v>
      </c>
      <c r="AO190" s="17">
        <f t="shared" si="74"/>
        <v>0.11538461538461539</v>
      </c>
      <c r="AP190" s="4">
        <v>16</v>
      </c>
      <c r="AQ190" s="17">
        <f t="shared" si="75"/>
        <v>0.30769230769230771</v>
      </c>
      <c r="AR190" s="15">
        <v>77</v>
      </c>
      <c r="AS190" s="17">
        <f t="shared" si="76"/>
        <v>1.4807692307692308</v>
      </c>
      <c r="AT190" s="19">
        <v>1.5059332349623673</v>
      </c>
      <c r="AU190" s="19">
        <v>6.9924155779091501E-2</v>
      </c>
      <c r="AV190" s="19">
        <v>0.91478707062055153</v>
      </c>
      <c r="AW190" s="19">
        <v>0.59114616434181577</v>
      </c>
      <c r="AX190" s="19">
        <v>117.30245859929451</v>
      </c>
      <c r="AY190" s="19">
        <v>114.01825867515959</v>
      </c>
      <c r="AZ190" s="19">
        <v>7.702004472800823</v>
      </c>
      <c r="BA190" s="19">
        <v>4.75</v>
      </c>
      <c r="BB190" s="19">
        <v>11.468812877263581</v>
      </c>
      <c r="BC190" s="18">
        <v>0.5403838043019823</v>
      </c>
      <c r="BD190" s="18">
        <v>0.53055555555555556</v>
      </c>
      <c r="BE190" s="19">
        <v>10.781187205730456</v>
      </c>
      <c r="BF190" s="18">
        <v>0.35</v>
      </c>
      <c r="BG190" s="18">
        <v>0.12222222222222222</v>
      </c>
      <c r="BH190" s="19">
        <v>4.7462192509898093</v>
      </c>
      <c r="BI190" s="19">
        <v>4.3811254624521325</v>
      </c>
      <c r="BJ190" s="19">
        <v>4.4624573463451975</v>
      </c>
      <c r="BK190" s="19">
        <v>7.2154804854050498</v>
      </c>
      <c r="BL190" s="19">
        <v>2.2435787618786134</v>
      </c>
      <c r="BM190" s="19">
        <v>0.68302317440712157</v>
      </c>
      <c r="BN190" s="19">
        <v>7.7790742901594712</v>
      </c>
      <c r="BO190" s="20" t="s">
        <v>257</v>
      </c>
      <c r="BP190" s="21">
        <v>350000</v>
      </c>
      <c r="BQ190" s="31" t="s">
        <v>305</v>
      </c>
      <c r="BR190" s="31">
        <v>504.93</v>
      </c>
      <c r="BS190" s="31">
        <v>624.92999999999995</v>
      </c>
      <c r="BT190" s="31">
        <v>120</v>
      </c>
      <c r="BU190" s="35">
        <f t="shared" si="63"/>
        <v>9.7101923076923065</v>
      </c>
      <c r="BV190" s="35">
        <f t="shared" si="64"/>
        <v>12.017884615384615</v>
      </c>
      <c r="BW190" s="35">
        <f t="shared" si="65"/>
        <v>2.3076923076923075</v>
      </c>
      <c r="BX190" s="36">
        <f t="shared" si="66"/>
        <v>23.445132332456271</v>
      </c>
      <c r="BY190" s="36">
        <f t="shared" si="67"/>
        <v>29.01702522829283</v>
      </c>
      <c r="BZ190" s="36">
        <f t="shared" si="68"/>
        <v>5.5718928958365579</v>
      </c>
      <c r="CA190" s="30">
        <v>39</v>
      </c>
      <c r="CB190" s="30">
        <v>13</v>
      </c>
    </row>
    <row r="191" spans="1:80" x14ac:dyDescent="0.4">
      <c r="A191" s="11" t="s">
        <v>53</v>
      </c>
      <c r="B191" s="11" t="s">
        <v>266</v>
      </c>
      <c r="C191" s="11" t="s">
        <v>197</v>
      </c>
      <c r="D191" s="15">
        <v>2</v>
      </c>
      <c r="E191" s="15">
        <v>4</v>
      </c>
      <c r="F191" s="15">
        <v>23</v>
      </c>
      <c r="G191" s="16">
        <v>526</v>
      </c>
      <c r="H191" s="16">
        <v>0</v>
      </c>
      <c r="I191" s="17">
        <f t="shared" si="77"/>
        <v>0</v>
      </c>
      <c r="J191" s="15">
        <v>0</v>
      </c>
      <c r="K191" s="15">
        <v>3</v>
      </c>
      <c r="L191" s="17">
        <f t="shared" si="78"/>
        <v>0</v>
      </c>
      <c r="M191" s="17">
        <f t="shared" si="79"/>
        <v>1.5</v>
      </c>
      <c r="N191" s="18">
        <f t="shared" si="80"/>
        <v>0</v>
      </c>
      <c r="O191" s="16">
        <v>0</v>
      </c>
      <c r="P191" s="15">
        <v>1</v>
      </c>
      <c r="Q191" s="17">
        <f t="shared" si="54"/>
        <v>0</v>
      </c>
      <c r="R191" s="17">
        <f t="shared" si="55"/>
        <v>0.5</v>
      </c>
      <c r="S191" s="18">
        <f t="shared" si="56"/>
        <v>0</v>
      </c>
      <c r="T191" s="15">
        <v>0</v>
      </c>
      <c r="U191" s="15">
        <v>2</v>
      </c>
      <c r="V191" s="17">
        <f t="shared" si="57"/>
        <v>0</v>
      </c>
      <c r="W191" s="17">
        <f t="shared" si="58"/>
        <v>1</v>
      </c>
      <c r="X191" s="18">
        <f t="shared" si="59"/>
        <v>0</v>
      </c>
      <c r="Y191" s="15">
        <v>0</v>
      </c>
      <c r="Z191" s="15">
        <v>0</v>
      </c>
      <c r="AA191" s="17">
        <f t="shared" si="60"/>
        <v>0</v>
      </c>
      <c r="AB191" s="17">
        <f t="shared" si="61"/>
        <v>0</v>
      </c>
      <c r="AC191" s="18" t="e">
        <f t="shared" si="62"/>
        <v>#DIV/0!</v>
      </c>
      <c r="AD191" s="15">
        <v>1</v>
      </c>
      <c r="AE191" s="17">
        <f t="shared" si="69"/>
        <v>0.5</v>
      </c>
      <c r="AF191" s="15">
        <v>1</v>
      </c>
      <c r="AG191" s="17">
        <f t="shared" si="70"/>
        <v>0.5</v>
      </c>
      <c r="AH191" s="15">
        <v>0</v>
      </c>
      <c r="AI191" s="17">
        <f t="shared" si="71"/>
        <v>0</v>
      </c>
      <c r="AJ191" s="15">
        <v>0</v>
      </c>
      <c r="AK191" s="17">
        <f t="shared" si="72"/>
        <v>0</v>
      </c>
      <c r="AL191" s="15">
        <v>0</v>
      </c>
      <c r="AM191" s="17">
        <f t="shared" si="73"/>
        <v>0</v>
      </c>
      <c r="AN191" s="15">
        <v>0</v>
      </c>
      <c r="AO191" s="17">
        <f t="shared" si="74"/>
        <v>0</v>
      </c>
      <c r="AP191" s="4">
        <v>1</v>
      </c>
      <c r="AQ191" s="17">
        <f t="shared" si="75"/>
        <v>0.5</v>
      </c>
      <c r="AR191" s="15">
        <v>0</v>
      </c>
      <c r="AS191" s="17">
        <f t="shared" si="76"/>
        <v>0</v>
      </c>
      <c r="AT191" s="19">
        <v>-7.8434128401366598E-2</v>
      </c>
      <c r="AU191" s="19">
        <v>-0.35787435012030383</v>
      </c>
      <c r="AV191" s="19">
        <v>-8.1056991544321624E-2</v>
      </c>
      <c r="AW191" s="19">
        <v>2.6228631429550241E-3</v>
      </c>
      <c r="AX191" s="19">
        <v>18.218451125213626</v>
      </c>
      <c r="AY191" s="19">
        <v>116.74957070021856</v>
      </c>
      <c r="AZ191" s="19">
        <v>-0.46956418931144805</v>
      </c>
      <c r="BA191" s="19">
        <v>-1.5</v>
      </c>
      <c r="BB191" s="19">
        <v>-13.688212927756654</v>
      </c>
      <c r="BC191" s="18">
        <v>0</v>
      </c>
      <c r="BD191" s="18">
        <v>0</v>
      </c>
      <c r="BE191" s="19">
        <v>0.79243774023039015</v>
      </c>
      <c r="BF191" s="18">
        <v>0.66666666666666663</v>
      </c>
      <c r="BG191" s="18">
        <v>0</v>
      </c>
      <c r="BH191" s="19">
        <v>0.45995339138967251</v>
      </c>
      <c r="BI191" s="19">
        <v>0</v>
      </c>
      <c r="BJ191" s="19">
        <v>0.22487617755473394</v>
      </c>
      <c r="BK191" s="19">
        <v>0</v>
      </c>
      <c r="BL191" s="19">
        <v>0</v>
      </c>
      <c r="BM191" s="19">
        <v>0</v>
      </c>
      <c r="BN191" s="19">
        <v>25</v>
      </c>
      <c r="BO191" s="20" t="s">
        <v>257</v>
      </c>
      <c r="BP191" s="21"/>
      <c r="BQ191" s="30" t="s">
        <v>305</v>
      </c>
      <c r="BR191" s="30">
        <v>-0.61</v>
      </c>
      <c r="BS191" s="30">
        <v>3.69</v>
      </c>
      <c r="BT191" s="30">
        <v>4.3</v>
      </c>
      <c r="BU191" s="35">
        <f t="shared" si="63"/>
        <v>-0.30499999999999994</v>
      </c>
      <c r="BV191" s="35">
        <f t="shared" si="64"/>
        <v>1.845</v>
      </c>
      <c r="BW191" s="35">
        <f t="shared" si="65"/>
        <v>2.15</v>
      </c>
      <c r="BX191" s="36">
        <f t="shared" si="66"/>
        <v>-2.7832699619771866</v>
      </c>
      <c r="BY191" s="36">
        <f t="shared" si="67"/>
        <v>16.836501901140686</v>
      </c>
      <c r="BZ191" s="36">
        <f t="shared" si="68"/>
        <v>19.619771863117872</v>
      </c>
      <c r="CA191" s="31">
        <v>1</v>
      </c>
      <c r="CB191" s="31">
        <v>1</v>
      </c>
    </row>
    <row r="192" spans="1:80" x14ac:dyDescent="0.4">
      <c r="A192" s="11" t="s">
        <v>53</v>
      </c>
      <c r="B192" s="11" t="s">
        <v>266</v>
      </c>
      <c r="C192" s="11" t="s">
        <v>190</v>
      </c>
      <c r="D192" s="15">
        <v>10</v>
      </c>
      <c r="E192" s="15">
        <v>13</v>
      </c>
      <c r="F192" s="15">
        <v>36</v>
      </c>
      <c r="G192" s="16">
        <v>8160</v>
      </c>
      <c r="H192" s="16">
        <v>84</v>
      </c>
      <c r="I192" s="17">
        <f t="shared" si="77"/>
        <v>8.4</v>
      </c>
      <c r="J192" s="15">
        <v>37</v>
      </c>
      <c r="K192" s="15">
        <v>74</v>
      </c>
      <c r="L192" s="17">
        <f t="shared" si="78"/>
        <v>3.7</v>
      </c>
      <c r="M192" s="17">
        <f t="shared" si="79"/>
        <v>7.4</v>
      </c>
      <c r="N192" s="18">
        <f t="shared" si="80"/>
        <v>0.5</v>
      </c>
      <c r="O192" s="16">
        <v>36</v>
      </c>
      <c r="P192" s="15">
        <v>73</v>
      </c>
      <c r="Q192" s="17">
        <f t="shared" si="54"/>
        <v>3.6</v>
      </c>
      <c r="R192" s="17">
        <f t="shared" si="55"/>
        <v>7.3</v>
      </c>
      <c r="S192" s="18">
        <f t="shared" si="56"/>
        <v>0.49315068493150682</v>
      </c>
      <c r="T192" s="15">
        <v>1</v>
      </c>
      <c r="U192" s="15">
        <v>1</v>
      </c>
      <c r="V192" s="17">
        <f t="shared" si="57"/>
        <v>0.1</v>
      </c>
      <c r="W192" s="17">
        <f t="shared" si="58"/>
        <v>0.1</v>
      </c>
      <c r="X192" s="18">
        <f t="shared" si="59"/>
        <v>1</v>
      </c>
      <c r="Y192" s="15">
        <v>9</v>
      </c>
      <c r="Z192" s="15">
        <v>12</v>
      </c>
      <c r="AA192" s="17">
        <f t="shared" si="60"/>
        <v>0.9</v>
      </c>
      <c r="AB192" s="17">
        <f t="shared" si="61"/>
        <v>1.2</v>
      </c>
      <c r="AC192" s="18">
        <f t="shared" si="62"/>
        <v>0.75</v>
      </c>
      <c r="AD192" s="15">
        <v>48</v>
      </c>
      <c r="AE192" s="17">
        <f t="shared" si="69"/>
        <v>4.8</v>
      </c>
      <c r="AF192" s="15">
        <v>13</v>
      </c>
      <c r="AG192" s="17">
        <f t="shared" si="70"/>
        <v>1.3</v>
      </c>
      <c r="AH192" s="15">
        <v>35</v>
      </c>
      <c r="AI192" s="17">
        <f t="shared" si="71"/>
        <v>3.5</v>
      </c>
      <c r="AJ192" s="15">
        <v>6</v>
      </c>
      <c r="AK192" s="17">
        <f t="shared" si="72"/>
        <v>0.6</v>
      </c>
      <c r="AL192" s="15">
        <v>12</v>
      </c>
      <c r="AM192" s="17">
        <f t="shared" si="73"/>
        <v>1.2</v>
      </c>
      <c r="AN192" s="15">
        <v>4</v>
      </c>
      <c r="AO192" s="17">
        <f t="shared" si="74"/>
        <v>0.4</v>
      </c>
      <c r="AP192" s="4">
        <v>11</v>
      </c>
      <c r="AQ192" s="17">
        <f t="shared" si="75"/>
        <v>1.1000000000000001</v>
      </c>
      <c r="AR192" s="15">
        <v>20</v>
      </c>
      <c r="AS192" s="17">
        <f t="shared" si="76"/>
        <v>2</v>
      </c>
      <c r="AT192" s="19">
        <v>0.35809735156969058</v>
      </c>
      <c r="AU192" s="19">
        <v>0.10532275046167369</v>
      </c>
      <c r="AV192" s="19">
        <v>-8.4998571736597302E-3</v>
      </c>
      <c r="AW192" s="19">
        <v>0.36659720874335033</v>
      </c>
      <c r="AX192" s="19">
        <v>101.48083204911384</v>
      </c>
      <c r="AY192" s="19">
        <v>93.895991512067596</v>
      </c>
      <c r="AZ192" s="19">
        <v>3.2194704897094288</v>
      </c>
      <c r="BA192" s="19">
        <v>10.3</v>
      </c>
      <c r="BB192" s="19">
        <v>30.294117647058822</v>
      </c>
      <c r="BC192" s="18">
        <v>0.52976791120080724</v>
      </c>
      <c r="BD192" s="18">
        <v>0.5067567567567568</v>
      </c>
      <c r="BE192" s="19">
        <v>5.7645087090820768</v>
      </c>
      <c r="BF192" s="18">
        <v>1.3513513513513514E-2</v>
      </c>
      <c r="BG192" s="18">
        <v>0.16216216216216217</v>
      </c>
      <c r="BH192" s="19">
        <v>1.9271821631878558</v>
      </c>
      <c r="BI192" s="19">
        <v>5.1885673624288424</v>
      </c>
      <c r="BJ192" s="19">
        <v>3.4789667468761776</v>
      </c>
      <c r="BK192" s="19">
        <v>1.123174840883564</v>
      </c>
      <c r="BL192" s="19">
        <v>4.8725251699151997</v>
      </c>
      <c r="BM192" s="19">
        <v>0.55467731647114293</v>
      </c>
      <c r="BN192" s="19">
        <v>12.184315463003987</v>
      </c>
      <c r="BO192" s="20" t="s">
        <v>239</v>
      </c>
      <c r="BP192" s="21"/>
      <c r="BQ192" s="31" t="s">
        <v>305</v>
      </c>
      <c r="BR192" s="31">
        <v>141.6</v>
      </c>
      <c r="BS192" s="31">
        <v>197.5</v>
      </c>
      <c r="BT192" s="31">
        <v>55.9</v>
      </c>
      <c r="BU192" s="35">
        <f t="shared" si="63"/>
        <v>14.16</v>
      </c>
      <c r="BV192" s="35">
        <f t="shared" si="64"/>
        <v>19.75</v>
      </c>
      <c r="BW192" s="35">
        <f t="shared" si="65"/>
        <v>5.59</v>
      </c>
      <c r="BX192" s="36">
        <f t="shared" si="66"/>
        <v>41.647058823529406</v>
      </c>
      <c r="BY192" s="36">
        <f t="shared" si="67"/>
        <v>58.088235294117645</v>
      </c>
      <c r="BZ192" s="36">
        <f t="shared" si="68"/>
        <v>16.441176470588236</v>
      </c>
      <c r="CA192" s="30">
        <v>6</v>
      </c>
      <c r="CB192" s="30">
        <v>4</v>
      </c>
    </row>
    <row r="193" spans="1:80" x14ac:dyDescent="0.4">
      <c r="A193" s="11" t="s">
        <v>53</v>
      </c>
      <c r="B193" s="11" t="s">
        <v>266</v>
      </c>
      <c r="C193" s="11" t="s">
        <v>198</v>
      </c>
      <c r="D193" s="15">
        <v>1</v>
      </c>
      <c r="E193" s="15">
        <v>0</v>
      </c>
      <c r="F193" s="15">
        <v>43</v>
      </c>
      <c r="G193" s="16">
        <v>43</v>
      </c>
      <c r="H193" s="16">
        <v>0</v>
      </c>
      <c r="I193" s="17">
        <f t="shared" si="77"/>
        <v>0</v>
      </c>
      <c r="J193" s="15">
        <v>0</v>
      </c>
      <c r="K193" s="15">
        <v>0</v>
      </c>
      <c r="L193" s="17">
        <f t="shared" si="78"/>
        <v>0</v>
      </c>
      <c r="M193" s="17">
        <f t="shared" si="79"/>
        <v>0</v>
      </c>
      <c r="N193" s="18" t="e">
        <f t="shared" si="80"/>
        <v>#DIV/0!</v>
      </c>
      <c r="O193" s="16">
        <v>0</v>
      </c>
      <c r="P193" s="15">
        <v>0</v>
      </c>
      <c r="Q193" s="17">
        <f t="shared" si="54"/>
        <v>0</v>
      </c>
      <c r="R193" s="17">
        <f t="shared" si="55"/>
        <v>0</v>
      </c>
      <c r="S193" s="18" t="e">
        <f t="shared" si="56"/>
        <v>#DIV/0!</v>
      </c>
      <c r="T193" s="15">
        <v>0</v>
      </c>
      <c r="U193" s="15">
        <v>0</v>
      </c>
      <c r="V193" s="17">
        <f t="shared" si="57"/>
        <v>0</v>
      </c>
      <c r="W193" s="17">
        <f t="shared" si="58"/>
        <v>0</v>
      </c>
      <c r="X193" s="18" t="e">
        <f t="shared" si="59"/>
        <v>#DIV/0!</v>
      </c>
      <c r="Y193" s="15">
        <v>0</v>
      </c>
      <c r="Z193" s="15">
        <v>0</v>
      </c>
      <c r="AA193" s="17">
        <f t="shared" si="60"/>
        <v>0</v>
      </c>
      <c r="AB193" s="17">
        <f t="shared" si="61"/>
        <v>0</v>
      </c>
      <c r="AC193" s="18" t="e">
        <f t="shared" si="62"/>
        <v>#DIV/0!</v>
      </c>
      <c r="AD193" s="15">
        <v>0</v>
      </c>
      <c r="AE193" s="17">
        <f t="shared" si="69"/>
        <v>0</v>
      </c>
      <c r="AF193" s="15">
        <v>0</v>
      </c>
      <c r="AG193" s="17">
        <f t="shared" si="70"/>
        <v>0</v>
      </c>
      <c r="AH193" s="15">
        <v>0</v>
      </c>
      <c r="AI193" s="17">
        <f t="shared" si="71"/>
        <v>0</v>
      </c>
      <c r="AJ193" s="15">
        <v>0</v>
      </c>
      <c r="AK193" s="17">
        <f t="shared" si="72"/>
        <v>0</v>
      </c>
      <c r="AL193" s="15">
        <v>0</v>
      </c>
      <c r="AM193" s="17">
        <f t="shared" si="73"/>
        <v>0</v>
      </c>
      <c r="AN193" s="15">
        <v>0</v>
      </c>
      <c r="AO193" s="17">
        <f t="shared" si="74"/>
        <v>0</v>
      </c>
      <c r="AP193" s="4">
        <v>0</v>
      </c>
      <c r="AQ193" s="17">
        <f t="shared" si="75"/>
        <v>0</v>
      </c>
      <c r="AR193" s="15">
        <v>1</v>
      </c>
      <c r="AS193" s="17">
        <f t="shared" si="76"/>
        <v>1</v>
      </c>
      <c r="AT193" s="19">
        <v>5.853326546528876E-4</v>
      </c>
      <c r="AU193" s="19">
        <v>3.2669729562021632E-2</v>
      </c>
      <c r="AV193" s="19">
        <v>0</v>
      </c>
      <c r="AW193" s="19">
        <v>5.853326546528876E-4</v>
      </c>
      <c r="AX193" s="19">
        <v>0</v>
      </c>
      <c r="AY193" s="19">
        <v>111.81378066875227</v>
      </c>
      <c r="AZ193" s="19">
        <v>-0.62887599729333665</v>
      </c>
      <c r="BA193" s="19">
        <v>0</v>
      </c>
      <c r="BB193" s="19">
        <v>0</v>
      </c>
      <c r="BC193" s="18">
        <v>0</v>
      </c>
      <c r="BD193" s="18">
        <v>0</v>
      </c>
      <c r="BE193" s="19">
        <v>0</v>
      </c>
      <c r="BF193" s="18">
        <v>0</v>
      </c>
      <c r="BG193" s="18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20" t="s">
        <v>257</v>
      </c>
      <c r="BP193" s="21"/>
      <c r="BQ193" s="31" t="s">
        <v>307</v>
      </c>
      <c r="BR193" s="31">
        <v>0.18</v>
      </c>
      <c r="BS193" s="31">
        <v>0.18</v>
      </c>
      <c r="BT193" s="31">
        <v>0</v>
      </c>
      <c r="BU193" s="35">
        <f t="shared" si="63"/>
        <v>0.18</v>
      </c>
      <c r="BV193" s="35">
        <f t="shared" si="64"/>
        <v>0.18</v>
      </c>
      <c r="BW193" s="35">
        <f t="shared" si="65"/>
        <v>0</v>
      </c>
      <c r="BX193" s="36">
        <f t="shared" si="66"/>
        <v>10.046511627906977</v>
      </c>
      <c r="BY193" s="36">
        <f t="shared" si="67"/>
        <v>10.046511627906977</v>
      </c>
      <c r="BZ193" s="36">
        <f t="shared" si="68"/>
        <v>0</v>
      </c>
      <c r="CA193" s="31">
        <v>0</v>
      </c>
      <c r="CB193" s="31">
        <v>1</v>
      </c>
    </row>
    <row r="194" spans="1:80" x14ac:dyDescent="0.4">
      <c r="A194" s="11" t="s">
        <v>53</v>
      </c>
      <c r="B194" s="11" t="s">
        <v>266</v>
      </c>
      <c r="C194" s="11" t="s">
        <v>191</v>
      </c>
      <c r="D194" s="15">
        <v>31</v>
      </c>
      <c r="E194" s="15">
        <v>5</v>
      </c>
      <c r="F194" s="15">
        <v>37</v>
      </c>
      <c r="G194" s="16">
        <v>10447</v>
      </c>
      <c r="H194" s="16">
        <v>50</v>
      </c>
      <c r="I194" s="17">
        <f t="shared" si="77"/>
        <v>1.6129032258064515</v>
      </c>
      <c r="J194" s="15">
        <v>20</v>
      </c>
      <c r="K194" s="15">
        <v>52</v>
      </c>
      <c r="L194" s="17">
        <f t="shared" si="78"/>
        <v>0.64516129032258063</v>
      </c>
      <c r="M194" s="17">
        <f t="shared" si="79"/>
        <v>1.6774193548387097</v>
      </c>
      <c r="N194" s="18">
        <f t="shared" si="80"/>
        <v>0.38461538461538464</v>
      </c>
      <c r="O194" s="16">
        <v>19</v>
      </c>
      <c r="P194" s="15">
        <v>45</v>
      </c>
      <c r="Q194" s="17">
        <f t="shared" ref="Q194:Q209" si="87">O194/$D194</f>
        <v>0.61290322580645162</v>
      </c>
      <c r="R194" s="17">
        <f t="shared" ref="R194:R209" si="88">P194/$D194</f>
        <v>1.4516129032258065</v>
      </c>
      <c r="S194" s="18">
        <f t="shared" ref="S194:S209" si="89">O194/P194</f>
        <v>0.42222222222222222</v>
      </c>
      <c r="T194" s="15">
        <v>1</v>
      </c>
      <c r="U194" s="15">
        <v>7</v>
      </c>
      <c r="V194" s="17">
        <f t="shared" ref="V194:V209" si="90">T194/$D194</f>
        <v>3.2258064516129031E-2</v>
      </c>
      <c r="W194" s="17">
        <f t="shared" ref="W194:W209" si="91">U194/$D194</f>
        <v>0.22580645161290322</v>
      </c>
      <c r="X194" s="18">
        <f t="shared" ref="X194:X209" si="92">T194/U194</f>
        <v>0.14285714285714285</v>
      </c>
      <c r="Y194" s="15">
        <v>9</v>
      </c>
      <c r="Z194" s="15">
        <v>13</v>
      </c>
      <c r="AA194" s="17">
        <f t="shared" ref="AA194:AA209" si="93">Y194/$D194</f>
        <v>0.29032258064516131</v>
      </c>
      <c r="AB194" s="17">
        <f t="shared" ref="AB194:AB209" si="94">Z194/$D194</f>
        <v>0.41935483870967744</v>
      </c>
      <c r="AC194" s="18">
        <f t="shared" ref="AC194:AC209" si="95">Y194/Z194</f>
        <v>0.69230769230769229</v>
      </c>
      <c r="AD194" s="15">
        <v>40</v>
      </c>
      <c r="AE194" s="17">
        <f t="shared" si="69"/>
        <v>1.2903225806451613</v>
      </c>
      <c r="AF194" s="15">
        <v>13</v>
      </c>
      <c r="AG194" s="17">
        <f t="shared" si="70"/>
        <v>0.41935483870967744</v>
      </c>
      <c r="AH194" s="15">
        <v>27</v>
      </c>
      <c r="AI194" s="17">
        <f t="shared" si="71"/>
        <v>0.87096774193548387</v>
      </c>
      <c r="AJ194" s="15">
        <v>4</v>
      </c>
      <c r="AK194" s="17">
        <f t="shared" si="72"/>
        <v>0.12903225806451613</v>
      </c>
      <c r="AL194" s="15">
        <v>2</v>
      </c>
      <c r="AM194" s="17">
        <f t="shared" si="73"/>
        <v>6.4516129032258063E-2</v>
      </c>
      <c r="AN194" s="15">
        <v>3</v>
      </c>
      <c r="AO194" s="17">
        <f t="shared" si="74"/>
        <v>9.6774193548387094E-2</v>
      </c>
      <c r="AP194" s="4">
        <v>12</v>
      </c>
      <c r="AQ194" s="17">
        <f t="shared" si="75"/>
        <v>0.38709677419354838</v>
      </c>
      <c r="AR194" s="15">
        <v>34</v>
      </c>
      <c r="AS194" s="17">
        <f t="shared" si="76"/>
        <v>1.096774193548387</v>
      </c>
      <c r="AT194" s="19">
        <v>-5.8416224032309311E-2</v>
      </c>
      <c r="AU194" s="19">
        <v>-1.3420018921943366E-2</v>
      </c>
      <c r="AV194" s="19">
        <v>-0.27528087098826731</v>
      </c>
      <c r="AW194" s="19">
        <v>0.216864646955958</v>
      </c>
      <c r="AX194" s="19">
        <v>85.87816596061117</v>
      </c>
      <c r="AY194" s="19">
        <v>107.72472710592889</v>
      </c>
      <c r="AZ194" s="19">
        <v>0.93263320651607462</v>
      </c>
      <c r="BA194" s="19">
        <v>1.6451612903225807</v>
      </c>
      <c r="BB194" s="19">
        <v>11.71628218627357</v>
      </c>
      <c r="BC194" s="18">
        <v>0.43312543312543311</v>
      </c>
      <c r="BD194" s="18">
        <v>0.39423076923076922</v>
      </c>
      <c r="BE194" s="19">
        <v>10.779246055230649</v>
      </c>
      <c r="BF194" s="18">
        <v>0.13461538461538461</v>
      </c>
      <c r="BG194" s="18">
        <v>0.25</v>
      </c>
      <c r="BH194" s="19">
        <v>4.6664114099741552</v>
      </c>
      <c r="BI194" s="19">
        <v>9.691777543792476</v>
      </c>
      <c r="BJ194" s="19">
        <v>7.0198735545275994</v>
      </c>
      <c r="BK194" s="19">
        <v>1.8527095877721167</v>
      </c>
      <c r="BL194" s="19">
        <v>0.63430977611607853</v>
      </c>
      <c r="BM194" s="19">
        <v>1.0073071741256365</v>
      </c>
      <c r="BN194" s="19">
        <v>17.21170395869191</v>
      </c>
      <c r="BO194" s="20" t="s">
        <v>257</v>
      </c>
      <c r="BP194" s="21"/>
      <c r="BQ194" s="30" t="s">
        <v>307</v>
      </c>
      <c r="BR194" s="30">
        <v>98.37</v>
      </c>
      <c r="BS194" s="30">
        <v>150.97</v>
      </c>
      <c r="BT194" s="30">
        <v>52.6</v>
      </c>
      <c r="BU194" s="35">
        <f t="shared" si="63"/>
        <v>3.173225806451613</v>
      </c>
      <c r="BV194" s="35">
        <f t="shared" si="64"/>
        <v>4.87</v>
      </c>
      <c r="BW194" s="35">
        <f t="shared" si="65"/>
        <v>1.6967741935483871</v>
      </c>
      <c r="BX194" s="36">
        <f t="shared" si="66"/>
        <v>22.598640758112378</v>
      </c>
      <c r="BY194" s="36">
        <f t="shared" si="67"/>
        <v>34.682492581602375</v>
      </c>
      <c r="BZ194" s="36">
        <f t="shared" si="68"/>
        <v>12.083851823489997</v>
      </c>
      <c r="CA194" s="30">
        <v>21</v>
      </c>
      <c r="CB194" s="30">
        <v>10</v>
      </c>
    </row>
    <row r="195" spans="1:80" x14ac:dyDescent="0.4">
      <c r="A195" s="11" t="s">
        <v>53</v>
      </c>
      <c r="B195" s="11" t="s">
        <v>266</v>
      </c>
      <c r="C195" s="11" t="s">
        <v>182</v>
      </c>
      <c r="D195" s="15">
        <v>40</v>
      </c>
      <c r="E195" s="15">
        <v>28</v>
      </c>
      <c r="F195" s="15">
        <v>41</v>
      </c>
      <c r="G195" s="16">
        <v>68840</v>
      </c>
      <c r="H195" s="16">
        <v>637</v>
      </c>
      <c r="I195" s="17">
        <f t="shared" si="77"/>
        <v>15.925000000000001</v>
      </c>
      <c r="J195" s="15">
        <v>259</v>
      </c>
      <c r="K195" s="15">
        <v>450</v>
      </c>
      <c r="L195" s="17">
        <f t="shared" si="78"/>
        <v>6.4749999999999996</v>
      </c>
      <c r="M195" s="17">
        <f t="shared" si="79"/>
        <v>11.25</v>
      </c>
      <c r="N195" s="18">
        <f t="shared" si="80"/>
        <v>0.5755555555555556</v>
      </c>
      <c r="O195" s="16">
        <v>258</v>
      </c>
      <c r="P195" s="15">
        <v>448</v>
      </c>
      <c r="Q195" s="17">
        <f t="shared" si="87"/>
        <v>6.45</v>
      </c>
      <c r="R195" s="17">
        <f t="shared" si="88"/>
        <v>11.2</v>
      </c>
      <c r="S195" s="18">
        <f t="shared" si="89"/>
        <v>0.5758928571428571</v>
      </c>
      <c r="T195" s="15">
        <v>1</v>
      </c>
      <c r="U195" s="15">
        <v>2</v>
      </c>
      <c r="V195" s="17">
        <f t="shared" si="90"/>
        <v>2.5000000000000001E-2</v>
      </c>
      <c r="W195" s="17">
        <f t="shared" si="91"/>
        <v>0.05</v>
      </c>
      <c r="X195" s="18">
        <f t="shared" si="92"/>
        <v>0.5</v>
      </c>
      <c r="Y195" s="15">
        <v>118</v>
      </c>
      <c r="Z195" s="15">
        <v>209</v>
      </c>
      <c r="AA195" s="17">
        <f t="shared" si="93"/>
        <v>2.95</v>
      </c>
      <c r="AB195" s="17">
        <f t="shared" si="94"/>
        <v>5.2249999999999996</v>
      </c>
      <c r="AC195" s="18">
        <f t="shared" si="95"/>
        <v>0.56459330143540665</v>
      </c>
      <c r="AD195" s="15">
        <v>575</v>
      </c>
      <c r="AE195" s="17">
        <f t="shared" si="69"/>
        <v>14.375</v>
      </c>
      <c r="AF195" s="15">
        <v>231</v>
      </c>
      <c r="AG195" s="17">
        <f t="shared" si="70"/>
        <v>5.7750000000000004</v>
      </c>
      <c r="AH195" s="15">
        <v>344</v>
      </c>
      <c r="AI195" s="17">
        <f t="shared" si="71"/>
        <v>8.6</v>
      </c>
      <c r="AJ195" s="15">
        <v>136</v>
      </c>
      <c r="AK195" s="17">
        <f t="shared" si="72"/>
        <v>3.4</v>
      </c>
      <c r="AL195" s="15">
        <v>62</v>
      </c>
      <c r="AM195" s="17">
        <f t="shared" si="73"/>
        <v>1.55</v>
      </c>
      <c r="AN195" s="15">
        <v>24</v>
      </c>
      <c r="AO195" s="17">
        <f t="shared" si="74"/>
        <v>0.6</v>
      </c>
      <c r="AP195" s="4">
        <v>76</v>
      </c>
      <c r="AQ195" s="17">
        <f t="shared" si="75"/>
        <v>1.9</v>
      </c>
      <c r="AR195" s="15">
        <v>101</v>
      </c>
      <c r="AS195" s="17">
        <f t="shared" si="76"/>
        <v>2.5249999999999999</v>
      </c>
      <c r="AT195" s="19">
        <v>6.3421194763595583</v>
      </c>
      <c r="AU195" s="19">
        <v>0.22110817465518506</v>
      </c>
      <c r="AV195" s="19">
        <v>3.6450325085410067</v>
      </c>
      <c r="AW195" s="19">
        <v>2.6970869678185521</v>
      </c>
      <c r="AX195" s="19">
        <v>123.58607945361966</v>
      </c>
      <c r="AY195" s="19">
        <v>97.184472346003304</v>
      </c>
      <c r="AZ195" s="19">
        <v>17.666220668524211</v>
      </c>
      <c r="BA195" s="19">
        <v>26.9</v>
      </c>
      <c r="BB195" s="19">
        <v>37.51307379430564</v>
      </c>
      <c r="BC195" s="18">
        <v>0.58768174773045978</v>
      </c>
      <c r="BD195" s="18">
        <v>0.57666666666666666</v>
      </c>
      <c r="BE195" s="19">
        <v>18.70856177013059</v>
      </c>
      <c r="BF195" s="18">
        <v>4.4444444444444444E-3</v>
      </c>
      <c r="BG195" s="18">
        <v>0.46444444444444444</v>
      </c>
      <c r="BH195" s="19">
        <v>16.236809056999867</v>
      </c>
      <c r="BI195" s="19">
        <v>24.179490543757382</v>
      </c>
      <c r="BJ195" s="19">
        <v>19.759965107910887</v>
      </c>
      <c r="BK195" s="19">
        <v>14.380881886433329</v>
      </c>
      <c r="BL195" s="19">
        <v>2.9841031546139574</v>
      </c>
      <c r="BM195" s="19">
        <v>1.5779780020004157</v>
      </c>
      <c r="BN195" s="19">
        <v>12.298530649232958</v>
      </c>
      <c r="BO195" s="20" t="s">
        <v>239</v>
      </c>
      <c r="BP195" s="21"/>
      <c r="BQ195" s="30" t="s">
        <v>307</v>
      </c>
      <c r="BR195" s="30">
        <v>1534.16</v>
      </c>
      <c r="BS195" s="30">
        <v>1911.86</v>
      </c>
      <c r="BT195" s="30">
        <v>377.7</v>
      </c>
      <c r="BU195" s="35">
        <f t="shared" ref="BU195:BU209" si="96">BV195-BW195</f>
        <v>38.353999999999999</v>
      </c>
      <c r="BV195" s="35">
        <f t="shared" ref="BV195:BV209" si="97">BS195/$D195</f>
        <v>47.796499999999995</v>
      </c>
      <c r="BW195" s="35">
        <f t="shared" ref="BW195:BW209" si="98">BT195/$D195</f>
        <v>9.442499999999999</v>
      </c>
      <c r="BX195" s="36">
        <f t="shared" ref="BX195:BX209" si="99">BY195-BZ195</f>
        <v>53.486112725159799</v>
      </c>
      <c r="BY195" s="36">
        <f t="shared" ref="BY195:BY209" si="100">BS195*2400/$G195</f>
        <v>66.654038349796636</v>
      </c>
      <c r="BZ195" s="36">
        <f t="shared" ref="BZ195:BZ209" si="101">BT195*2400/$G195</f>
        <v>13.167925624636839</v>
      </c>
      <c r="CA195" s="30">
        <v>28</v>
      </c>
      <c r="CB195" s="30">
        <v>12</v>
      </c>
    </row>
    <row r="196" spans="1:80" x14ac:dyDescent="0.4">
      <c r="A196" s="11" t="s">
        <v>53</v>
      </c>
      <c r="B196" s="11" t="s">
        <v>266</v>
      </c>
      <c r="C196" s="11" t="s">
        <v>192</v>
      </c>
      <c r="D196" s="10">
        <v>53</v>
      </c>
      <c r="E196" s="10">
        <v>14</v>
      </c>
      <c r="F196" s="10">
        <v>15</v>
      </c>
      <c r="G196" s="16">
        <v>45315</v>
      </c>
      <c r="H196" s="16">
        <v>206</v>
      </c>
      <c r="I196" s="17">
        <f t="shared" si="77"/>
        <v>3.8867924528301887</v>
      </c>
      <c r="J196" s="15">
        <v>85</v>
      </c>
      <c r="K196" s="15">
        <v>205</v>
      </c>
      <c r="L196" s="17">
        <f t="shared" si="78"/>
        <v>1.6037735849056605</v>
      </c>
      <c r="M196" s="17">
        <f t="shared" si="79"/>
        <v>3.8679245283018866</v>
      </c>
      <c r="N196" s="18">
        <f t="shared" si="80"/>
        <v>0.41463414634146339</v>
      </c>
      <c r="O196" s="16">
        <v>67</v>
      </c>
      <c r="P196" s="15">
        <v>140</v>
      </c>
      <c r="Q196" s="17">
        <f t="shared" si="87"/>
        <v>1.2641509433962264</v>
      </c>
      <c r="R196" s="17">
        <f t="shared" si="88"/>
        <v>2.641509433962264</v>
      </c>
      <c r="S196" s="18">
        <f t="shared" si="89"/>
        <v>0.47857142857142859</v>
      </c>
      <c r="T196" s="15">
        <v>18</v>
      </c>
      <c r="U196" s="15">
        <v>65</v>
      </c>
      <c r="V196" s="17">
        <f t="shared" si="90"/>
        <v>0.33962264150943394</v>
      </c>
      <c r="W196" s="17">
        <f t="shared" si="91"/>
        <v>1.2264150943396226</v>
      </c>
      <c r="X196" s="18">
        <f t="shared" si="92"/>
        <v>0.27692307692307694</v>
      </c>
      <c r="Y196" s="9">
        <v>18</v>
      </c>
      <c r="Z196" s="9">
        <v>24</v>
      </c>
      <c r="AA196" s="17">
        <f t="shared" si="93"/>
        <v>0.33962264150943394</v>
      </c>
      <c r="AB196" s="17">
        <f t="shared" si="94"/>
        <v>0.45283018867924529</v>
      </c>
      <c r="AC196" s="18">
        <f t="shared" si="95"/>
        <v>0.75</v>
      </c>
      <c r="AD196" s="15">
        <v>77</v>
      </c>
      <c r="AE196" s="17">
        <f t="shared" ref="AE196:AE209" si="102">AD196/$D196</f>
        <v>1.4528301886792452</v>
      </c>
      <c r="AF196" s="15">
        <v>13</v>
      </c>
      <c r="AG196" s="17">
        <f t="shared" ref="AG196:AG209" si="103">AF196/$D196</f>
        <v>0.24528301886792453</v>
      </c>
      <c r="AH196" s="15">
        <v>64</v>
      </c>
      <c r="AI196" s="17">
        <f t="shared" ref="AI196:AI209" si="104">AH196/$D196</f>
        <v>1.2075471698113207</v>
      </c>
      <c r="AJ196" s="15">
        <v>115</v>
      </c>
      <c r="AK196" s="17">
        <f t="shared" ref="AK196:AK209" si="105">AJ196/$D196</f>
        <v>2.1698113207547172</v>
      </c>
      <c r="AL196" s="15">
        <v>23</v>
      </c>
      <c r="AM196" s="17">
        <f t="shared" ref="AM196:AM209" si="106">AL196/$D196</f>
        <v>0.43396226415094341</v>
      </c>
      <c r="AN196" s="7">
        <v>1</v>
      </c>
      <c r="AO196" s="17">
        <f t="shared" ref="AO196:AO209" si="107">AN196/$D196</f>
        <v>1.8867924528301886E-2</v>
      </c>
      <c r="AP196" s="6">
        <v>40</v>
      </c>
      <c r="AQ196" s="17">
        <f t="shared" ref="AQ196:AQ209" si="108">AP196/$D196</f>
        <v>0.75471698113207553</v>
      </c>
      <c r="AR196" s="15">
        <v>87</v>
      </c>
      <c r="AS196" s="17">
        <f t="shared" ref="AS196:AS209" si="109">AR196/$D196</f>
        <v>1.6415094339622642</v>
      </c>
      <c r="AT196" s="19">
        <v>0.95222485984589456</v>
      </c>
      <c r="AU196" s="19">
        <v>5.0432299760126822E-2</v>
      </c>
      <c r="AV196" s="19">
        <v>0.13811460706126458</v>
      </c>
      <c r="AW196" s="19">
        <v>0.81411025278463001</v>
      </c>
      <c r="AX196" s="19">
        <v>103.94371319499851</v>
      </c>
      <c r="AY196" s="19">
        <v>109.32287464161244</v>
      </c>
      <c r="AZ196" s="19">
        <v>6.2084032752179121</v>
      </c>
      <c r="BA196" s="19">
        <v>4.8301886792452828</v>
      </c>
      <c r="BB196" s="19">
        <v>13.558424362793778</v>
      </c>
      <c r="BC196" s="18">
        <v>0.47782519948042307</v>
      </c>
      <c r="BD196" s="18">
        <v>0.45853658536585368</v>
      </c>
      <c r="BE196" s="19">
        <v>15.573551835945098</v>
      </c>
      <c r="BF196" s="18">
        <v>0.31707317073170732</v>
      </c>
      <c r="BG196" s="18">
        <v>0.11707317073170732</v>
      </c>
      <c r="BH196" s="19">
        <v>1.8392756083757782</v>
      </c>
      <c r="BI196" s="19">
        <v>9.0548953027730619</v>
      </c>
      <c r="BJ196" s="19">
        <v>5.3262777446326508</v>
      </c>
      <c r="BK196" s="19">
        <v>22.395326192794546</v>
      </c>
      <c r="BL196" s="19">
        <v>1.6817012834044738</v>
      </c>
      <c r="BM196" s="19">
        <v>0.13234406147381655</v>
      </c>
      <c r="BN196" s="19">
        <v>15.651901706057286</v>
      </c>
      <c r="BO196" s="20" t="s">
        <v>257</v>
      </c>
      <c r="BP196" s="21"/>
      <c r="BQ196" s="31" t="s">
        <v>306</v>
      </c>
      <c r="BR196" s="31">
        <v>500.7</v>
      </c>
      <c r="BS196" s="31">
        <v>680.8</v>
      </c>
      <c r="BT196" s="31">
        <v>180.1</v>
      </c>
      <c r="BU196" s="35">
        <f t="shared" si="96"/>
        <v>9.4471698113207552</v>
      </c>
      <c r="BV196" s="35">
        <f t="shared" si="97"/>
        <v>12.845283018867924</v>
      </c>
      <c r="BW196" s="35">
        <f t="shared" si="98"/>
        <v>3.3981132075471696</v>
      </c>
      <c r="BX196" s="36">
        <f t="shared" si="99"/>
        <v>26.51837140019861</v>
      </c>
      <c r="BY196" s="36">
        <f t="shared" si="100"/>
        <v>36.0569347898047</v>
      </c>
      <c r="BZ196" s="36">
        <f t="shared" si="101"/>
        <v>9.5385633896060913</v>
      </c>
      <c r="CA196" s="31">
        <v>35</v>
      </c>
      <c r="CB196" s="31">
        <v>18</v>
      </c>
    </row>
    <row r="197" spans="1:80" x14ac:dyDescent="0.4">
      <c r="A197" s="11" t="s">
        <v>53</v>
      </c>
      <c r="B197" s="11" t="s">
        <v>266</v>
      </c>
      <c r="C197" s="11" t="s">
        <v>183</v>
      </c>
      <c r="D197" s="15">
        <v>54</v>
      </c>
      <c r="E197" s="15">
        <v>27</v>
      </c>
      <c r="F197" s="15">
        <v>36</v>
      </c>
      <c r="G197" s="16">
        <v>89424</v>
      </c>
      <c r="H197" s="16">
        <v>698</v>
      </c>
      <c r="I197" s="17">
        <f t="shared" si="77"/>
        <v>12.925925925925926</v>
      </c>
      <c r="J197" s="15">
        <v>269</v>
      </c>
      <c r="K197" s="15">
        <v>590</v>
      </c>
      <c r="L197" s="17">
        <f t="shared" si="78"/>
        <v>4.9814814814814818</v>
      </c>
      <c r="M197" s="17">
        <f t="shared" si="79"/>
        <v>10.925925925925926</v>
      </c>
      <c r="N197" s="18">
        <f t="shared" si="80"/>
        <v>0.45593220338983048</v>
      </c>
      <c r="O197" s="16">
        <v>181</v>
      </c>
      <c r="P197" s="15">
        <v>333</v>
      </c>
      <c r="Q197" s="17">
        <f t="shared" si="87"/>
        <v>3.3518518518518516</v>
      </c>
      <c r="R197" s="17">
        <f t="shared" si="88"/>
        <v>6.166666666666667</v>
      </c>
      <c r="S197" s="18">
        <f t="shared" si="89"/>
        <v>0.54354354354354351</v>
      </c>
      <c r="T197" s="15">
        <v>88</v>
      </c>
      <c r="U197" s="15">
        <v>257</v>
      </c>
      <c r="V197" s="17">
        <f t="shared" si="90"/>
        <v>1.6296296296296295</v>
      </c>
      <c r="W197" s="17">
        <f t="shared" si="91"/>
        <v>4.7592592592592595</v>
      </c>
      <c r="X197" s="18">
        <f t="shared" si="92"/>
        <v>0.34241245136186771</v>
      </c>
      <c r="Y197" s="15">
        <v>72</v>
      </c>
      <c r="Z197" s="15">
        <v>102</v>
      </c>
      <c r="AA197" s="17">
        <f t="shared" si="93"/>
        <v>1.3333333333333333</v>
      </c>
      <c r="AB197" s="17">
        <f t="shared" si="94"/>
        <v>1.8888888888888888</v>
      </c>
      <c r="AC197" s="18">
        <f t="shared" si="95"/>
        <v>0.70588235294117652</v>
      </c>
      <c r="AD197" s="15">
        <v>286</v>
      </c>
      <c r="AE197" s="17">
        <f t="shared" si="102"/>
        <v>5.2962962962962967</v>
      </c>
      <c r="AF197" s="15">
        <v>100</v>
      </c>
      <c r="AG197" s="17">
        <f t="shared" si="103"/>
        <v>1.8518518518518519</v>
      </c>
      <c r="AH197" s="15">
        <v>186</v>
      </c>
      <c r="AI197" s="17">
        <f t="shared" si="104"/>
        <v>3.4444444444444446</v>
      </c>
      <c r="AJ197" s="15">
        <v>160</v>
      </c>
      <c r="AK197" s="17">
        <f t="shared" si="105"/>
        <v>2.9629629629629628</v>
      </c>
      <c r="AL197" s="15">
        <v>40</v>
      </c>
      <c r="AM197" s="17">
        <f t="shared" si="106"/>
        <v>0.7407407407407407</v>
      </c>
      <c r="AN197" s="15">
        <v>10</v>
      </c>
      <c r="AO197" s="17">
        <f t="shared" si="107"/>
        <v>0.18518518518518517</v>
      </c>
      <c r="AP197" s="4">
        <v>77</v>
      </c>
      <c r="AQ197" s="17">
        <f t="shared" si="108"/>
        <v>1.4259259259259258</v>
      </c>
      <c r="AR197" s="15">
        <v>132</v>
      </c>
      <c r="AS197" s="17">
        <f t="shared" si="109"/>
        <v>2.4444444444444446</v>
      </c>
      <c r="AT197" s="19">
        <v>4.0713625361082313</v>
      </c>
      <c r="AU197" s="19">
        <v>0.10926898916017797</v>
      </c>
      <c r="AV197" s="19">
        <v>2.2599356113290692</v>
      </c>
      <c r="AW197" s="19">
        <v>1.8114269247791619</v>
      </c>
      <c r="AX197" s="19">
        <v>114.67009546374402</v>
      </c>
      <c r="AY197" s="19">
        <v>108.0119434267052</v>
      </c>
      <c r="AZ197" s="19">
        <v>12.798072587730321</v>
      </c>
      <c r="BA197" s="19">
        <v>14.185185185185185</v>
      </c>
      <c r="BB197" s="19">
        <v>20.558239398819108</v>
      </c>
      <c r="BC197" s="18">
        <v>0.54971018145161288</v>
      </c>
      <c r="BD197" s="18">
        <v>0.53050847457627115</v>
      </c>
      <c r="BE197" s="19">
        <v>22.397903404211995</v>
      </c>
      <c r="BF197" s="18">
        <v>0.43559322033898307</v>
      </c>
      <c r="BG197" s="18">
        <v>0.17288135593220338</v>
      </c>
      <c r="BH197" s="19">
        <v>7.3048153342683495</v>
      </c>
      <c r="BI197" s="19">
        <v>13.586956521739129</v>
      </c>
      <c r="BJ197" s="19">
        <v>10.214212755623175</v>
      </c>
      <c r="BK197" s="19">
        <v>17.973489103572234</v>
      </c>
      <c r="BL197" s="19">
        <v>1.4820706367607512</v>
      </c>
      <c r="BM197" s="19">
        <v>0.68329814347894402</v>
      </c>
      <c r="BN197" s="19">
        <v>10.816429735348654</v>
      </c>
      <c r="BO197" s="20" t="s">
        <v>257</v>
      </c>
      <c r="BP197" s="21">
        <v>200000</v>
      </c>
      <c r="BQ197" s="30" t="s">
        <v>305</v>
      </c>
      <c r="BR197" s="30">
        <v>1258.9000000000001</v>
      </c>
      <c r="BS197" s="30">
        <v>1702.5</v>
      </c>
      <c r="BT197" s="30">
        <v>443.6</v>
      </c>
      <c r="BU197" s="35">
        <f t="shared" si="96"/>
        <v>23.312962962962963</v>
      </c>
      <c r="BV197" s="35">
        <f t="shared" si="97"/>
        <v>31.527777777777779</v>
      </c>
      <c r="BW197" s="35">
        <f t="shared" si="98"/>
        <v>8.2148148148148152</v>
      </c>
      <c r="BX197" s="36">
        <f t="shared" si="99"/>
        <v>33.786902844873858</v>
      </c>
      <c r="BY197" s="36">
        <f t="shared" si="100"/>
        <v>45.692431561996777</v>
      </c>
      <c r="BZ197" s="36">
        <f t="shared" si="101"/>
        <v>11.90552871712292</v>
      </c>
      <c r="CA197" s="30">
        <v>36</v>
      </c>
      <c r="CB197" s="30">
        <v>18</v>
      </c>
    </row>
    <row r="198" spans="1:80" x14ac:dyDescent="0.4">
      <c r="A198" s="11" t="s">
        <v>53</v>
      </c>
      <c r="B198" s="11" t="s">
        <v>266</v>
      </c>
      <c r="C198" s="11" t="s">
        <v>185</v>
      </c>
      <c r="D198" s="15">
        <v>52</v>
      </c>
      <c r="E198" s="15">
        <v>23</v>
      </c>
      <c r="F198" s="15">
        <v>34</v>
      </c>
      <c r="G198" s="16">
        <v>73528</v>
      </c>
      <c r="H198" s="16">
        <v>419</v>
      </c>
      <c r="I198" s="17">
        <f t="shared" ref="I198:I209" si="110">H198/$D198</f>
        <v>8.0576923076923084</v>
      </c>
      <c r="J198" s="15">
        <v>137</v>
      </c>
      <c r="K198" s="15">
        <v>327</v>
      </c>
      <c r="L198" s="17">
        <f t="shared" ref="L198:L209" si="111">J198/$D198</f>
        <v>2.6346153846153846</v>
      </c>
      <c r="M198" s="17">
        <f t="shared" ref="M198:M209" si="112">K198/$D198</f>
        <v>6.2884615384615383</v>
      </c>
      <c r="N198" s="18">
        <f t="shared" ref="N198:N209" si="113">J198/K198</f>
        <v>0.41896024464831805</v>
      </c>
      <c r="O198" s="16">
        <v>42</v>
      </c>
      <c r="P198" s="15">
        <v>103</v>
      </c>
      <c r="Q198" s="17">
        <f t="shared" si="87"/>
        <v>0.80769230769230771</v>
      </c>
      <c r="R198" s="17">
        <f t="shared" si="88"/>
        <v>1.9807692307692308</v>
      </c>
      <c r="S198" s="18">
        <f t="shared" si="89"/>
        <v>0.40776699029126212</v>
      </c>
      <c r="T198" s="15">
        <v>95</v>
      </c>
      <c r="U198" s="15">
        <v>224</v>
      </c>
      <c r="V198" s="17">
        <f t="shared" si="90"/>
        <v>1.8269230769230769</v>
      </c>
      <c r="W198" s="17">
        <f t="shared" si="91"/>
        <v>4.3076923076923075</v>
      </c>
      <c r="X198" s="18">
        <f t="shared" si="92"/>
        <v>0.42410714285714285</v>
      </c>
      <c r="Y198" s="15">
        <v>50</v>
      </c>
      <c r="Z198" s="15">
        <v>67</v>
      </c>
      <c r="AA198" s="17">
        <f t="shared" si="93"/>
        <v>0.96153846153846156</v>
      </c>
      <c r="AB198" s="17">
        <f t="shared" si="94"/>
        <v>1.2884615384615385</v>
      </c>
      <c r="AC198" s="18">
        <f t="shared" si="95"/>
        <v>0.74626865671641796</v>
      </c>
      <c r="AD198" s="15">
        <v>115</v>
      </c>
      <c r="AE198" s="17">
        <f t="shared" si="102"/>
        <v>2.2115384615384617</v>
      </c>
      <c r="AF198" s="15">
        <v>43</v>
      </c>
      <c r="AG198" s="17">
        <f t="shared" si="103"/>
        <v>0.82692307692307687</v>
      </c>
      <c r="AH198" s="15">
        <v>72</v>
      </c>
      <c r="AI198" s="17">
        <f t="shared" si="104"/>
        <v>1.3846153846153846</v>
      </c>
      <c r="AJ198" s="15">
        <v>28</v>
      </c>
      <c r="AK198" s="17">
        <f t="shared" si="105"/>
        <v>0.53846153846153844</v>
      </c>
      <c r="AL198" s="15">
        <v>46</v>
      </c>
      <c r="AM198" s="17">
        <f t="shared" si="106"/>
        <v>0.88461538461538458</v>
      </c>
      <c r="AN198" s="15">
        <v>24</v>
      </c>
      <c r="AO198" s="17">
        <f t="shared" si="107"/>
        <v>0.46153846153846156</v>
      </c>
      <c r="AP198" s="4">
        <v>28</v>
      </c>
      <c r="AQ198" s="17">
        <f t="shared" si="108"/>
        <v>0.53846153846153844</v>
      </c>
      <c r="AR198" s="15">
        <v>107</v>
      </c>
      <c r="AS198" s="17">
        <f t="shared" si="109"/>
        <v>2.0576923076923075</v>
      </c>
      <c r="AT198" s="19">
        <v>2.9454608839803078</v>
      </c>
      <c r="AU198" s="19">
        <v>9.6141689173549372E-2</v>
      </c>
      <c r="AV198" s="19">
        <v>1.5108203811381613</v>
      </c>
      <c r="AW198" s="19">
        <v>1.4346405028421465</v>
      </c>
      <c r="AX198" s="19">
        <v>119.0610744133263</v>
      </c>
      <c r="AY198" s="19">
        <v>108.43830419581649</v>
      </c>
      <c r="AZ198" s="19">
        <v>8.3284120665936108</v>
      </c>
      <c r="BA198" s="19">
        <v>7.634615384615385</v>
      </c>
      <c r="BB198" s="19">
        <v>12.958328799912957</v>
      </c>
      <c r="BC198" s="18">
        <v>0.58769075403949733</v>
      </c>
      <c r="BD198" s="18">
        <v>0.56422018348623848</v>
      </c>
      <c r="BE198" s="19">
        <v>14.167240028584555</v>
      </c>
      <c r="BF198" s="18">
        <v>0.68501529051987764</v>
      </c>
      <c r="BG198" s="18">
        <v>0.20489296636085627</v>
      </c>
      <c r="BH198" s="19">
        <v>3.6786512752657754</v>
      </c>
      <c r="BI198" s="19">
        <v>6.1596021353287398</v>
      </c>
      <c r="BJ198" s="19">
        <v>4.8100282815720847</v>
      </c>
      <c r="BK198" s="19">
        <v>3.2833020637898689</v>
      </c>
      <c r="BL198" s="19">
        <v>2.0728509862222211</v>
      </c>
      <c r="BM198" s="19">
        <v>1.9205800151645795</v>
      </c>
      <c r="BN198" s="19">
        <v>7.282563462338743</v>
      </c>
      <c r="BO198" s="20" t="s">
        <v>257</v>
      </c>
      <c r="BP198" s="21">
        <v>94000</v>
      </c>
      <c r="BQ198" s="30" t="s">
        <v>306</v>
      </c>
      <c r="BR198" s="30">
        <v>745.58</v>
      </c>
      <c r="BS198" s="30">
        <v>978.28</v>
      </c>
      <c r="BT198" s="30">
        <v>232.7</v>
      </c>
      <c r="BU198" s="35">
        <f t="shared" si="96"/>
        <v>14.338076923076924</v>
      </c>
      <c r="BV198" s="35">
        <f t="shared" si="97"/>
        <v>18.813076923076924</v>
      </c>
      <c r="BW198" s="35">
        <f t="shared" si="98"/>
        <v>4.4749999999999996</v>
      </c>
      <c r="BX198" s="36">
        <f t="shared" si="99"/>
        <v>24.336198455010337</v>
      </c>
      <c r="BY198" s="36">
        <f t="shared" si="100"/>
        <v>31.931672288107933</v>
      </c>
      <c r="BZ198" s="36">
        <f t="shared" si="101"/>
        <v>7.5954738330975955</v>
      </c>
      <c r="CA198" s="31">
        <v>35</v>
      </c>
      <c r="CB198" s="31">
        <v>17</v>
      </c>
    </row>
    <row r="199" spans="1:80" x14ac:dyDescent="0.4">
      <c r="A199" s="11" t="s">
        <v>53</v>
      </c>
      <c r="B199" s="11" t="s">
        <v>266</v>
      </c>
      <c r="C199" s="11" t="s">
        <v>194</v>
      </c>
      <c r="D199" s="15">
        <v>18</v>
      </c>
      <c r="E199" s="15">
        <v>10</v>
      </c>
      <c r="F199" s="15">
        <v>29</v>
      </c>
      <c r="G199" s="16">
        <v>11322</v>
      </c>
      <c r="H199" s="16">
        <v>46</v>
      </c>
      <c r="I199" s="17">
        <f t="shared" si="110"/>
        <v>2.5555555555555554</v>
      </c>
      <c r="J199" s="15">
        <v>16</v>
      </c>
      <c r="K199" s="15">
        <v>54</v>
      </c>
      <c r="L199" s="17">
        <f t="shared" si="111"/>
        <v>0.88888888888888884</v>
      </c>
      <c r="M199" s="17">
        <f t="shared" si="112"/>
        <v>3</v>
      </c>
      <c r="N199" s="18">
        <f t="shared" si="113"/>
        <v>0.29629629629629628</v>
      </c>
      <c r="O199" s="16">
        <v>10</v>
      </c>
      <c r="P199" s="15">
        <v>18</v>
      </c>
      <c r="Q199" s="17">
        <f t="shared" si="87"/>
        <v>0.55555555555555558</v>
      </c>
      <c r="R199" s="17">
        <f t="shared" si="88"/>
        <v>1</v>
      </c>
      <c r="S199" s="18">
        <f t="shared" si="89"/>
        <v>0.55555555555555558</v>
      </c>
      <c r="T199" s="15">
        <v>6</v>
      </c>
      <c r="U199" s="15">
        <v>36</v>
      </c>
      <c r="V199" s="17">
        <f t="shared" si="90"/>
        <v>0.33333333333333331</v>
      </c>
      <c r="W199" s="17">
        <f t="shared" si="91"/>
        <v>2</v>
      </c>
      <c r="X199" s="18">
        <f t="shared" si="92"/>
        <v>0.16666666666666666</v>
      </c>
      <c r="Y199" s="15">
        <v>8</v>
      </c>
      <c r="Z199" s="15">
        <v>10</v>
      </c>
      <c r="AA199" s="17">
        <f t="shared" si="93"/>
        <v>0.44444444444444442</v>
      </c>
      <c r="AB199" s="17">
        <f t="shared" si="94"/>
        <v>0.55555555555555558</v>
      </c>
      <c r="AC199" s="18">
        <f t="shared" si="95"/>
        <v>0.8</v>
      </c>
      <c r="AD199" s="15">
        <v>25</v>
      </c>
      <c r="AE199" s="17">
        <f t="shared" si="102"/>
        <v>1.3888888888888888</v>
      </c>
      <c r="AF199" s="15">
        <v>6</v>
      </c>
      <c r="AG199" s="17">
        <f t="shared" si="103"/>
        <v>0.33333333333333331</v>
      </c>
      <c r="AH199" s="15">
        <v>19</v>
      </c>
      <c r="AI199" s="17">
        <f t="shared" si="104"/>
        <v>1.0555555555555556</v>
      </c>
      <c r="AJ199" s="15">
        <v>8</v>
      </c>
      <c r="AK199" s="17">
        <f t="shared" si="105"/>
        <v>0.44444444444444442</v>
      </c>
      <c r="AL199" s="15">
        <v>4</v>
      </c>
      <c r="AM199" s="17">
        <f t="shared" si="106"/>
        <v>0.22222222222222221</v>
      </c>
      <c r="AN199" s="15">
        <v>0</v>
      </c>
      <c r="AO199" s="17">
        <f t="shared" si="107"/>
        <v>0</v>
      </c>
      <c r="AP199" s="4">
        <v>3</v>
      </c>
      <c r="AQ199" s="17">
        <f t="shared" si="108"/>
        <v>0.16666666666666666</v>
      </c>
      <c r="AR199" s="15">
        <v>13</v>
      </c>
      <c r="AS199" s="17">
        <f t="shared" si="109"/>
        <v>0.72222222222222221</v>
      </c>
      <c r="AT199" s="19">
        <v>7.6817958296061528E-2</v>
      </c>
      <c r="AU199" s="19">
        <v>1.6283615961009336E-2</v>
      </c>
      <c r="AV199" s="19">
        <v>-0.11136681919665364</v>
      </c>
      <c r="AW199" s="19">
        <v>0.18818477749271517</v>
      </c>
      <c r="AX199" s="19">
        <v>94.099255008728363</v>
      </c>
      <c r="AY199" s="19">
        <v>110.09215435526016</v>
      </c>
      <c r="AZ199" s="19">
        <v>1.2973301046485866</v>
      </c>
      <c r="BA199" s="19">
        <v>2.2222222222222223</v>
      </c>
      <c r="BB199" s="19">
        <v>8.4790673025967145</v>
      </c>
      <c r="BC199" s="18">
        <v>0.39383561643835618</v>
      </c>
      <c r="BD199" s="18">
        <v>0.35185185185185186</v>
      </c>
      <c r="BE199" s="19">
        <v>5.0860266759890251</v>
      </c>
      <c r="BF199" s="18">
        <v>0.66666666666666663</v>
      </c>
      <c r="BG199" s="18">
        <v>0.18518518518518517</v>
      </c>
      <c r="BH199" s="19">
        <v>1.1539053284783836</v>
      </c>
      <c r="BI199" s="19">
        <v>3.6540335401815476</v>
      </c>
      <c r="BJ199" s="19">
        <v>2.3506532073487687</v>
      </c>
      <c r="BK199" s="19">
        <v>1.8854584020740042</v>
      </c>
      <c r="BL199" s="19">
        <v>1.1705766173970451</v>
      </c>
      <c r="BM199" s="19">
        <v>0</v>
      </c>
      <c r="BN199" s="19">
        <v>4.8859934853420199</v>
      </c>
      <c r="BO199" s="20" t="s">
        <v>257</v>
      </c>
      <c r="BP199" s="21">
        <v>300000</v>
      </c>
      <c r="BQ199" s="31" t="s">
        <v>306</v>
      </c>
      <c r="BR199" s="31">
        <v>97.55</v>
      </c>
      <c r="BS199" s="31">
        <v>138.65</v>
      </c>
      <c r="BT199" s="31">
        <v>41.1</v>
      </c>
      <c r="BU199" s="35">
        <f t="shared" si="96"/>
        <v>5.4194444444444452</v>
      </c>
      <c r="BV199" s="35">
        <f t="shared" si="97"/>
        <v>7.7027777777777784</v>
      </c>
      <c r="BW199" s="35">
        <f t="shared" si="98"/>
        <v>2.2833333333333332</v>
      </c>
      <c r="BX199" s="36">
        <f t="shared" si="99"/>
        <v>20.678325384207739</v>
      </c>
      <c r="BY199" s="36">
        <f t="shared" si="100"/>
        <v>29.390567037625861</v>
      </c>
      <c r="BZ199" s="36">
        <f t="shared" si="101"/>
        <v>8.7122416534181237</v>
      </c>
      <c r="CA199" s="30">
        <v>12</v>
      </c>
      <c r="CB199" s="30">
        <v>6</v>
      </c>
    </row>
    <row r="200" spans="1:80" x14ac:dyDescent="0.4">
      <c r="A200" s="11" t="s">
        <v>53</v>
      </c>
      <c r="B200" s="11" t="s">
        <v>266</v>
      </c>
      <c r="C200" s="11" t="s">
        <v>189</v>
      </c>
      <c r="D200" s="15">
        <v>54</v>
      </c>
      <c r="E200" s="15">
        <v>19</v>
      </c>
      <c r="F200" s="15">
        <v>54</v>
      </c>
      <c r="G200" s="16">
        <v>64476</v>
      </c>
      <c r="H200" s="16">
        <v>504</v>
      </c>
      <c r="I200" s="17">
        <f t="shared" si="110"/>
        <v>9.3333333333333339</v>
      </c>
      <c r="J200" s="15">
        <v>174</v>
      </c>
      <c r="K200" s="15">
        <v>456</v>
      </c>
      <c r="L200" s="17">
        <f t="shared" si="111"/>
        <v>3.2222222222222223</v>
      </c>
      <c r="M200" s="17">
        <f t="shared" si="112"/>
        <v>8.4444444444444446</v>
      </c>
      <c r="N200" s="18">
        <f t="shared" si="113"/>
        <v>0.38157894736842107</v>
      </c>
      <c r="O200" s="16">
        <v>95</v>
      </c>
      <c r="P200" s="15">
        <v>218</v>
      </c>
      <c r="Q200" s="17">
        <f t="shared" si="87"/>
        <v>1.7592592592592593</v>
      </c>
      <c r="R200" s="17">
        <f t="shared" si="88"/>
        <v>4.0370370370370372</v>
      </c>
      <c r="S200" s="18">
        <f t="shared" si="89"/>
        <v>0.43577981651376146</v>
      </c>
      <c r="T200" s="15">
        <v>79</v>
      </c>
      <c r="U200" s="15">
        <v>238</v>
      </c>
      <c r="V200" s="17">
        <f t="shared" si="90"/>
        <v>1.462962962962963</v>
      </c>
      <c r="W200" s="17">
        <f t="shared" si="91"/>
        <v>4.4074074074074074</v>
      </c>
      <c r="X200" s="18">
        <f t="shared" si="92"/>
        <v>0.33193277310924368</v>
      </c>
      <c r="Y200" s="15">
        <v>77</v>
      </c>
      <c r="Z200" s="15">
        <v>90</v>
      </c>
      <c r="AA200" s="17">
        <f t="shared" si="93"/>
        <v>1.4259259259259258</v>
      </c>
      <c r="AB200" s="17">
        <f t="shared" si="94"/>
        <v>1.6666666666666667</v>
      </c>
      <c r="AC200" s="18">
        <f t="shared" si="95"/>
        <v>0.85555555555555551</v>
      </c>
      <c r="AD200" s="15">
        <v>103</v>
      </c>
      <c r="AE200" s="17">
        <f t="shared" si="102"/>
        <v>1.9074074074074074</v>
      </c>
      <c r="AF200" s="15">
        <v>17</v>
      </c>
      <c r="AG200" s="17">
        <f t="shared" si="103"/>
        <v>0.31481481481481483</v>
      </c>
      <c r="AH200" s="15">
        <v>86</v>
      </c>
      <c r="AI200" s="17">
        <f t="shared" si="104"/>
        <v>1.5925925925925926</v>
      </c>
      <c r="AJ200" s="15">
        <v>58</v>
      </c>
      <c r="AK200" s="17">
        <f t="shared" si="105"/>
        <v>1.0740740740740742</v>
      </c>
      <c r="AL200" s="15">
        <v>21</v>
      </c>
      <c r="AM200" s="17">
        <f t="shared" si="106"/>
        <v>0.3888888888888889</v>
      </c>
      <c r="AN200" s="15">
        <v>7</v>
      </c>
      <c r="AO200" s="17">
        <f t="shared" si="107"/>
        <v>0.12962962962962962</v>
      </c>
      <c r="AP200" s="4">
        <v>39</v>
      </c>
      <c r="AQ200" s="17">
        <f t="shared" si="108"/>
        <v>0.72222222222222221</v>
      </c>
      <c r="AR200" s="15">
        <v>47</v>
      </c>
      <c r="AS200" s="17">
        <f t="shared" si="109"/>
        <v>0.87037037037037035</v>
      </c>
      <c r="AT200" s="19">
        <v>1.5008730503530252</v>
      </c>
      <c r="AU200" s="19">
        <v>5.5867226888257036E-2</v>
      </c>
      <c r="AV200" s="19">
        <v>0.50602977246006164</v>
      </c>
      <c r="AW200" s="19">
        <v>0.99484327789296345</v>
      </c>
      <c r="AX200" s="19">
        <v>106.05516228216713</v>
      </c>
      <c r="AY200" s="19">
        <v>110.77392877162498</v>
      </c>
      <c r="AZ200" s="19">
        <v>9.1102557502088466</v>
      </c>
      <c r="BA200" s="19">
        <v>6.6481481481481479</v>
      </c>
      <c r="BB200" s="19">
        <v>13.363111855574168</v>
      </c>
      <c r="BC200" s="18">
        <v>0.50847457627118642</v>
      </c>
      <c r="BD200" s="18">
        <v>0.4682017543859649</v>
      </c>
      <c r="BE200" s="19">
        <v>23.328431279071356</v>
      </c>
      <c r="BF200" s="18">
        <v>0.52192982456140347</v>
      </c>
      <c r="BG200" s="18">
        <v>0.19736842105263158</v>
      </c>
      <c r="BH200" s="19">
        <v>1.7223212838385478</v>
      </c>
      <c r="BI200" s="19">
        <v>8.7129194358891233</v>
      </c>
      <c r="BJ200" s="19">
        <v>5.1019018205864217</v>
      </c>
      <c r="BK200" s="19">
        <v>8.7639770323360544</v>
      </c>
      <c r="BL200" s="19">
        <v>1.0791559561137332</v>
      </c>
      <c r="BM200" s="19">
        <v>0.66338292120669362</v>
      </c>
      <c r="BN200" s="19">
        <v>7.2951739618406286</v>
      </c>
      <c r="BO200" s="20" t="s">
        <v>257</v>
      </c>
      <c r="BP200" s="21">
        <v>275000</v>
      </c>
      <c r="BQ200" s="31" t="s">
        <v>306</v>
      </c>
      <c r="BR200" s="31">
        <v>668.69</v>
      </c>
      <c r="BS200" s="31">
        <v>1003.69</v>
      </c>
      <c r="BT200" s="31">
        <v>335</v>
      </c>
      <c r="BU200" s="35">
        <f t="shared" si="96"/>
        <v>12.383148148148152</v>
      </c>
      <c r="BV200" s="35">
        <f t="shared" si="97"/>
        <v>18.586851851851854</v>
      </c>
      <c r="BW200" s="35">
        <f t="shared" si="98"/>
        <v>6.2037037037037033</v>
      </c>
      <c r="BX200" s="36">
        <f t="shared" si="99"/>
        <v>24.890750046528943</v>
      </c>
      <c r="BY200" s="36">
        <f t="shared" si="100"/>
        <v>37.360506234878095</v>
      </c>
      <c r="BZ200" s="36">
        <f t="shared" si="101"/>
        <v>12.469756188349153</v>
      </c>
      <c r="CA200" s="31">
        <v>36</v>
      </c>
      <c r="CB200" s="31">
        <v>18</v>
      </c>
    </row>
    <row r="201" spans="1:80" x14ac:dyDescent="0.4">
      <c r="A201" s="11" t="s">
        <v>53</v>
      </c>
      <c r="B201" s="11" t="s">
        <v>266</v>
      </c>
      <c r="C201" s="11" t="s">
        <v>195</v>
      </c>
      <c r="D201" s="15">
        <v>21</v>
      </c>
      <c r="E201" s="15">
        <v>5</v>
      </c>
      <c r="F201" s="15">
        <v>14</v>
      </c>
      <c r="G201" s="16">
        <v>6594</v>
      </c>
      <c r="H201" s="16">
        <v>41</v>
      </c>
      <c r="I201" s="17">
        <f t="shared" si="110"/>
        <v>1.9523809523809523</v>
      </c>
      <c r="J201" s="15">
        <v>13</v>
      </c>
      <c r="K201" s="15">
        <v>32</v>
      </c>
      <c r="L201" s="17">
        <f t="shared" si="111"/>
        <v>0.61904761904761907</v>
      </c>
      <c r="M201" s="17">
        <f t="shared" si="112"/>
        <v>1.5238095238095237</v>
      </c>
      <c r="N201" s="18">
        <f t="shared" si="113"/>
        <v>0.40625</v>
      </c>
      <c r="O201" s="16">
        <v>9</v>
      </c>
      <c r="P201" s="15">
        <v>18</v>
      </c>
      <c r="Q201" s="17">
        <f t="shared" si="87"/>
        <v>0.42857142857142855</v>
      </c>
      <c r="R201" s="17">
        <f t="shared" si="88"/>
        <v>0.8571428571428571</v>
      </c>
      <c r="S201" s="18">
        <f t="shared" si="89"/>
        <v>0.5</v>
      </c>
      <c r="T201" s="15">
        <v>4</v>
      </c>
      <c r="U201" s="15">
        <v>14</v>
      </c>
      <c r="V201" s="17">
        <f t="shared" si="90"/>
        <v>0.19047619047619047</v>
      </c>
      <c r="W201" s="17">
        <f t="shared" si="91"/>
        <v>0.66666666666666663</v>
      </c>
      <c r="X201" s="18">
        <f t="shared" si="92"/>
        <v>0.2857142857142857</v>
      </c>
      <c r="Y201" s="15">
        <v>11</v>
      </c>
      <c r="Z201" s="15">
        <v>14</v>
      </c>
      <c r="AA201" s="17">
        <f t="shared" si="93"/>
        <v>0.52380952380952384</v>
      </c>
      <c r="AB201" s="17">
        <f t="shared" si="94"/>
        <v>0.66666666666666663</v>
      </c>
      <c r="AC201" s="18">
        <f t="shared" si="95"/>
        <v>0.7857142857142857</v>
      </c>
      <c r="AD201" s="15">
        <v>25</v>
      </c>
      <c r="AE201" s="17">
        <f t="shared" si="102"/>
        <v>1.1904761904761905</v>
      </c>
      <c r="AF201" s="15">
        <v>6</v>
      </c>
      <c r="AG201" s="17">
        <f t="shared" si="103"/>
        <v>0.2857142857142857</v>
      </c>
      <c r="AH201" s="15">
        <v>19</v>
      </c>
      <c r="AI201" s="17">
        <f t="shared" si="104"/>
        <v>0.90476190476190477</v>
      </c>
      <c r="AJ201" s="15">
        <v>9</v>
      </c>
      <c r="AK201" s="17">
        <f t="shared" si="105"/>
        <v>0.42857142857142855</v>
      </c>
      <c r="AL201" s="15">
        <v>3</v>
      </c>
      <c r="AM201" s="17">
        <f t="shared" si="106"/>
        <v>0.14285714285714285</v>
      </c>
      <c r="AN201" s="15">
        <v>2</v>
      </c>
      <c r="AO201" s="17">
        <f t="shared" si="107"/>
        <v>9.5238095238095233E-2</v>
      </c>
      <c r="AP201" s="4">
        <v>3</v>
      </c>
      <c r="AQ201" s="17">
        <f t="shared" si="108"/>
        <v>0.14285714285714285</v>
      </c>
      <c r="AR201" s="15">
        <v>21</v>
      </c>
      <c r="AS201" s="17">
        <f t="shared" si="109"/>
        <v>1</v>
      </c>
      <c r="AT201" s="19">
        <v>0.35359924962171496</v>
      </c>
      <c r="AU201" s="19">
        <v>0.12869854399334485</v>
      </c>
      <c r="AV201" s="19">
        <v>0.18615202937310696</v>
      </c>
      <c r="AW201" s="19">
        <v>0.16744722024860803</v>
      </c>
      <c r="AX201" s="19">
        <v>120.07337002437856</v>
      </c>
      <c r="AY201" s="19">
        <v>105.07238768225514</v>
      </c>
      <c r="AZ201" s="19">
        <v>3.469799261008097</v>
      </c>
      <c r="BA201" s="19">
        <v>2.6190476190476191</v>
      </c>
      <c r="BB201" s="19">
        <v>20.018198362147402</v>
      </c>
      <c r="BC201" s="18">
        <v>0.53721174004192873</v>
      </c>
      <c r="BD201" s="18">
        <v>0.46875</v>
      </c>
      <c r="BE201" s="19">
        <v>6.8297786090869357</v>
      </c>
      <c r="BF201" s="18">
        <v>0.4375</v>
      </c>
      <c r="BG201" s="18">
        <v>0.4375</v>
      </c>
      <c r="BH201" s="19">
        <v>2.3114855146907747</v>
      </c>
      <c r="BI201" s="19">
        <v>7.3197041298541192</v>
      </c>
      <c r="BJ201" s="19">
        <v>4.7087925714088392</v>
      </c>
      <c r="BK201" s="19">
        <v>4.3520309477756287</v>
      </c>
      <c r="BL201" s="19">
        <v>1.5074236194460129</v>
      </c>
      <c r="BM201" s="19">
        <v>0.72072721375868254</v>
      </c>
      <c r="BN201" s="19">
        <v>7.2886297376093303</v>
      </c>
      <c r="BO201" s="20" t="s">
        <v>257</v>
      </c>
      <c r="BP201" s="21">
        <v>80000</v>
      </c>
      <c r="BQ201" s="30" t="s">
        <v>305</v>
      </c>
      <c r="BR201" s="30">
        <v>91.6</v>
      </c>
      <c r="BS201" s="30">
        <v>116.5</v>
      </c>
      <c r="BT201" s="30">
        <v>24.9</v>
      </c>
      <c r="BU201" s="35">
        <f t="shared" si="96"/>
        <v>4.3619047619047615</v>
      </c>
      <c r="BV201" s="35">
        <f t="shared" si="97"/>
        <v>5.5476190476190474</v>
      </c>
      <c r="BW201" s="35">
        <f t="shared" si="98"/>
        <v>1.1857142857142857</v>
      </c>
      <c r="BX201" s="36">
        <f t="shared" si="99"/>
        <v>33.339399454049136</v>
      </c>
      <c r="BY201" s="36">
        <f t="shared" si="100"/>
        <v>42.402183803457689</v>
      </c>
      <c r="BZ201" s="36">
        <f t="shared" si="101"/>
        <v>9.0627843494085525</v>
      </c>
      <c r="CA201" s="31">
        <v>15</v>
      </c>
      <c r="CB201" s="31">
        <v>6</v>
      </c>
    </row>
    <row r="202" spans="1:80" x14ac:dyDescent="0.4">
      <c r="A202" s="11" t="s">
        <v>53</v>
      </c>
      <c r="B202" s="11" t="s">
        <v>266</v>
      </c>
      <c r="C202" s="11" t="s">
        <v>186</v>
      </c>
      <c r="D202" s="15">
        <v>54</v>
      </c>
      <c r="E202" s="15">
        <v>25</v>
      </c>
      <c r="F202" s="15">
        <v>15</v>
      </c>
      <c r="G202" s="16">
        <v>81810</v>
      </c>
      <c r="H202" s="16">
        <v>595</v>
      </c>
      <c r="I202" s="17">
        <f t="shared" si="110"/>
        <v>11.018518518518519</v>
      </c>
      <c r="J202" s="15">
        <v>216</v>
      </c>
      <c r="K202" s="15">
        <v>471</v>
      </c>
      <c r="L202" s="17">
        <f t="shared" si="111"/>
        <v>4</v>
      </c>
      <c r="M202" s="17">
        <f t="shared" si="112"/>
        <v>8.7222222222222214</v>
      </c>
      <c r="N202" s="18">
        <f t="shared" si="113"/>
        <v>0.45859872611464969</v>
      </c>
      <c r="O202" s="16">
        <v>145</v>
      </c>
      <c r="P202" s="15">
        <v>278</v>
      </c>
      <c r="Q202" s="17">
        <f t="shared" si="87"/>
        <v>2.6851851851851851</v>
      </c>
      <c r="R202" s="17">
        <f t="shared" si="88"/>
        <v>5.1481481481481479</v>
      </c>
      <c r="S202" s="18">
        <f t="shared" si="89"/>
        <v>0.52158273381294962</v>
      </c>
      <c r="T202" s="15">
        <v>71</v>
      </c>
      <c r="U202" s="15">
        <v>193</v>
      </c>
      <c r="V202" s="17">
        <f t="shared" si="90"/>
        <v>1.3148148148148149</v>
      </c>
      <c r="W202" s="17">
        <f t="shared" si="91"/>
        <v>3.574074074074074</v>
      </c>
      <c r="X202" s="18">
        <f t="shared" si="92"/>
        <v>0.36787564766839376</v>
      </c>
      <c r="Y202" s="15">
        <v>92</v>
      </c>
      <c r="Z202" s="15">
        <v>109</v>
      </c>
      <c r="AA202" s="17">
        <f t="shared" si="93"/>
        <v>1.7037037037037037</v>
      </c>
      <c r="AB202" s="17">
        <f t="shared" si="94"/>
        <v>2.0185185185185186</v>
      </c>
      <c r="AC202" s="18">
        <f t="shared" si="95"/>
        <v>0.84403669724770647</v>
      </c>
      <c r="AD202" s="15">
        <v>150</v>
      </c>
      <c r="AE202" s="17">
        <f t="shared" si="102"/>
        <v>2.7777777777777777</v>
      </c>
      <c r="AF202" s="15">
        <v>36</v>
      </c>
      <c r="AG202" s="17">
        <f t="shared" si="103"/>
        <v>0.66666666666666663</v>
      </c>
      <c r="AH202" s="15">
        <v>114</v>
      </c>
      <c r="AI202" s="17">
        <f t="shared" si="104"/>
        <v>2.1111111111111112</v>
      </c>
      <c r="AJ202" s="15">
        <v>231</v>
      </c>
      <c r="AK202" s="17">
        <f t="shared" si="105"/>
        <v>4.2777777777777777</v>
      </c>
      <c r="AL202" s="15">
        <v>49</v>
      </c>
      <c r="AM202" s="17">
        <f t="shared" si="106"/>
        <v>0.90740740740740744</v>
      </c>
      <c r="AN202" s="15">
        <v>6</v>
      </c>
      <c r="AO202" s="17">
        <f t="shared" si="107"/>
        <v>0.1111111111111111</v>
      </c>
      <c r="AP202" s="4">
        <v>88</v>
      </c>
      <c r="AQ202" s="17">
        <f t="shared" si="108"/>
        <v>1.6296296296296295</v>
      </c>
      <c r="AR202" s="15">
        <v>103</v>
      </c>
      <c r="AS202" s="17">
        <f t="shared" si="109"/>
        <v>1.9074074074074074</v>
      </c>
      <c r="AT202" s="19">
        <v>3.9339250993908834</v>
      </c>
      <c r="AU202" s="19">
        <v>0.1154066769164909</v>
      </c>
      <c r="AV202" s="19">
        <v>2.3679558760891384</v>
      </c>
      <c r="AW202" s="19">
        <v>1.565969223301745</v>
      </c>
      <c r="AX202" s="19">
        <v>117.02688318003305</v>
      </c>
      <c r="AY202" s="19">
        <v>108.64998892022837</v>
      </c>
      <c r="AZ202" s="19">
        <v>12.51133213068756</v>
      </c>
      <c r="BA202" s="19">
        <v>12.425925925925926</v>
      </c>
      <c r="BB202" s="19">
        <v>19.684635130179686</v>
      </c>
      <c r="BC202" s="18">
        <v>0.57326190843224911</v>
      </c>
      <c r="BD202" s="18">
        <v>0.53397027600849256</v>
      </c>
      <c r="BE202" s="19">
        <v>20.874128191929454</v>
      </c>
      <c r="BF202" s="18">
        <v>0.40976645435244163</v>
      </c>
      <c r="BG202" s="18">
        <v>0.23142250530785563</v>
      </c>
      <c r="BH202" s="19">
        <v>2.8744809964867453</v>
      </c>
      <c r="BI202" s="19">
        <v>9.1025231555413608</v>
      </c>
      <c r="BJ202" s="19">
        <v>5.8556866036529724</v>
      </c>
      <c r="BK202" s="19">
        <v>27.353463587921848</v>
      </c>
      <c r="BL202" s="19">
        <v>1.9845072565893469</v>
      </c>
      <c r="BM202" s="19">
        <v>0.44813533687173523</v>
      </c>
      <c r="BN202" s="19">
        <v>14.498484249373929</v>
      </c>
      <c r="BO202" s="20" t="s">
        <v>257</v>
      </c>
      <c r="BP202" s="21">
        <v>450000</v>
      </c>
      <c r="BQ202" s="30" t="s">
        <v>306</v>
      </c>
      <c r="BR202" s="30">
        <v>1126.01</v>
      </c>
      <c r="BS202" s="30">
        <v>1514.41</v>
      </c>
      <c r="BT202" s="30">
        <v>388.4</v>
      </c>
      <c r="BU202" s="35">
        <f t="shared" si="96"/>
        <v>20.852037037037039</v>
      </c>
      <c r="BV202" s="35">
        <f t="shared" si="97"/>
        <v>28.044629629629632</v>
      </c>
      <c r="BW202" s="35">
        <f t="shared" si="98"/>
        <v>7.1925925925925922</v>
      </c>
      <c r="BX202" s="36">
        <f t="shared" si="99"/>
        <v>33.032929959662631</v>
      </c>
      <c r="BY202" s="36">
        <f t="shared" si="100"/>
        <v>44.427136046938024</v>
      </c>
      <c r="BZ202" s="36">
        <f t="shared" si="101"/>
        <v>11.394206087275395</v>
      </c>
      <c r="CA202" s="31">
        <v>36</v>
      </c>
      <c r="CB202" s="31">
        <v>18</v>
      </c>
    </row>
    <row r="203" spans="1:80" x14ac:dyDescent="0.4">
      <c r="A203" s="11" t="s">
        <v>53</v>
      </c>
      <c r="B203" s="11" t="s">
        <v>266</v>
      </c>
      <c r="C203" s="11" t="s">
        <v>196</v>
      </c>
      <c r="D203" s="15">
        <v>18</v>
      </c>
      <c r="E203" s="15">
        <v>6</v>
      </c>
      <c r="F203" s="15">
        <v>0</v>
      </c>
      <c r="G203" s="16">
        <v>6480</v>
      </c>
      <c r="H203" s="16">
        <v>41</v>
      </c>
      <c r="I203" s="17">
        <f t="shared" si="110"/>
        <v>2.2777777777777777</v>
      </c>
      <c r="J203" s="15">
        <v>13</v>
      </c>
      <c r="K203" s="15">
        <v>31</v>
      </c>
      <c r="L203" s="17">
        <f t="shared" si="111"/>
        <v>0.72222222222222221</v>
      </c>
      <c r="M203" s="17">
        <f t="shared" si="112"/>
        <v>1.7222222222222223</v>
      </c>
      <c r="N203" s="18">
        <f t="shared" si="113"/>
        <v>0.41935483870967744</v>
      </c>
      <c r="O203" s="16">
        <v>4</v>
      </c>
      <c r="P203" s="15">
        <v>5</v>
      </c>
      <c r="Q203" s="17">
        <f t="shared" si="87"/>
        <v>0.22222222222222221</v>
      </c>
      <c r="R203" s="17">
        <f t="shared" si="88"/>
        <v>0.27777777777777779</v>
      </c>
      <c r="S203" s="18">
        <f t="shared" si="89"/>
        <v>0.8</v>
      </c>
      <c r="T203" s="15">
        <v>9</v>
      </c>
      <c r="U203" s="15">
        <v>26</v>
      </c>
      <c r="V203" s="17">
        <f t="shared" si="90"/>
        <v>0.5</v>
      </c>
      <c r="W203" s="17">
        <f t="shared" si="91"/>
        <v>1.4444444444444444</v>
      </c>
      <c r="X203" s="18">
        <f t="shared" si="92"/>
        <v>0.34615384615384615</v>
      </c>
      <c r="Y203" s="15">
        <v>6</v>
      </c>
      <c r="Z203" s="15">
        <v>7</v>
      </c>
      <c r="AA203" s="17">
        <f t="shared" si="93"/>
        <v>0.33333333333333331</v>
      </c>
      <c r="AB203" s="17">
        <f t="shared" si="94"/>
        <v>0.3888888888888889</v>
      </c>
      <c r="AC203" s="18">
        <f t="shared" si="95"/>
        <v>0.8571428571428571</v>
      </c>
      <c r="AD203" s="15">
        <v>11</v>
      </c>
      <c r="AE203" s="17">
        <f t="shared" si="102"/>
        <v>0.61111111111111116</v>
      </c>
      <c r="AF203" s="15">
        <v>6</v>
      </c>
      <c r="AG203" s="17">
        <f t="shared" si="103"/>
        <v>0.33333333333333331</v>
      </c>
      <c r="AH203" s="15">
        <v>5</v>
      </c>
      <c r="AI203" s="17">
        <f t="shared" si="104"/>
        <v>0.27777777777777779</v>
      </c>
      <c r="AJ203" s="15">
        <v>1</v>
      </c>
      <c r="AK203" s="17">
        <f t="shared" si="105"/>
        <v>5.5555555555555552E-2</v>
      </c>
      <c r="AL203" s="15">
        <v>4</v>
      </c>
      <c r="AM203" s="17">
        <f t="shared" si="106"/>
        <v>0.22222222222222221</v>
      </c>
      <c r="AN203" s="15">
        <v>1</v>
      </c>
      <c r="AO203" s="17">
        <f t="shared" si="107"/>
        <v>5.5555555555555552E-2</v>
      </c>
      <c r="AP203" s="4">
        <v>3</v>
      </c>
      <c r="AQ203" s="17">
        <f t="shared" si="108"/>
        <v>0.16666666666666666</v>
      </c>
      <c r="AR203" s="15">
        <v>16</v>
      </c>
      <c r="AS203" s="17">
        <f t="shared" si="109"/>
        <v>0.88888888888888884</v>
      </c>
      <c r="AT203" s="19">
        <v>0.27460232588760541</v>
      </c>
      <c r="AU203" s="19">
        <v>0.10170456514355755</v>
      </c>
      <c r="AV203" s="19">
        <v>0.15885141683450643</v>
      </c>
      <c r="AW203" s="19">
        <v>0.11575090905309897</v>
      </c>
      <c r="AX203" s="19">
        <v>120.51970676980368</v>
      </c>
      <c r="AY203" s="19">
        <v>109.38168859952521</v>
      </c>
      <c r="AZ203" s="19">
        <v>2.545486195521506</v>
      </c>
      <c r="BA203" s="19">
        <v>2</v>
      </c>
      <c r="BB203" s="19">
        <v>13.333333333333332</v>
      </c>
      <c r="BC203" s="18">
        <v>0.60152582159624413</v>
      </c>
      <c r="BD203" s="18">
        <v>0.56451612903225812</v>
      </c>
      <c r="BE203" s="19">
        <v>5.3665864862752599</v>
      </c>
      <c r="BF203" s="18">
        <v>0.83870967741935487</v>
      </c>
      <c r="BG203" s="18">
        <v>0.22580645161290322</v>
      </c>
      <c r="BH203" s="19">
        <v>2.0161290322580645</v>
      </c>
      <c r="BI203" s="19">
        <v>1.6801075268817203</v>
      </c>
      <c r="BJ203" s="19">
        <v>1.8071299490717923</v>
      </c>
      <c r="BK203" s="19">
        <v>0.41841004184100417</v>
      </c>
      <c r="BL203" s="19">
        <v>2.045257478729837</v>
      </c>
      <c r="BM203" s="19">
        <v>0.31431714600031435</v>
      </c>
      <c r="BN203" s="19">
        <v>8.0906148867313927</v>
      </c>
      <c r="BO203" s="20" t="s">
        <v>257</v>
      </c>
      <c r="BP203" s="21">
        <v>560000</v>
      </c>
      <c r="BQ203" s="30" t="s">
        <v>305</v>
      </c>
      <c r="BR203" s="30">
        <v>68.430000000000007</v>
      </c>
      <c r="BS203" s="30">
        <v>90.03</v>
      </c>
      <c r="BT203" s="30">
        <v>21.6</v>
      </c>
      <c r="BU203" s="35">
        <f t="shared" si="96"/>
        <v>3.8016666666666667</v>
      </c>
      <c r="BV203" s="35">
        <f t="shared" si="97"/>
        <v>5.0016666666666669</v>
      </c>
      <c r="BW203" s="35">
        <f t="shared" si="98"/>
        <v>1.2000000000000002</v>
      </c>
      <c r="BX203" s="36">
        <f t="shared" si="99"/>
        <v>25.344444444444441</v>
      </c>
      <c r="BY203" s="36">
        <f t="shared" si="100"/>
        <v>33.344444444444441</v>
      </c>
      <c r="BZ203" s="36">
        <f t="shared" si="101"/>
        <v>8</v>
      </c>
      <c r="CA203" s="30">
        <v>12</v>
      </c>
      <c r="CB203" s="30">
        <v>6</v>
      </c>
    </row>
    <row r="204" spans="1:80" x14ac:dyDescent="0.4">
      <c r="A204" s="11" t="s">
        <v>53</v>
      </c>
      <c r="B204" s="11" t="s">
        <v>266</v>
      </c>
      <c r="C204" s="11" t="s">
        <v>187</v>
      </c>
      <c r="D204" s="15">
        <v>53</v>
      </c>
      <c r="E204" s="15">
        <v>15</v>
      </c>
      <c r="F204" s="15">
        <v>45</v>
      </c>
      <c r="G204" s="16">
        <v>50085</v>
      </c>
      <c r="H204" s="16">
        <v>453</v>
      </c>
      <c r="I204" s="17">
        <f t="shared" si="110"/>
        <v>8.5471698113207548</v>
      </c>
      <c r="J204" s="15">
        <v>187</v>
      </c>
      <c r="K204" s="15">
        <v>311</v>
      </c>
      <c r="L204" s="17">
        <f t="shared" si="111"/>
        <v>3.5283018867924527</v>
      </c>
      <c r="M204" s="17">
        <f t="shared" si="112"/>
        <v>5.867924528301887</v>
      </c>
      <c r="N204" s="18">
        <f t="shared" si="113"/>
        <v>0.6012861736334405</v>
      </c>
      <c r="O204" s="16">
        <v>152</v>
      </c>
      <c r="P204" s="15">
        <v>247</v>
      </c>
      <c r="Q204" s="17">
        <f t="shared" si="87"/>
        <v>2.8679245283018866</v>
      </c>
      <c r="R204" s="17">
        <f t="shared" si="88"/>
        <v>4.6603773584905657</v>
      </c>
      <c r="S204" s="18">
        <f t="shared" si="89"/>
        <v>0.61538461538461542</v>
      </c>
      <c r="T204" s="15">
        <v>35</v>
      </c>
      <c r="U204" s="15">
        <v>64</v>
      </c>
      <c r="V204" s="17">
        <f t="shared" si="90"/>
        <v>0.660377358490566</v>
      </c>
      <c r="W204" s="17">
        <f t="shared" si="91"/>
        <v>1.2075471698113207</v>
      </c>
      <c r="X204" s="18">
        <f t="shared" si="92"/>
        <v>0.546875</v>
      </c>
      <c r="Y204" s="15">
        <v>44</v>
      </c>
      <c r="Z204" s="15">
        <v>60</v>
      </c>
      <c r="AA204" s="17">
        <f t="shared" si="93"/>
        <v>0.83018867924528306</v>
      </c>
      <c r="AB204" s="17">
        <f t="shared" si="94"/>
        <v>1.1320754716981132</v>
      </c>
      <c r="AC204" s="18">
        <f t="shared" si="95"/>
        <v>0.73333333333333328</v>
      </c>
      <c r="AD204" s="15">
        <v>162</v>
      </c>
      <c r="AE204" s="17">
        <f t="shared" si="102"/>
        <v>3.0566037735849059</v>
      </c>
      <c r="AF204" s="15">
        <v>36</v>
      </c>
      <c r="AG204" s="17">
        <f t="shared" si="103"/>
        <v>0.67924528301886788</v>
      </c>
      <c r="AH204" s="15">
        <v>126</v>
      </c>
      <c r="AI204" s="17">
        <f t="shared" si="104"/>
        <v>2.3773584905660377</v>
      </c>
      <c r="AJ204" s="15">
        <v>125</v>
      </c>
      <c r="AK204" s="17">
        <f t="shared" si="105"/>
        <v>2.358490566037736</v>
      </c>
      <c r="AL204" s="15">
        <v>30</v>
      </c>
      <c r="AM204" s="17">
        <f t="shared" si="106"/>
        <v>0.56603773584905659</v>
      </c>
      <c r="AN204" s="15">
        <v>10</v>
      </c>
      <c r="AO204" s="17">
        <f t="shared" si="107"/>
        <v>0.18867924528301888</v>
      </c>
      <c r="AP204" s="4">
        <v>65</v>
      </c>
      <c r="AQ204" s="17">
        <f t="shared" si="108"/>
        <v>1.2264150943396226</v>
      </c>
      <c r="AR204" s="15">
        <v>95</v>
      </c>
      <c r="AS204" s="17">
        <f t="shared" si="109"/>
        <v>1.7924528301886793</v>
      </c>
      <c r="AT204" s="19">
        <v>3.4295784992576586</v>
      </c>
      <c r="AU204" s="19">
        <v>0.16434038930255326</v>
      </c>
      <c r="AV204" s="19">
        <v>2.1950747664809285</v>
      </c>
      <c r="AW204" s="19">
        <v>1.2345037327767303</v>
      </c>
      <c r="AX204" s="19">
        <v>123.49987863122833</v>
      </c>
      <c r="AY204" s="19">
        <v>105.49908082258379</v>
      </c>
      <c r="AZ204" s="19">
        <v>16.598082923414669</v>
      </c>
      <c r="BA204" s="19">
        <v>10.849056603773585</v>
      </c>
      <c r="BB204" s="19">
        <v>27.553159628631327</v>
      </c>
      <c r="BC204" s="18">
        <v>0.67131001778304689</v>
      </c>
      <c r="BD204" s="18">
        <v>0.657556270096463</v>
      </c>
      <c r="BE204" s="19">
        <v>22.186411897849329</v>
      </c>
      <c r="BF204" s="18">
        <v>0.20578778135048231</v>
      </c>
      <c r="BG204" s="18">
        <v>0.19292604501607716</v>
      </c>
      <c r="BH204" s="19">
        <v>4.6082949308755765</v>
      </c>
      <c r="BI204" s="19">
        <v>16.129032258064516</v>
      </c>
      <c r="BJ204" s="19">
        <v>10.138703090896289</v>
      </c>
      <c r="BK204" s="19">
        <v>26.343519494204426</v>
      </c>
      <c r="BL204" s="19">
        <v>1.9846164214090061</v>
      </c>
      <c r="BM204" s="19">
        <v>1.1973986514297688</v>
      </c>
      <c r="BN204" s="19">
        <v>16.153081510934395</v>
      </c>
      <c r="BO204" s="20" t="s">
        <v>244</v>
      </c>
      <c r="BP204" s="21">
        <v>270000</v>
      </c>
      <c r="BQ204" s="31" t="s">
        <v>305</v>
      </c>
      <c r="BR204" s="31">
        <v>842.32</v>
      </c>
      <c r="BS204" s="31">
        <v>1073.72</v>
      </c>
      <c r="BT204" s="31">
        <v>231.4</v>
      </c>
      <c r="BU204" s="35">
        <f t="shared" si="96"/>
        <v>15.892830188679246</v>
      </c>
      <c r="BV204" s="35">
        <f t="shared" si="97"/>
        <v>20.258867924528303</v>
      </c>
      <c r="BW204" s="35">
        <f t="shared" si="98"/>
        <v>4.3660377358490567</v>
      </c>
      <c r="BX204" s="36">
        <f t="shared" si="99"/>
        <v>40.362743336328244</v>
      </c>
      <c r="BY204" s="36">
        <f t="shared" si="100"/>
        <v>51.451093141659179</v>
      </c>
      <c r="BZ204" s="36">
        <f t="shared" si="101"/>
        <v>11.088349805330937</v>
      </c>
      <c r="CA204" s="30">
        <v>35</v>
      </c>
      <c r="CB204" s="30">
        <v>18</v>
      </c>
    </row>
    <row r="205" spans="1:80" x14ac:dyDescent="0.4">
      <c r="A205" s="11" t="s">
        <v>53</v>
      </c>
      <c r="B205" s="11" t="s">
        <v>266</v>
      </c>
      <c r="C205" s="11" t="s">
        <v>193</v>
      </c>
      <c r="D205" s="15">
        <v>47</v>
      </c>
      <c r="E205" s="15">
        <v>9</v>
      </c>
      <c r="F205" s="15">
        <v>26</v>
      </c>
      <c r="G205" s="16">
        <v>26602</v>
      </c>
      <c r="H205" s="16">
        <v>130</v>
      </c>
      <c r="I205" s="17">
        <f t="shared" si="110"/>
        <v>2.7659574468085109</v>
      </c>
      <c r="J205" s="15">
        <v>49</v>
      </c>
      <c r="K205" s="15">
        <v>100</v>
      </c>
      <c r="L205" s="17">
        <f t="shared" si="111"/>
        <v>1.0425531914893618</v>
      </c>
      <c r="M205" s="17">
        <f t="shared" si="112"/>
        <v>2.1276595744680851</v>
      </c>
      <c r="N205" s="18">
        <f t="shared" si="113"/>
        <v>0.49</v>
      </c>
      <c r="O205" s="16">
        <v>27</v>
      </c>
      <c r="P205" s="15">
        <v>50</v>
      </c>
      <c r="Q205" s="17">
        <f t="shared" si="87"/>
        <v>0.57446808510638303</v>
      </c>
      <c r="R205" s="17">
        <f t="shared" si="88"/>
        <v>1.0638297872340425</v>
      </c>
      <c r="S205" s="18">
        <f t="shared" si="89"/>
        <v>0.54</v>
      </c>
      <c r="T205" s="15">
        <v>22</v>
      </c>
      <c r="U205" s="15">
        <v>50</v>
      </c>
      <c r="V205" s="17">
        <f t="shared" si="90"/>
        <v>0.46808510638297873</v>
      </c>
      <c r="W205" s="17">
        <f t="shared" si="91"/>
        <v>1.0638297872340425</v>
      </c>
      <c r="X205" s="18">
        <f t="shared" si="92"/>
        <v>0.44</v>
      </c>
      <c r="Y205" s="15">
        <v>10</v>
      </c>
      <c r="Z205" s="15">
        <v>16</v>
      </c>
      <c r="AA205" s="17">
        <f t="shared" si="93"/>
        <v>0.21276595744680851</v>
      </c>
      <c r="AB205" s="17">
        <f t="shared" si="94"/>
        <v>0.34042553191489361</v>
      </c>
      <c r="AC205" s="18">
        <f t="shared" si="95"/>
        <v>0.625</v>
      </c>
      <c r="AD205" s="15">
        <v>42</v>
      </c>
      <c r="AE205" s="17">
        <f t="shared" si="102"/>
        <v>0.8936170212765957</v>
      </c>
      <c r="AF205" s="15">
        <v>8</v>
      </c>
      <c r="AG205" s="17">
        <f t="shared" si="103"/>
        <v>0.1702127659574468</v>
      </c>
      <c r="AH205" s="15">
        <v>34</v>
      </c>
      <c r="AI205" s="17">
        <f t="shared" si="104"/>
        <v>0.72340425531914898</v>
      </c>
      <c r="AJ205" s="15">
        <v>16</v>
      </c>
      <c r="AK205" s="17">
        <f t="shared" si="105"/>
        <v>0.34042553191489361</v>
      </c>
      <c r="AL205" s="15">
        <v>12</v>
      </c>
      <c r="AM205" s="17">
        <f t="shared" si="106"/>
        <v>0.25531914893617019</v>
      </c>
      <c r="AN205" s="15">
        <v>4</v>
      </c>
      <c r="AO205" s="17">
        <f t="shared" si="107"/>
        <v>8.5106382978723402E-2</v>
      </c>
      <c r="AP205" s="4">
        <v>3</v>
      </c>
      <c r="AQ205" s="17">
        <f t="shared" si="108"/>
        <v>6.3829787234042548E-2</v>
      </c>
      <c r="AR205" s="15">
        <v>44</v>
      </c>
      <c r="AS205" s="17">
        <f t="shared" si="109"/>
        <v>0.93617021276595747</v>
      </c>
      <c r="AT205" s="19">
        <v>1.1467156009231627</v>
      </c>
      <c r="AU205" s="19">
        <v>0.10345528314471056</v>
      </c>
      <c r="AV205" s="19">
        <v>0.68323837726053904</v>
      </c>
      <c r="AW205" s="19">
        <v>0.46347722366262373</v>
      </c>
      <c r="AX205" s="19">
        <v>129.29452225699634</v>
      </c>
      <c r="AY205" s="19">
        <v>109.6335426787852</v>
      </c>
      <c r="AZ205" s="19">
        <v>6.8345910094570241</v>
      </c>
      <c r="BA205" s="19">
        <v>3.0638297872340425</v>
      </c>
      <c r="BB205" s="19">
        <v>12.991504398165553</v>
      </c>
      <c r="BC205" s="18">
        <v>0.60724962630792223</v>
      </c>
      <c r="BD205" s="18">
        <v>0.6</v>
      </c>
      <c r="BE205" s="19">
        <v>10.129664430164491</v>
      </c>
      <c r="BF205" s="18">
        <v>0.5</v>
      </c>
      <c r="BG205" s="18">
        <v>0.16</v>
      </c>
      <c r="BH205" s="19">
        <v>1.7097914054485353</v>
      </c>
      <c r="BI205" s="19">
        <v>7.2666134731562746</v>
      </c>
      <c r="BJ205" s="19">
        <v>4.388661231925072</v>
      </c>
      <c r="BK205" s="19">
        <v>4.6082949308755765</v>
      </c>
      <c r="BL205" s="19">
        <v>1.494617148579356</v>
      </c>
      <c r="BM205" s="19">
        <v>0.79967613116687741</v>
      </c>
      <c r="BN205" s="19">
        <v>2.7262813522355507</v>
      </c>
      <c r="BO205" s="20" t="s">
        <v>257</v>
      </c>
      <c r="BP205" s="21">
        <v>195288</v>
      </c>
      <c r="BQ205" s="30" t="s">
        <v>305</v>
      </c>
      <c r="BR205" s="30">
        <v>270.81</v>
      </c>
      <c r="BS205" s="30">
        <v>328.31</v>
      </c>
      <c r="BT205" s="30">
        <v>57.5</v>
      </c>
      <c r="BU205" s="35">
        <f t="shared" si="96"/>
        <v>5.7619148936170212</v>
      </c>
      <c r="BV205" s="35">
        <f t="shared" si="97"/>
        <v>6.9853191489361706</v>
      </c>
      <c r="BW205" s="35">
        <f t="shared" si="98"/>
        <v>1.2234042553191489</v>
      </c>
      <c r="BX205" s="36">
        <f t="shared" si="99"/>
        <v>24.43214795880009</v>
      </c>
      <c r="BY205" s="36">
        <f t="shared" si="100"/>
        <v>29.619727840012029</v>
      </c>
      <c r="BZ205" s="36">
        <f t="shared" si="101"/>
        <v>5.1875798812119394</v>
      </c>
      <c r="CA205" s="30">
        <v>31</v>
      </c>
      <c r="CB205" s="30">
        <v>16</v>
      </c>
    </row>
    <row r="206" spans="1:80" ht="18" customHeight="1" x14ac:dyDescent="0.4">
      <c r="A206" s="11" t="s">
        <v>53</v>
      </c>
      <c r="B206" s="11" t="s">
        <v>266</v>
      </c>
      <c r="C206" s="11" t="s">
        <v>188</v>
      </c>
      <c r="D206" s="15">
        <v>54</v>
      </c>
      <c r="E206" s="15">
        <v>18</v>
      </c>
      <c r="F206" s="15">
        <v>42</v>
      </c>
      <c r="G206" s="16">
        <v>60588</v>
      </c>
      <c r="H206" s="16">
        <v>294</v>
      </c>
      <c r="I206" s="17">
        <f t="shared" si="110"/>
        <v>5.4444444444444446</v>
      </c>
      <c r="J206" s="15">
        <v>93</v>
      </c>
      <c r="K206" s="15">
        <v>229</v>
      </c>
      <c r="L206" s="17">
        <f t="shared" si="111"/>
        <v>1.7222222222222223</v>
      </c>
      <c r="M206" s="17">
        <f t="shared" si="112"/>
        <v>4.2407407407407405</v>
      </c>
      <c r="N206" s="18">
        <f t="shared" si="113"/>
        <v>0.40611353711790393</v>
      </c>
      <c r="O206" s="16">
        <v>39</v>
      </c>
      <c r="P206" s="15">
        <v>71</v>
      </c>
      <c r="Q206" s="17">
        <f t="shared" si="87"/>
        <v>0.72222222222222221</v>
      </c>
      <c r="R206" s="17">
        <f t="shared" si="88"/>
        <v>1.3148148148148149</v>
      </c>
      <c r="S206" s="18">
        <f t="shared" si="89"/>
        <v>0.54929577464788737</v>
      </c>
      <c r="T206" s="15">
        <v>54</v>
      </c>
      <c r="U206" s="15">
        <v>158</v>
      </c>
      <c r="V206" s="17">
        <f t="shared" si="90"/>
        <v>1</v>
      </c>
      <c r="W206" s="17">
        <f t="shared" si="91"/>
        <v>2.925925925925926</v>
      </c>
      <c r="X206" s="18">
        <f t="shared" si="92"/>
        <v>0.34177215189873417</v>
      </c>
      <c r="Y206" s="15">
        <v>54</v>
      </c>
      <c r="Z206" s="15">
        <v>66</v>
      </c>
      <c r="AA206" s="17">
        <f t="shared" si="93"/>
        <v>1</v>
      </c>
      <c r="AB206" s="17">
        <f t="shared" si="94"/>
        <v>1.2222222222222223</v>
      </c>
      <c r="AC206" s="18">
        <f t="shared" si="95"/>
        <v>0.81818181818181823</v>
      </c>
      <c r="AD206" s="15">
        <v>110</v>
      </c>
      <c r="AE206" s="17">
        <f t="shared" si="102"/>
        <v>2.0370370370370372</v>
      </c>
      <c r="AF206" s="15">
        <v>30</v>
      </c>
      <c r="AG206" s="17">
        <f t="shared" si="103"/>
        <v>0.55555555555555558</v>
      </c>
      <c r="AH206" s="15">
        <v>80</v>
      </c>
      <c r="AI206" s="17">
        <f t="shared" si="104"/>
        <v>1.4814814814814814</v>
      </c>
      <c r="AJ206" s="15">
        <v>71</v>
      </c>
      <c r="AK206" s="17">
        <f t="shared" si="105"/>
        <v>1.3148148148148149</v>
      </c>
      <c r="AL206" s="15">
        <v>25</v>
      </c>
      <c r="AM206" s="17">
        <f t="shared" si="106"/>
        <v>0.46296296296296297</v>
      </c>
      <c r="AN206" s="15">
        <v>9</v>
      </c>
      <c r="AO206" s="17">
        <f t="shared" si="107"/>
        <v>0.16666666666666666</v>
      </c>
      <c r="AP206" s="4">
        <v>28</v>
      </c>
      <c r="AQ206" s="17">
        <f t="shared" si="108"/>
        <v>0.51851851851851849</v>
      </c>
      <c r="AR206" s="15">
        <v>161</v>
      </c>
      <c r="AS206" s="17">
        <f t="shared" si="109"/>
        <v>2.9814814814814814</v>
      </c>
      <c r="AT206" s="19">
        <v>2.3435166960284359</v>
      </c>
      <c r="AU206" s="19">
        <v>9.2830924778310009E-2</v>
      </c>
      <c r="AV206" s="19">
        <v>1.2857291307596241</v>
      </c>
      <c r="AW206" s="19">
        <v>1.0577875652688118</v>
      </c>
      <c r="AX206" s="19">
        <v>120.16049800773652</v>
      </c>
      <c r="AY206" s="19">
        <v>109.61291381075613</v>
      </c>
      <c r="AZ206" s="19">
        <v>5.8518392540956148</v>
      </c>
      <c r="BA206" s="19">
        <v>6.166666666666667</v>
      </c>
      <c r="BB206" s="19">
        <v>13.190730837789662</v>
      </c>
      <c r="BC206" s="18">
        <v>0.56967911951635397</v>
      </c>
      <c r="BD206" s="18">
        <v>0.5240174672489083</v>
      </c>
      <c r="BE206" s="19">
        <v>13.282958642976093</v>
      </c>
      <c r="BF206" s="18">
        <v>0.68995633187772931</v>
      </c>
      <c r="BG206" s="18">
        <v>0.28820960698689957</v>
      </c>
      <c r="BH206" s="19">
        <v>3.2344316025530442</v>
      </c>
      <c r="BI206" s="19">
        <v>8.6251509401414523</v>
      </c>
      <c r="BJ206" s="19">
        <v>5.7982779114602963</v>
      </c>
      <c r="BK206" s="19">
        <v>10.254188330444828</v>
      </c>
      <c r="BL206" s="19">
        <v>1.3671507210760943</v>
      </c>
      <c r="BM206" s="19">
        <v>0.90765379058914308</v>
      </c>
      <c r="BN206" s="19">
        <v>9.7888407215774009</v>
      </c>
      <c r="BO206" s="20" t="s">
        <v>257</v>
      </c>
      <c r="BP206" s="21">
        <v>80000</v>
      </c>
      <c r="BQ206" s="30" t="s">
        <v>305</v>
      </c>
      <c r="BR206" s="30">
        <v>645.28</v>
      </c>
      <c r="BS206" s="30">
        <v>822.48</v>
      </c>
      <c r="BT206" s="30">
        <v>177.2</v>
      </c>
      <c r="BU206" s="35">
        <f t="shared" si="96"/>
        <v>11.94962962962963</v>
      </c>
      <c r="BV206" s="35">
        <f t="shared" si="97"/>
        <v>15.231111111111112</v>
      </c>
      <c r="BW206" s="35">
        <f t="shared" si="98"/>
        <v>3.2814814814814812</v>
      </c>
      <c r="BX206" s="36">
        <f t="shared" si="99"/>
        <v>25.560705090116858</v>
      </c>
      <c r="BY206" s="36">
        <f t="shared" si="100"/>
        <v>32.579916815210936</v>
      </c>
      <c r="BZ206" s="36">
        <f t="shared" si="101"/>
        <v>7.0192117250940784</v>
      </c>
      <c r="CA206" s="31">
        <v>36</v>
      </c>
      <c r="CB206" s="31">
        <v>18</v>
      </c>
    </row>
    <row r="207" spans="1:80" x14ac:dyDescent="0.4">
      <c r="A207" s="11" t="s">
        <v>53</v>
      </c>
      <c r="B207" s="11" t="s">
        <v>266</v>
      </c>
      <c r="C207" s="11" t="s">
        <v>300</v>
      </c>
      <c r="D207" s="15">
        <v>7</v>
      </c>
      <c r="E207" s="15">
        <v>18</v>
      </c>
      <c r="F207" s="15">
        <v>15</v>
      </c>
      <c r="G207" s="16">
        <v>7665</v>
      </c>
      <c r="H207" s="16">
        <v>86</v>
      </c>
      <c r="I207" s="17">
        <f t="shared" si="110"/>
        <v>12.285714285714286</v>
      </c>
      <c r="J207" s="15">
        <v>37</v>
      </c>
      <c r="K207" s="15">
        <v>63</v>
      </c>
      <c r="L207" s="17">
        <f t="shared" si="111"/>
        <v>5.2857142857142856</v>
      </c>
      <c r="M207" s="17">
        <f t="shared" si="112"/>
        <v>9</v>
      </c>
      <c r="N207" s="18">
        <f t="shared" si="113"/>
        <v>0.58730158730158732</v>
      </c>
      <c r="O207" s="16">
        <v>37</v>
      </c>
      <c r="P207" s="15">
        <v>63</v>
      </c>
      <c r="Q207" s="17">
        <f t="shared" si="87"/>
        <v>5.2857142857142856</v>
      </c>
      <c r="R207" s="17">
        <f t="shared" si="88"/>
        <v>9</v>
      </c>
      <c r="S207" s="18">
        <f t="shared" si="89"/>
        <v>0.58730158730158732</v>
      </c>
      <c r="T207" s="15">
        <v>0</v>
      </c>
      <c r="U207" s="15">
        <v>0</v>
      </c>
      <c r="V207" s="17">
        <f t="shared" si="90"/>
        <v>0</v>
      </c>
      <c r="W207" s="17">
        <f t="shared" si="91"/>
        <v>0</v>
      </c>
      <c r="X207" s="18" t="e">
        <f t="shared" si="92"/>
        <v>#DIV/0!</v>
      </c>
      <c r="Y207" s="15">
        <v>12</v>
      </c>
      <c r="Z207" s="15">
        <v>18</v>
      </c>
      <c r="AA207" s="17">
        <f t="shared" si="93"/>
        <v>1.7142857142857142</v>
      </c>
      <c r="AB207" s="17">
        <f t="shared" si="94"/>
        <v>2.5714285714285716</v>
      </c>
      <c r="AC207" s="18">
        <f t="shared" si="95"/>
        <v>0.66666666666666663</v>
      </c>
      <c r="AD207" s="15">
        <v>43</v>
      </c>
      <c r="AE207" s="17">
        <f t="shared" si="102"/>
        <v>6.1428571428571432</v>
      </c>
      <c r="AF207" s="15">
        <v>17</v>
      </c>
      <c r="AG207" s="17">
        <f t="shared" si="103"/>
        <v>2.4285714285714284</v>
      </c>
      <c r="AH207" s="15">
        <v>26</v>
      </c>
      <c r="AI207" s="17">
        <f t="shared" si="104"/>
        <v>3.7142857142857144</v>
      </c>
      <c r="AJ207" s="15">
        <v>12</v>
      </c>
      <c r="AK207" s="17">
        <f t="shared" si="105"/>
        <v>1.7142857142857142</v>
      </c>
      <c r="AL207" s="15">
        <v>6</v>
      </c>
      <c r="AM207" s="17">
        <f t="shared" si="106"/>
        <v>0.8571428571428571</v>
      </c>
      <c r="AN207" s="15">
        <v>4</v>
      </c>
      <c r="AO207" s="17">
        <f t="shared" si="107"/>
        <v>0.5714285714285714</v>
      </c>
      <c r="AP207" s="32">
        <v>6</v>
      </c>
      <c r="AQ207" s="17">
        <f t="shared" si="108"/>
        <v>0.8571428571428571</v>
      </c>
      <c r="AR207" s="15">
        <v>23</v>
      </c>
      <c r="AS207" s="17">
        <f t="shared" si="109"/>
        <v>3.2857142857142856</v>
      </c>
      <c r="AT207" s="19">
        <v>0.68320994706654492</v>
      </c>
      <c r="AU207" s="19">
        <v>0.21392092276056202</v>
      </c>
      <c r="AV207" s="19">
        <v>0.43068393878437511</v>
      </c>
      <c r="AW207" s="19">
        <v>0.25252600828216987</v>
      </c>
      <c r="AX207" s="19">
        <v>124.88473437876885</v>
      </c>
      <c r="AY207" s="19">
        <v>100.751425827966</v>
      </c>
      <c r="AZ207" s="19">
        <v>2.8063914841249273</v>
      </c>
      <c r="BA207" s="19">
        <v>16.142857142857142</v>
      </c>
      <c r="BB207" s="19">
        <v>35.381604696673186</v>
      </c>
      <c r="BC207" s="18">
        <v>0.60631697687535246</v>
      </c>
      <c r="BD207" s="18">
        <v>0.58730158730158732</v>
      </c>
      <c r="BE207" s="19">
        <v>3.6600419605824617</v>
      </c>
      <c r="BF207" s="18">
        <v>0</v>
      </c>
      <c r="BG207" s="18">
        <v>0.2857142857142857</v>
      </c>
      <c r="BH207" s="19">
        <v>1.8780380026513479</v>
      </c>
      <c r="BI207" s="19">
        <v>2.8722934158197084</v>
      </c>
      <c r="BJ207" s="19">
        <v>2.3224883031657404</v>
      </c>
      <c r="BK207" s="19">
        <v>1.6449623029472242</v>
      </c>
      <c r="BL207" s="19">
        <v>2.593594610992044</v>
      </c>
      <c r="BM207" s="19">
        <v>0.41334857556205712</v>
      </c>
      <c r="BN207" s="19">
        <v>7.8003120124804992</v>
      </c>
      <c r="BO207" s="20" t="s">
        <v>239</v>
      </c>
      <c r="BP207" s="21">
        <v>80000</v>
      </c>
      <c r="BQ207" s="31" t="s">
        <v>307</v>
      </c>
      <c r="BR207" s="31">
        <v>157.63</v>
      </c>
      <c r="BS207" s="31">
        <v>197.43</v>
      </c>
      <c r="BT207" s="31">
        <v>39.799999999999997</v>
      </c>
      <c r="BU207" s="35">
        <f t="shared" si="96"/>
        <v>22.518571428571427</v>
      </c>
      <c r="BV207" s="35">
        <f t="shared" si="97"/>
        <v>28.204285714285714</v>
      </c>
      <c r="BW207" s="35">
        <f t="shared" si="98"/>
        <v>5.6857142857142851</v>
      </c>
      <c r="BX207" s="36">
        <f t="shared" si="99"/>
        <v>49.355772994129154</v>
      </c>
      <c r="BY207" s="36">
        <f t="shared" si="100"/>
        <v>61.817612524461836</v>
      </c>
      <c r="BZ207" s="36">
        <f t="shared" si="101"/>
        <v>12.46183953033268</v>
      </c>
      <c r="CA207" s="30">
        <v>3</v>
      </c>
      <c r="CB207" s="30">
        <v>4</v>
      </c>
    </row>
    <row r="208" spans="1:80" x14ac:dyDescent="0.4">
      <c r="A208" s="11" t="s">
        <v>53</v>
      </c>
      <c r="B208" s="11" t="s">
        <v>266</v>
      </c>
      <c r="C208" s="11" t="s">
        <v>199</v>
      </c>
      <c r="D208" s="10">
        <v>4</v>
      </c>
      <c r="E208" s="10">
        <v>4</v>
      </c>
      <c r="F208" s="10">
        <v>33</v>
      </c>
      <c r="G208" s="16">
        <v>1092</v>
      </c>
      <c r="H208" s="16">
        <v>6</v>
      </c>
      <c r="I208" s="17">
        <f t="shared" si="110"/>
        <v>1.5</v>
      </c>
      <c r="J208" s="15">
        <v>3</v>
      </c>
      <c r="K208" s="15">
        <v>4</v>
      </c>
      <c r="L208" s="17">
        <f t="shared" si="111"/>
        <v>0.75</v>
      </c>
      <c r="M208" s="17">
        <f t="shared" si="112"/>
        <v>1</v>
      </c>
      <c r="N208" s="18">
        <f t="shared" si="113"/>
        <v>0.75</v>
      </c>
      <c r="O208" s="16">
        <v>3</v>
      </c>
      <c r="P208" s="15">
        <v>3</v>
      </c>
      <c r="Q208" s="17">
        <f t="shared" si="87"/>
        <v>0.75</v>
      </c>
      <c r="R208" s="17">
        <f t="shared" si="88"/>
        <v>0.75</v>
      </c>
      <c r="S208" s="18">
        <f t="shared" si="89"/>
        <v>1</v>
      </c>
      <c r="T208" s="15">
        <v>0</v>
      </c>
      <c r="U208" s="15">
        <v>1</v>
      </c>
      <c r="V208" s="17">
        <f t="shared" si="90"/>
        <v>0</v>
      </c>
      <c r="W208" s="17">
        <f t="shared" si="91"/>
        <v>0.25</v>
      </c>
      <c r="X208" s="18">
        <f t="shared" si="92"/>
        <v>0</v>
      </c>
      <c r="Y208" s="9">
        <v>0</v>
      </c>
      <c r="Z208" s="9">
        <v>0</v>
      </c>
      <c r="AA208" s="17">
        <f t="shared" si="93"/>
        <v>0</v>
      </c>
      <c r="AB208" s="17">
        <f t="shared" si="94"/>
        <v>0</v>
      </c>
      <c r="AC208" s="18" t="e">
        <f t="shared" si="95"/>
        <v>#DIV/0!</v>
      </c>
      <c r="AD208" s="15">
        <v>1</v>
      </c>
      <c r="AE208" s="17">
        <f t="shared" si="102"/>
        <v>0.25</v>
      </c>
      <c r="AF208" s="15">
        <v>0</v>
      </c>
      <c r="AG208" s="17">
        <f t="shared" si="103"/>
        <v>0</v>
      </c>
      <c r="AH208" s="15">
        <v>1</v>
      </c>
      <c r="AI208" s="17">
        <f t="shared" si="104"/>
        <v>0.25</v>
      </c>
      <c r="AJ208" s="15">
        <v>2</v>
      </c>
      <c r="AK208" s="17">
        <f t="shared" si="105"/>
        <v>0.5</v>
      </c>
      <c r="AL208" s="15">
        <v>0</v>
      </c>
      <c r="AM208" s="17">
        <f t="shared" si="106"/>
        <v>0</v>
      </c>
      <c r="AN208" s="7">
        <v>0</v>
      </c>
      <c r="AO208" s="17">
        <f t="shared" si="107"/>
        <v>0</v>
      </c>
      <c r="AP208" s="6">
        <v>1</v>
      </c>
      <c r="AQ208" s="17">
        <f t="shared" si="108"/>
        <v>0.25</v>
      </c>
      <c r="AR208" s="15">
        <v>1</v>
      </c>
      <c r="AS208" s="17">
        <f t="shared" si="109"/>
        <v>0.25</v>
      </c>
      <c r="AT208" s="19">
        <v>3.8753829185526882E-2</v>
      </c>
      <c r="AU208" s="19">
        <v>8.5173250957201949E-2</v>
      </c>
      <c r="AV208" s="19">
        <v>2.8955982575347278E-2</v>
      </c>
      <c r="AW208" s="19">
        <v>9.797846610179602E-3</v>
      </c>
      <c r="AX208" s="19">
        <v>125.03465280987768</v>
      </c>
      <c r="AY208" s="19">
        <v>114.46879869200623</v>
      </c>
      <c r="AZ208" s="19">
        <v>0.70309254657595943</v>
      </c>
      <c r="BA208" s="19">
        <v>1.75</v>
      </c>
      <c r="BB208" s="19">
        <v>15.384615384615385</v>
      </c>
      <c r="BC208" s="18">
        <v>0.75</v>
      </c>
      <c r="BD208" s="18">
        <v>0.75</v>
      </c>
      <c r="BE208" s="19">
        <v>0.95426339597340926</v>
      </c>
      <c r="BF208" s="18">
        <v>0.25</v>
      </c>
      <c r="BG208" s="18">
        <v>0</v>
      </c>
      <c r="BH208" s="19">
        <v>0</v>
      </c>
      <c r="BI208" s="19">
        <v>0.44310528181495928</v>
      </c>
      <c r="BJ208" s="19">
        <v>0.2166389549336814</v>
      </c>
      <c r="BK208" s="19">
        <v>1.063264221158958</v>
      </c>
      <c r="BL208" s="19">
        <v>0</v>
      </c>
      <c r="BM208" s="19">
        <v>0</v>
      </c>
      <c r="BN208" s="19">
        <v>20</v>
      </c>
      <c r="BO208" s="20" t="s">
        <v>257</v>
      </c>
      <c r="BP208" s="21">
        <v>80000</v>
      </c>
      <c r="BQ208" s="31" t="s">
        <v>306</v>
      </c>
      <c r="BR208" s="31">
        <v>12.15</v>
      </c>
      <c r="BS208" s="31">
        <v>14.55</v>
      </c>
      <c r="BT208" s="31">
        <v>2.4</v>
      </c>
      <c r="BU208" s="35">
        <f t="shared" si="96"/>
        <v>3.0375000000000001</v>
      </c>
      <c r="BV208" s="35">
        <f t="shared" si="97"/>
        <v>3.6375000000000002</v>
      </c>
      <c r="BW208" s="35">
        <f t="shared" si="98"/>
        <v>0.6</v>
      </c>
      <c r="BX208" s="36">
        <f t="shared" si="99"/>
        <v>26.703296703296704</v>
      </c>
      <c r="BY208" s="36">
        <f t="shared" si="100"/>
        <v>31.978021978021978</v>
      </c>
      <c r="BZ208" s="36">
        <f t="shared" si="101"/>
        <v>5.2747252747252746</v>
      </c>
      <c r="CA208" s="31">
        <v>4</v>
      </c>
      <c r="CB208" s="31">
        <v>0</v>
      </c>
    </row>
    <row r="209" spans="1:80" x14ac:dyDescent="0.4">
      <c r="A209" s="11" t="s">
        <v>53</v>
      </c>
      <c r="B209" s="11" t="s">
        <v>266</v>
      </c>
      <c r="C209" s="27" t="s">
        <v>184</v>
      </c>
      <c r="D209" s="10">
        <v>34</v>
      </c>
      <c r="E209" s="10">
        <v>17</v>
      </c>
      <c r="F209" s="10">
        <v>10</v>
      </c>
      <c r="G209" s="16">
        <v>35020</v>
      </c>
      <c r="H209" s="16">
        <v>245</v>
      </c>
      <c r="I209" s="17">
        <f t="shared" si="110"/>
        <v>7.2058823529411766</v>
      </c>
      <c r="J209" s="24">
        <v>107</v>
      </c>
      <c r="K209" s="24">
        <v>250</v>
      </c>
      <c r="L209" s="17">
        <f t="shared" si="111"/>
        <v>3.1470588235294117</v>
      </c>
      <c r="M209" s="17">
        <f t="shared" si="112"/>
        <v>7.3529411764705879</v>
      </c>
      <c r="N209" s="18">
        <f t="shared" si="113"/>
        <v>0.42799999999999999</v>
      </c>
      <c r="O209" s="16">
        <v>91</v>
      </c>
      <c r="P209" s="15">
        <v>198</v>
      </c>
      <c r="Q209" s="17">
        <f t="shared" si="87"/>
        <v>2.6764705882352939</v>
      </c>
      <c r="R209" s="17">
        <f t="shared" si="88"/>
        <v>5.8235294117647056</v>
      </c>
      <c r="S209" s="18">
        <f t="shared" si="89"/>
        <v>0.45959595959595961</v>
      </c>
      <c r="T209" s="15">
        <v>16</v>
      </c>
      <c r="U209" s="15">
        <v>52</v>
      </c>
      <c r="V209" s="17">
        <f t="shared" si="90"/>
        <v>0.47058823529411764</v>
      </c>
      <c r="W209" s="17">
        <f t="shared" si="91"/>
        <v>1.5294117647058822</v>
      </c>
      <c r="X209" s="18">
        <f t="shared" si="92"/>
        <v>0.30769230769230771</v>
      </c>
      <c r="Y209" s="9">
        <v>15</v>
      </c>
      <c r="Z209" s="9">
        <v>31</v>
      </c>
      <c r="AA209" s="17">
        <f t="shared" si="93"/>
        <v>0.44117647058823528</v>
      </c>
      <c r="AB209" s="17">
        <f t="shared" si="94"/>
        <v>0.91176470588235292</v>
      </c>
      <c r="AC209" s="18">
        <f t="shared" si="95"/>
        <v>0.4838709677419355</v>
      </c>
      <c r="AD209" s="15">
        <v>203</v>
      </c>
      <c r="AE209" s="17">
        <f t="shared" si="102"/>
        <v>5.9705882352941178</v>
      </c>
      <c r="AF209" s="15">
        <v>57</v>
      </c>
      <c r="AG209" s="17">
        <f t="shared" si="103"/>
        <v>1.6764705882352942</v>
      </c>
      <c r="AH209" s="15">
        <v>146</v>
      </c>
      <c r="AI209" s="17">
        <f t="shared" si="104"/>
        <v>4.2941176470588234</v>
      </c>
      <c r="AJ209" s="15">
        <v>54</v>
      </c>
      <c r="AK209" s="17">
        <f t="shared" si="105"/>
        <v>1.588235294117647</v>
      </c>
      <c r="AL209" s="15">
        <v>28</v>
      </c>
      <c r="AM209" s="17">
        <f t="shared" si="106"/>
        <v>0.82352941176470584</v>
      </c>
      <c r="AN209" s="7">
        <v>8</v>
      </c>
      <c r="AO209" s="17">
        <f t="shared" si="107"/>
        <v>0.23529411764705882</v>
      </c>
      <c r="AP209" s="28">
        <v>41</v>
      </c>
      <c r="AQ209" s="17">
        <f t="shared" si="108"/>
        <v>1.2058823529411764</v>
      </c>
      <c r="AR209" s="15">
        <v>68</v>
      </c>
      <c r="AS209" s="17">
        <f t="shared" si="109"/>
        <v>2</v>
      </c>
      <c r="AT209" s="19">
        <v>0.89563208948349149</v>
      </c>
      <c r="AU209" s="19">
        <v>6.1379697737303819E-2</v>
      </c>
      <c r="AV209" s="19">
        <v>-0.29506031784310993</v>
      </c>
      <c r="AW209" s="19">
        <v>1.1906924073266014</v>
      </c>
      <c r="AX209" s="19">
        <v>98.025167529653189</v>
      </c>
      <c r="AY209" s="19">
        <v>100.1477427079118</v>
      </c>
      <c r="AZ209" s="19">
        <v>7.5075832954996837</v>
      </c>
      <c r="BA209" s="19">
        <v>9.9411764705882355</v>
      </c>
      <c r="BB209" s="19">
        <v>23.163906339234725</v>
      </c>
      <c r="BC209" s="18">
        <v>0.46464876346533152</v>
      </c>
      <c r="BD209" s="18">
        <v>0.46</v>
      </c>
      <c r="BE209" s="19">
        <v>15.410282846440712</v>
      </c>
      <c r="BF209" s="18">
        <v>0.20799999999999999</v>
      </c>
      <c r="BG209" s="18">
        <v>0.124</v>
      </c>
      <c r="BH209" s="19">
        <v>6.6943313498277481</v>
      </c>
      <c r="BI209" s="19">
        <v>17.146883808330724</v>
      </c>
      <c r="BJ209" s="19">
        <v>11.656227420844358</v>
      </c>
      <c r="BK209" s="19">
        <v>8.7947882736156355</v>
      </c>
      <c r="BL209" s="19">
        <v>2.6491398982063221</v>
      </c>
      <c r="BM209" s="19">
        <v>0.87886735969019913</v>
      </c>
      <c r="BN209" s="19">
        <v>13.458508403361344</v>
      </c>
      <c r="BO209" s="20" t="s">
        <v>239</v>
      </c>
      <c r="BP209" s="21"/>
      <c r="BQ209" s="31" t="s">
        <v>307</v>
      </c>
      <c r="BR209" s="31">
        <v>525.73</v>
      </c>
      <c r="BS209" s="31">
        <v>739.43</v>
      </c>
      <c r="BT209" s="31">
        <v>213.7</v>
      </c>
      <c r="BU209" s="35">
        <f t="shared" si="96"/>
        <v>15.462647058823528</v>
      </c>
      <c r="BV209" s="35">
        <f t="shared" si="97"/>
        <v>21.747941176470587</v>
      </c>
      <c r="BW209" s="35">
        <f t="shared" si="98"/>
        <v>6.2852941176470587</v>
      </c>
      <c r="BX209" s="36">
        <f t="shared" si="99"/>
        <v>36.029468874928611</v>
      </c>
      <c r="BY209" s="36">
        <f t="shared" si="100"/>
        <v>50.674814391776124</v>
      </c>
      <c r="BZ209" s="36">
        <f t="shared" si="101"/>
        <v>14.645345516847515</v>
      </c>
      <c r="CA209" s="31">
        <v>21</v>
      </c>
      <c r="CB209" s="31">
        <v>13</v>
      </c>
    </row>
  </sheetData>
  <autoFilter ref="A1:BO209" xr:uid="{0255B66F-BA9D-4F4E-80F0-8D4A27B7E2E2}">
    <sortState xmlns:xlrd2="http://schemas.microsoft.com/office/spreadsheetml/2017/richdata2" ref="A2:BO209">
      <sortCondition ref="B2:B209"/>
      <sortCondition sortBy="cellColor" ref="C2:C209" dxfId="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LEE</dc:creator>
  <cp:lastModifiedBy>SIJIN LEE</cp:lastModifiedBy>
  <dcterms:created xsi:type="dcterms:W3CDTF">2025-04-16T21:54:38Z</dcterms:created>
  <dcterms:modified xsi:type="dcterms:W3CDTF">2026-05-17T09:40:52Z</dcterms:modified>
</cp:coreProperties>
</file>